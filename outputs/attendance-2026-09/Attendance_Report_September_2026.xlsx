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xmlns="http://schemas.openxmlformats.org/package/2006/content-types" PartName="/xl/worksheets/sheet11.xml" ContentType="application/vnd.openxmlformats-officedocument.spreadsheetml.worksheet+xml"/>
  <Override xmlns="http://schemas.openxmlformats.org/package/2006/content-types" PartName="/xl/drawings/drawing1.xml" ContentType="application/vnd.openxmlformats-officedocument.drawing+xml"/>
  <Override xmlns="http://schemas.openxmlformats.org/package/2006/content-types" PartName="/xl/drawings/charts/chart1.xml" ContentType="application/vnd.openxmlformats-officedocument.drawingml.chart+xml"/>
  <Override xmlns="http://schemas.openxmlformats.org/package/2006/content-types" PartName="/xl/drawings/charts/chart2.xml" ContentType="application/vnd.openxmlformats-officedocument.drawingml.chart+xml"/>
  <Override xmlns="http://schemas.openxmlformats.org/package/2006/content-types" PartName="/xl/worksheets/sheet12.xml" ContentType="application/vnd.openxmlformats-officedocument.spreadsheetml.worksheet+xml"/>
  <Override xmlns="http://schemas.openxmlformats.org/package/2006/content-types"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activeTab="0" firstSheet="0"/>
  </bookViews>
  <sheets>
    <sheet name="Overview" sheetId="11" r:id="rId14"/>
    <sheet name="Employee Summary" sheetId="12" r:id="rId15"/>
    <sheet sheetId="1" name="Alluvium IoT Solutions Private " state="visible" r:id="rId4"/>
    <sheet sheetId="2" name="Eximbiz Enterprise" state="visible" r:id="rId5"/>
    <sheet sheetId="3" name="Novusha Consulting Services Ind" state="visible" r:id="rId6"/>
    <sheet sheetId="4" name="Paramount Propack Private Limit" state="visible" r:id="rId7"/>
    <sheet sheetId="5" name="Sansar Tradelink" state="visible" r:id="rId8"/>
    <sheet sheetId="6" name="SR Container Carriers" state="visible" r:id="rId9"/>
    <sheet sheetId="7" name="Suraj Forwarders" state="visible" r:id="rId10"/>
    <sheet sheetId="8" name="Suraj Forwarders &amp; Shipping Age" state="visible" r:id="rId11"/>
    <sheet sheetId="9" name="Suraj Forwarders Private Limite" state="visible" r:id="rId12"/>
    <sheet sheetId="10" name="Unassigned" state="visible" r:id="rId13"/>
  </sheets>
  <calcPr calcId="171027"/>
</workbook>
</file>

<file path=xl/sharedStrings.xml><?xml version="1.0" encoding="utf-8"?>
<sst xmlns="http://schemas.openxmlformats.org/spreadsheetml/2006/main" count="32180" uniqueCount="3516">
  <si>
    <t>ALLUVIUM IOT SOLUTIONS PRIVATE LIMITED — ATTENDANCE &amp; LEAVE REGISTER</t>
  </si>
  <si>
    <t>Period: 01 Sep 2026 to 30 Sep 2026   |   Generated on: 16-Oct-2026 14:53   |   Staff Count: 2</t>
  </si>
  <si>
    <t>Employee</t>
  </si>
  <si>
    <t>Total Working Days</t>
  </si>
  <si>
    <t>Present</t>
  </si>
  <si>
    <t>Absent</t>
  </si>
  <si>
    <t>Half Day PL</t>
  </si>
  <si>
    <t>Full Day PL</t>
  </si>
  <si>
    <t>Total PL Taken</t>
  </si>
  <si>
    <t>LWP Taken</t>
  </si>
  <si>
    <t>Week Off</t>
  </si>
  <si>
    <t>Holiday</t>
  </si>
  <si>
    <t/>
  </si>
  <si>
    <t>September Opening Balance</t>
  </si>
  <si>
    <t>PL Taken</t>
  </si>
  <si>
    <t>Available Balance</t>
  </si>
  <si>
    <t>Avg Hours/Day</t>
  </si>
  <si>
    <t>ARPIT SINGHAL</t>
  </si>
  <si>
    <t>0h 0m</t>
  </si>
  <si>
    <t>MASOOD RAZA</t>
  </si>
  <si>
    <t>9h 48m</t>
  </si>
  <si>
    <t>DAILY LOGS: ARPIT SINGHAL</t>
  </si>
  <si>
    <t>Date</t>
  </si>
  <si>
    <t>Day</t>
  </si>
  <si>
    <t>Shift</t>
  </si>
  <si>
    <t>Status</t>
  </si>
  <si>
    <t>In Time</t>
  </si>
  <si>
    <t>Out Time</t>
  </si>
  <si>
    <t>Total Hours</t>
  </si>
  <si>
    <t>Late In / Early Out</t>
  </si>
  <si>
    <t>01-09-2026</t>
  </si>
  <si>
    <t>Tue</t>
  </si>
  <si>
    <t>—</t>
  </si>
  <si>
    <t>02-09-2026</t>
  </si>
  <si>
    <t>Wed</t>
  </si>
  <si>
    <t>03-09-2026</t>
  </si>
  <si>
    <t>Thu</t>
  </si>
  <si>
    <t>04-09-2026</t>
  </si>
  <si>
    <t>Fri</t>
  </si>
  <si>
    <t>05-09-2026</t>
  </si>
  <si>
    <t>Sat</t>
  </si>
  <si>
    <t>06-09-2026</t>
  </si>
  <si>
    <t>Sun</t>
  </si>
  <si>
    <t>LWP</t>
  </si>
  <si>
    <t>07-09-2026</t>
  </si>
  <si>
    <t>Mon</t>
  </si>
  <si>
    <t>08-09-2026</t>
  </si>
  <si>
    <t>09-09-2026</t>
  </si>
  <si>
    <t>10-09-2026</t>
  </si>
  <si>
    <t>11-09-2026</t>
  </si>
  <si>
    <t>12-09-2026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</si>
  <si>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</si>
  <si>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</si>
  <si>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</si>
  <si>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</si>
  <si>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</si>
  <si>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</si>
  <si>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</si>
  <si>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</si>
  <si>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</si>
  <si>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</si>
  <si>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</si>
  <si>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</si>
  <si>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</si>
  <si>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</si>
  <si>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</si>
  <si>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</si>
  <si>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</si>
  <si>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</si>
  <si>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Total Worked Hours</t>
  </si>
  <si>
    <t>DAILY LOGS: MASOOD RAZA</t>
  </si>
  <si>
    <t>SFPL-10-7 10:00–19:00</t>
  </si>
  <si>
    <t>8:57 AM</t>
  </si>
  <si>
    <t>6:30 PM</t>
  </si>
  <si>
    <t>9h 33m</t>
  </si>
  <si>
    <t>Early Out (29m)</t>
  </si>
  <si>
    <t>9:28 AM</t>
  </si>
  <si>
    <t>7:56 PM</t>
  </si>
  <si>
    <t>10h 28m</t>
  </si>
  <si>
    <t>On Time</t>
  </si>
  <si>
    <t>9:13 AM</t>
  </si>
  <si>
    <t>9h 17m</t>
  </si>
  <si>
    <t>Early Out (30m)</t>
  </si>
  <si>
    <t>8:42 AM</t>
  </si>
  <si>
    <t>7:40 PM</t>
  </si>
  <si>
    <t>10h 58m</t>
  </si>
  <si>
    <t>Weekly Off</t>
  </si>
  <si>
    <t>PL</t>
  </si>
  <si>
    <t>2:43 PM</t>
  </si>
  <si>
    <t>4:28 PM</t>
  </si>
  <si>
    <t>1h 45m</t>
  </si>
  <si>
    <t>Late In (283m), Early Out (152m)</t>
  </si>
  <si>
    <t>9:04 AM</t>
  </si>
  <si>
    <t>8:58 PM</t>
  </si>
  <si>
    <t>11h 53m</t>
  </si>
  <si>
    <t>9:00 AM</t>
  </si>
  <si>
    <t>7:51 PM</t>
  </si>
  <si>
    <t>10h 51m</t>
  </si>
  <si>
    <t>6:00 PM</t>
  </si>
  <si>
    <t>9h 0m</t>
  </si>
  <si>
    <t>Early Out (60m)</t>
  </si>
  <si>
    <t>9:10 AM</t>
  </si>
  <si>
    <t>9:06 PM</t>
  </si>
  <si>
    <t>11h 56m</t>
  </si>
  <si>
    <t>8:03 PM</t>
  </si>
  <si>
    <t>10h 50m</t>
  </si>
  <si>
    <t>9:21 AM</t>
  </si>
  <si>
    <t>7:59 PM</t>
  </si>
  <si>
    <t>10h 38m</t>
  </si>
  <si>
    <t>9:09 AM</t>
  </si>
  <si>
    <t>6:52 PM</t>
  </si>
  <si>
    <t>9h 43m</t>
  </si>
  <si>
    <t>7:24 PM</t>
  </si>
  <si>
    <t>10h 13m</t>
  </si>
  <si>
    <t>9:15 AM</t>
  </si>
  <si>
    <t>8:02 PM</t>
  </si>
  <si>
    <t>10h 47m</t>
  </si>
  <si>
    <t>9:18 AM</t>
  </si>
  <si>
    <t>6:43 PM</t>
  </si>
  <si>
    <t>9h 24m</t>
  </si>
  <si>
    <t>Early Out (16m)</t>
  </si>
  <si>
    <t>8:52 AM</t>
  </si>
  <si>
    <t>6:19 PM</t>
  </si>
  <si>
    <t>9h 27m</t>
  </si>
  <si>
    <t>Early Out (40m)</t>
  </si>
  <si>
    <t>10:00 AM</t>
  </si>
  <si>
    <t>8:00 PM</t>
  </si>
  <si>
    <t>10h 0m</t>
  </si>
  <si>
    <t>9:33 AM</t>
  </si>
  <si>
    <t>6:41 PM</t>
  </si>
  <si>
    <t>9h 8m</t>
  </si>
  <si>
    <t>Early Out (18m)</t>
  </si>
  <si>
    <t>9:24 AM</t>
  </si>
  <si>
    <t>7:10 PM</t>
  </si>
  <si>
    <t>9h 46m</t>
  </si>
  <si>
    <t>9:30 AM</t>
  </si>
  <si>
    <t>7:00 PM</t>
  </si>
  <si>
    <t>9h 30m</t>
  </si>
  <si>
    <t>195h 8m</t>
  </si>
  <si>
    <t>EXIMBIZ ENTERPRISE — ATTENDANCE &amp; LEAVE REGISTER</t>
  </si>
  <si>
    <t>Period: 01 Sep 2026 to 30 Sep 2026   |   Generated on: 16-Oct-2026 14:53   |   Staff Count: 8</t>
  </si>
  <si>
    <t>AHMED ADENWALA</t>
  </si>
  <si>
    <t>9h 12m</t>
  </si>
  <si>
    <t>ALPESH PARMAR</t>
  </si>
  <si>
    <t>AMBILY</t>
  </si>
  <si>
    <t>DIPAK VAGHELA</t>
  </si>
  <si>
    <t>HIRANRAJ R</t>
  </si>
  <si>
    <t>9h 6m</t>
  </si>
  <si>
    <t>KARAN MISHRA</t>
  </si>
  <si>
    <t>RAHUL SOLANKI</t>
  </si>
  <si>
    <t>RENUKA SONAVANE</t>
  </si>
  <si>
    <t>DAILY LOGS: AHMED ADENWALA</t>
  </si>
  <si>
    <t>10:40 AM</t>
  </si>
  <si>
    <t>7:36 PM</t>
  </si>
  <si>
    <t>8h 56m</t>
  </si>
  <si>
    <t>Late In (40m)</t>
  </si>
  <si>
    <t>10:52 AM</t>
  </si>
  <si>
    <t>7:58 PM</t>
  </si>
  <si>
    <t>Late In (52m)</t>
  </si>
  <si>
    <t>10:36 AM</t>
  </si>
  <si>
    <t>7:43 PM</t>
  </si>
  <si>
    <t>9h 7m</t>
  </si>
  <si>
    <t>Late In (36m)</t>
  </si>
  <si>
    <t>10:47 AM</t>
  </si>
  <si>
    <t>7:38 PM</t>
  </si>
  <si>
    <t>8h 51m</t>
  </si>
  <si>
    <t>Late In (47m)</t>
  </si>
  <si>
    <t>10:53 AM</t>
  </si>
  <si>
    <t>Late In (53m)</t>
  </si>
  <si>
    <t>10:46 AM</t>
  </si>
  <si>
    <t>7:45 PM</t>
  </si>
  <si>
    <t>8h 59m</t>
  </si>
  <si>
    <t>Late In (46m)</t>
  </si>
  <si>
    <t>10:41 AM</t>
  </si>
  <si>
    <t>8h 58m</t>
  </si>
  <si>
    <t>Late In (41m)</t>
  </si>
  <si>
    <t>10:43 AM</t>
  </si>
  <si>
    <t>9h 16m</t>
  </si>
  <si>
    <t>Late In (43m)</t>
  </si>
  <si>
    <t>7:47 PM</t>
  </si>
  <si>
    <t>9h 4m</t>
  </si>
  <si>
    <t>10:58 AM</t>
  </si>
  <si>
    <t>7:28 PM</t>
  </si>
  <si>
    <t>8h 30m</t>
  </si>
  <si>
    <t>Late In (58m)</t>
  </si>
  <si>
    <t>10:48 AM</t>
  </si>
  <si>
    <t>7:41 PM</t>
  </si>
  <si>
    <t>8h 53m</t>
  </si>
  <si>
    <t>Late In (48m)</t>
  </si>
  <si>
    <t>10:30 AM</t>
  </si>
  <si>
    <t>9h 28m</t>
  </si>
  <si>
    <t>Late In (30m)</t>
  </si>
  <si>
    <t>10:42 AM</t>
  </si>
  <si>
    <t>7:50 PM</t>
  </si>
  <si>
    <t>9h 9m</t>
  </si>
  <si>
    <t>Late In (42m)</t>
  </si>
  <si>
    <t>10:55 AM</t>
  </si>
  <si>
    <t>8:04 PM</t>
  </si>
  <si>
    <t>Late In (55m)</t>
  </si>
  <si>
    <t>10:29 AM</t>
  </si>
  <si>
    <t>Late In (29m)</t>
  </si>
  <si>
    <t>10:35 AM</t>
  </si>
  <si>
    <t>8:08 PM</t>
  </si>
  <si>
    <t>9h 32m</t>
  </si>
  <si>
    <t>Late In (35m)</t>
  </si>
  <si>
    <t>10:45 AM</t>
  </si>
  <si>
    <t>9h 13m</t>
  </si>
  <si>
    <t>Late In (45m)</t>
  </si>
  <si>
    <t>10:44 AM</t>
  </si>
  <si>
    <t>7:57 PM</t>
  </si>
  <si>
    <t>Late In (44m)</t>
  </si>
  <si>
    <t>7:52 PM</t>
  </si>
  <si>
    <t>10:51 AM</t>
  </si>
  <si>
    <t>7:37 PM</t>
  </si>
  <si>
    <t>8h 46m</t>
  </si>
  <si>
    <t>Late In (51m)</t>
  </si>
  <si>
    <t>10:38 AM</t>
  </si>
  <si>
    <t>Late In (38m)</t>
  </si>
  <si>
    <t>Half Day (PL)</t>
  </si>
  <si>
    <t>1:20 PM</t>
  </si>
  <si>
    <t>6h 38m</t>
  </si>
  <si>
    <t>Late In (200m)</t>
  </si>
  <si>
    <t>197h 29m</t>
  </si>
  <si>
    <t>DAILY LOGS: ALPESH PARMAR</t>
  </si>
  <si>
    <t>10:37 AM</t>
  </si>
  <si>
    <t>7:19 PM</t>
  </si>
  <si>
    <t>8h 43m</t>
  </si>
  <si>
    <t>Late In (37m)</t>
  </si>
  <si>
    <t>10:25 AM</t>
  </si>
  <si>
    <t>Late In (25m)</t>
  </si>
  <si>
    <t>10:31 AM</t>
  </si>
  <si>
    <t>7:20 PM</t>
  </si>
  <si>
    <t>8h 48m</t>
  </si>
  <si>
    <t>Late In (31m)</t>
  </si>
  <si>
    <t>10:23 AM</t>
  </si>
  <si>
    <t>7:23 PM</t>
  </si>
  <si>
    <t>Late In (23m)</t>
  </si>
  <si>
    <t>7:13 PM</t>
  </si>
  <si>
    <t>8h 44m</t>
  </si>
  <si>
    <t>10:28 AM</t>
  </si>
  <si>
    <t>8h 45m</t>
  </si>
  <si>
    <t>Late In (28m)</t>
  </si>
  <si>
    <t>10:26 AM</t>
  </si>
  <si>
    <t>7:26 PM</t>
  </si>
  <si>
    <t>Late In (26m)</t>
  </si>
  <si>
    <t>7:35 PM</t>
  </si>
  <si>
    <t>12:07 PM</t>
  </si>
  <si>
    <t>4:37 PM</t>
  </si>
  <si>
    <t>4h 30m</t>
  </si>
  <si>
    <t>Late In (127m), Early Out (142m)</t>
  </si>
  <si>
    <t>9h 5m</t>
  </si>
  <si>
    <t>10:32 AM</t>
  </si>
  <si>
    <t>7:32 PM</t>
  </si>
  <si>
    <t>Late In (32m)</t>
  </si>
  <si>
    <t>10:39 AM</t>
  </si>
  <si>
    <t>7:39 PM</t>
  </si>
  <si>
    <t>Late In (39m)</t>
  </si>
  <si>
    <t>10:34 AM</t>
  </si>
  <si>
    <t>7:34 PM</t>
  </si>
  <si>
    <t>9h 1m</t>
  </si>
  <si>
    <t>Late In (34m)</t>
  </si>
  <si>
    <t>8h 57m</t>
  </si>
  <si>
    <t>10:33 AM</t>
  </si>
  <si>
    <t>8h 50m</t>
  </si>
  <si>
    <t>Late In (33m)</t>
  </si>
  <si>
    <t>3:00 PM</t>
  </si>
  <si>
    <t>Late In (30m), Early Out (239m)</t>
  </si>
  <si>
    <t>9h 2m</t>
  </si>
  <si>
    <t>179h 6m</t>
  </si>
  <si>
    <t>DAILY LOGS: AMBILY</t>
  </si>
  <si>
    <t>216h 0m</t>
  </si>
  <si>
    <t>DAILY LOGS: DIPAK VAGHELA</t>
  </si>
  <si>
    <t>5:55 PM</t>
  </si>
  <si>
    <t>8h 22m</t>
  </si>
  <si>
    <t>Early Out (64m)</t>
  </si>
  <si>
    <t>9:34 AM</t>
  </si>
  <si>
    <t>6:56 PM</t>
  </si>
  <si>
    <t>9h 22m</t>
  </si>
  <si>
    <t>6:55 PM</t>
  </si>
  <si>
    <t>9h 21m</t>
  </si>
  <si>
    <t>6:57 PM</t>
  </si>
  <si>
    <t>9h 23m</t>
  </si>
  <si>
    <t>6:58 PM</t>
  </si>
  <si>
    <t>9h 25m</t>
  </si>
  <si>
    <t>9:45 AM</t>
  </si>
  <si>
    <t>9h 10m</t>
  </si>
  <si>
    <t>1:58 PM</t>
  </si>
  <si>
    <t>4h 57m</t>
  </si>
  <si>
    <t>Late In (238m)</t>
  </si>
  <si>
    <t>9:42 AM</t>
  </si>
  <si>
    <t>9h 14m</t>
  </si>
  <si>
    <t>9h 34m</t>
  </si>
  <si>
    <t>1:38 PM</t>
  </si>
  <si>
    <t>6:59 PM</t>
  </si>
  <si>
    <t>5h 21m</t>
  </si>
  <si>
    <t>Late In (218m)</t>
  </si>
  <si>
    <t>9h 40m</t>
  </si>
  <si>
    <t>9:23 AM</t>
  </si>
  <si>
    <t>7:14 PM</t>
  </si>
  <si>
    <t>9h 51m</t>
  </si>
  <si>
    <t>9:47 AM</t>
  </si>
  <si>
    <t>7:25 PM</t>
  </si>
  <si>
    <t>9h 38m</t>
  </si>
  <si>
    <t>9:32 AM</t>
  </si>
  <si>
    <t>2:03 PM</t>
  </si>
  <si>
    <t>4h 31m</t>
  </si>
  <si>
    <t>Early Out (296m)</t>
  </si>
  <si>
    <t>9:22 AM</t>
  </si>
  <si>
    <t>1:59 PM</t>
  </si>
  <si>
    <t>4h 58m</t>
  </si>
  <si>
    <t>Late In (239m)</t>
  </si>
  <si>
    <t>9:59 AM</t>
  </si>
  <si>
    <t>8:14 PM</t>
  </si>
  <si>
    <t>10h 14m</t>
  </si>
  <si>
    <t>2:00 PM</t>
  </si>
  <si>
    <t>4h 27m</t>
  </si>
  <si>
    <t>Early Out (299m)</t>
  </si>
  <si>
    <t>6:54 PM</t>
  </si>
  <si>
    <t>193h 50m</t>
  </si>
  <si>
    <t>DAILY LOGS: HIRANRAJ R</t>
  </si>
  <si>
    <t>10:08 AM</t>
  </si>
  <si>
    <t>7:04 PM</t>
  </si>
  <si>
    <t>10:17 AM</t>
  </si>
  <si>
    <t>Late In (17m)</t>
  </si>
  <si>
    <t>7:09 PM</t>
  </si>
  <si>
    <t>8h 39m</t>
  </si>
  <si>
    <t>11:08 AM</t>
  </si>
  <si>
    <t>Late In (68m)</t>
  </si>
  <si>
    <t>8h 35m</t>
  </si>
  <si>
    <t>9h 3m</t>
  </si>
  <si>
    <t>11:04 AM</t>
  </si>
  <si>
    <t>8:56 PM</t>
  </si>
  <si>
    <t>9h 52m</t>
  </si>
  <si>
    <t>Late In (64m)</t>
  </si>
  <si>
    <t>10:59 AM</t>
  </si>
  <si>
    <t>9:55 PM</t>
  </si>
  <si>
    <t>10h 55m</t>
  </si>
  <si>
    <t>Late In (59m)</t>
  </si>
  <si>
    <t>7:18 PM</t>
  </si>
  <si>
    <t>8h 31m</t>
  </si>
  <si>
    <t>11:01 AM</t>
  </si>
  <si>
    <t>8:23 PM</t>
  </si>
  <si>
    <t>Late In (61m)</t>
  </si>
  <si>
    <t>7:21 PM</t>
  </si>
  <si>
    <t>7:15 PM</t>
  </si>
  <si>
    <t>7:49 PM</t>
  </si>
  <si>
    <t>199h 18m</t>
  </si>
  <si>
    <t>DAILY LOGS: KARAN MISHRA</t>
  </si>
  <si>
    <t>10:21 AM</t>
  </si>
  <si>
    <t>8:38 PM</t>
  </si>
  <si>
    <t>10h 17m</t>
  </si>
  <si>
    <t>Late In (21m)</t>
  </si>
  <si>
    <t>8:16 PM</t>
  </si>
  <si>
    <t>10:19 AM</t>
  </si>
  <si>
    <t>7:12 PM</t>
  </si>
  <si>
    <t>Late In (19m)</t>
  </si>
  <si>
    <t>10:20 AM</t>
  </si>
  <si>
    <t>Late In (20m)</t>
  </si>
  <si>
    <t>7:26 AM</t>
  </si>
  <si>
    <t>10:50 AM</t>
  </si>
  <si>
    <t>Late In (50m)</t>
  </si>
  <si>
    <t>10:04 AM</t>
  </si>
  <si>
    <t>10:05 AM</t>
  </si>
  <si>
    <t>7:27 PM</t>
  </si>
  <si>
    <t>10:11 AM</t>
  </si>
  <si>
    <t>10:57 AM</t>
  </si>
  <si>
    <t>7:33 PM</t>
  </si>
  <si>
    <t>8h 36m</t>
  </si>
  <si>
    <t>Late In (57m)</t>
  </si>
  <si>
    <t>11:05 AM</t>
  </si>
  <si>
    <t>8:06 PM</t>
  </si>
  <si>
    <t>Late In (65m)</t>
  </si>
  <si>
    <t>10:02 AM</t>
  </si>
  <si>
    <t>7:11 PM</t>
  </si>
  <si>
    <t>7:05 PM</t>
  </si>
  <si>
    <t>10:07 AM</t>
  </si>
  <si>
    <t>7:07 PM</t>
  </si>
  <si>
    <t>10:15 AM</t>
  </si>
  <si>
    <t>Late In (15m)</t>
  </si>
  <si>
    <t>10:18 AM</t>
  </si>
  <si>
    <t>Late In (18m)</t>
  </si>
  <si>
    <t>199h 47m</t>
  </si>
  <si>
    <t>DAILY LOGS: RAHUL SOLANKI</t>
  </si>
  <si>
    <t>10:01 AM</t>
  </si>
  <si>
    <t>7:01 PM</t>
  </si>
  <si>
    <t>9:41 AM</t>
  </si>
  <si>
    <t>7:02 PM</t>
  </si>
  <si>
    <t>9:58 AM</t>
  </si>
  <si>
    <t>9:38 AM</t>
  </si>
  <si>
    <t>7:06 PM</t>
  </si>
  <si>
    <t>9:57 AM</t>
  </si>
  <si>
    <t>9:46 AM</t>
  </si>
  <si>
    <t>10:24 AM</t>
  </si>
  <si>
    <t>8h 37m</t>
  </si>
  <si>
    <t>Late In (24m)</t>
  </si>
  <si>
    <t>7:03 PM</t>
  </si>
  <si>
    <t>9h 19m</t>
  </si>
  <si>
    <t>9:55 AM</t>
  </si>
  <si>
    <t>7:08 PM</t>
  </si>
  <si>
    <t>208h 53m</t>
  </si>
  <si>
    <t>DAILY LOGS: RENUKA SONAVANE</t>
  </si>
  <si>
    <t>9:54 AM</t>
  </si>
  <si>
    <t>7:17 PM</t>
  </si>
  <si>
    <t>9:52 AM</t>
  </si>
  <si>
    <t>7:16 PM</t>
  </si>
  <si>
    <t>9:53 AM</t>
  </si>
  <si>
    <t>9h 41m</t>
  </si>
  <si>
    <t>9h 15m</t>
  </si>
  <si>
    <t>9:26 AM</t>
  </si>
  <si>
    <t>9:56 AM</t>
  </si>
  <si>
    <t>9h 11m</t>
  </si>
  <si>
    <t>10:03 AM</t>
  </si>
  <si>
    <t>8:15 PM</t>
  </si>
  <si>
    <t>10h 12m</t>
  </si>
  <si>
    <t>9h 18m</t>
  </si>
  <si>
    <t>215h 28m</t>
  </si>
  <si>
    <t>NOVUSHA CONSULTING SERVICES INDIA LLP — ATTENDANCE &amp; LEAVE REGISTER</t>
  </si>
  <si>
    <t>Period: 01 Sep 2026 to 30 Sep 2026   |   Generated on: 16-Oct-2026 14:53   |   Staff Count: 13</t>
  </si>
  <si>
    <t>ANUBHAV SINGH</t>
  </si>
  <si>
    <t>ATUL NAGOSE</t>
  </si>
  <si>
    <t>JAGDISH PUROHIT</t>
  </si>
  <si>
    <t>KINJAL KHATRI</t>
  </si>
  <si>
    <t>KRUPALI BUSA</t>
  </si>
  <si>
    <t>NIRALI SHAH</t>
  </si>
  <si>
    <t>PRADEEP KUMAR SINGH</t>
  </si>
  <si>
    <t>PUNIT PANDEY</t>
  </si>
  <si>
    <t>RAUF DAYMA</t>
  </si>
  <si>
    <t>RIYA SAINI</t>
  </si>
  <si>
    <t>SAIF ANSARI</t>
  </si>
  <si>
    <t>8h 54m</t>
  </si>
  <si>
    <t>SHIPRA TRIPATHI</t>
  </si>
  <si>
    <t>YASH GUPTA</t>
  </si>
  <si>
    <t>DAILY LOGS: ANUBHAV SINGH</t>
  </si>
  <si>
    <t>6:53 PM</t>
  </si>
  <si>
    <t>9:51 AM</t>
  </si>
  <si>
    <t>9:35 AM</t>
  </si>
  <si>
    <t>6:48 PM</t>
  </si>
  <si>
    <t>9:39 AM</t>
  </si>
  <si>
    <t>6:47 PM</t>
  </si>
  <si>
    <t>7:48 PM</t>
  </si>
  <si>
    <t>9h 57m</t>
  </si>
  <si>
    <t>9:44 AM</t>
  </si>
  <si>
    <t>6:46 PM</t>
  </si>
  <si>
    <t>9:37 AM</t>
  </si>
  <si>
    <t>6:38 PM</t>
  </si>
  <si>
    <t>Early Out (21m)</t>
  </si>
  <si>
    <t>9:48 AM</t>
  </si>
  <si>
    <t>6:51 PM</t>
  </si>
  <si>
    <t>6:50 PM</t>
  </si>
  <si>
    <t>201h 13m</t>
  </si>
  <si>
    <t>DAILY LOGS: ATUL NAGOSE</t>
  </si>
  <si>
    <t>12:10 PM</t>
  </si>
  <si>
    <t>8:46 PM</t>
  </si>
  <si>
    <t>Late In (130m)</t>
  </si>
  <si>
    <t>11:37 AM</t>
  </si>
  <si>
    <t>8:39 PM</t>
  </si>
  <si>
    <t>Late In (97m)</t>
  </si>
  <si>
    <t>11:56 AM</t>
  </si>
  <si>
    <t>8:35 PM</t>
  </si>
  <si>
    <t>Late In (116m)</t>
  </si>
  <si>
    <t>11:50 AM</t>
  </si>
  <si>
    <t>8:40 PM</t>
  </si>
  <si>
    <t>Late In (110m)</t>
  </si>
  <si>
    <t>12:03 PM</t>
  </si>
  <si>
    <t>8:42 PM</t>
  </si>
  <si>
    <t>Late In (123m)</t>
  </si>
  <si>
    <t>11:07 AM</t>
  </si>
  <si>
    <t>8:41 PM</t>
  </si>
  <si>
    <t>Late In (67m)</t>
  </si>
  <si>
    <t>12:01 PM</t>
  </si>
  <si>
    <t>8:36 PM</t>
  </si>
  <si>
    <t>Late In (121m)</t>
  </si>
  <si>
    <t>11:32 AM</t>
  </si>
  <si>
    <t>Late In (92m)</t>
  </si>
  <si>
    <t>8:17 PM</t>
  </si>
  <si>
    <t>9h 29m</t>
  </si>
  <si>
    <t>11:41 AM</t>
  </si>
  <si>
    <t>9:17 PM</t>
  </si>
  <si>
    <t>9h 36m</t>
  </si>
  <si>
    <t>Late In (101m)</t>
  </si>
  <si>
    <t>11:09 AM</t>
  </si>
  <si>
    <t>9h 31m</t>
  </si>
  <si>
    <t>Late In (69m)</t>
  </si>
  <si>
    <t>11:16 AM</t>
  </si>
  <si>
    <t>Late In (76m)</t>
  </si>
  <si>
    <t>12:09 PM</t>
  </si>
  <si>
    <t>8:43 PM</t>
  </si>
  <si>
    <t>8h 34m</t>
  </si>
  <si>
    <t>Late In (129m)</t>
  </si>
  <si>
    <t>12:00 PM</t>
  </si>
  <si>
    <t>8:45 PM</t>
  </si>
  <si>
    <t>Late In (120m)</t>
  </si>
  <si>
    <t>12:02 PM</t>
  </si>
  <si>
    <t>8h 33m</t>
  </si>
  <si>
    <t>Late In (122m)</t>
  </si>
  <si>
    <t>12:08 PM</t>
  </si>
  <si>
    <t>8h 32m</t>
  </si>
  <si>
    <t>Late In (128m)</t>
  </si>
  <si>
    <t>11:57 AM</t>
  </si>
  <si>
    <t>9:03 PM</t>
  </si>
  <si>
    <t>Late In (117m)</t>
  </si>
  <si>
    <t>187h 57m</t>
  </si>
  <si>
    <t>DAILY LOGS: JAGDISH PUROHIT</t>
  </si>
  <si>
    <t>9:50 AM</t>
  </si>
  <si>
    <t>6:31 PM</t>
  </si>
  <si>
    <t>8h 40m</t>
  </si>
  <si>
    <t>Early Out (28m)</t>
  </si>
  <si>
    <t>12:53 PM</t>
  </si>
  <si>
    <t>6:42 PM</t>
  </si>
  <si>
    <t>5h 49m</t>
  </si>
  <si>
    <t>Late In (173m), Early Out (18m)</t>
  </si>
  <si>
    <t>9:43 AM</t>
  </si>
  <si>
    <t>105h 26m</t>
  </si>
  <si>
    <t>DAILY LOGS: KINJAL KHATRI</t>
  </si>
  <si>
    <t>8h 49m</t>
  </si>
  <si>
    <t>10:16 AM</t>
  </si>
  <si>
    <t>8h 18m</t>
  </si>
  <si>
    <t>Late In (16m)</t>
  </si>
  <si>
    <t>10:14 AM</t>
  </si>
  <si>
    <t>7:22 PM</t>
  </si>
  <si>
    <t>8:51 PM</t>
  </si>
  <si>
    <t>199h 0m</t>
  </si>
  <si>
    <t>DAILY LOGS: KRUPALI BUSA</t>
  </si>
  <si>
    <t>6:40 PM</t>
  </si>
  <si>
    <t>Early Out (19m)</t>
  </si>
  <si>
    <t>6:32 PM</t>
  </si>
  <si>
    <t>Early Out (27m)</t>
  </si>
  <si>
    <t>9:20 AM</t>
  </si>
  <si>
    <t>9:36 AM</t>
  </si>
  <si>
    <t>6:45 PM</t>
  </si>
  <si>
    <t>6:03 PM</t>
  </si>
  <si>
    <t>8h 13m</t>
  </si>
  <si>
    <t>Early Out (57m)</t>
  </si>
  <si>
    <t>9:17 AM</t>
  </si>
  <si>
    <t>6:35 PM</t>
  </si>
  <si>
    <t>Early Out (25m)</t>
  </si>
  <si>
    <t>6:37 PM</t>
  </si>
  <si>
    <t>Early Out (23m)</t>
  </si>
  <si>
    <t>9:07 AM</t>
  </si>
  <si>
    <t>6:01 PM</t>
  </si>
  <si>
    <t>Early Out (58m)</t>
  </si>
  <si>
    <t>198h 45m</t>
  </si>
  <si>
    <t>DAILY LOGS: NIRALI SHAH</t>
  </si>
  <si>
    <t>DAILY LOGS: PRADEEP KUMAR SINGH</t>
  </si>
  <si>
    <t>6:28 PM</t>
  </si>
  <si>
    <t>7h 45m</t>
  </si>
  <si>
    <t>Late In (43m), Early Out (32m)</t>
  </si>
  <si>
    <t>10:27 AM</t>
  </si>
  <si>
    <t>Late In (27m)</t>
  </si>
  <si>
    <t>6:15 PM</t>
  </si>
  <si>
    <t>Early Out (44m)</t>
  </si>
  <si>
    <t>9:12 AM</t>
  </si>
  <si>
    <t>6:18 PM</t>
  </si>
  <si>
    <t>Early Out (41m)</t>
  </si>
  <si>
    <t>9:14 AM</t>
  </si>
  <si>
    <t>6:44 PM</t>
  </si>
  <si>
    <t>Early Out (15m)</t>
  </si>
  <si>
    <t>8:21 AM</t>
  </si>
  <si>
    <t>5:22 PM</t>
  </si>
  <si>
    <t>Early Out (97m)</t>
  </si>
  <si>
    <t>7:30 PM</t>
  </si>
  <si>
    <t>9:25 AM</t>
  </si>
  <si>
    <t>7:44 PM</t>
  </si>
  <si>
    <t>9h 26m</t>
  </si>
  <si>
    <t>10:12 AM</t>
  </si>
  <si>
    <t>8:00 AM</t>
  </si>
  <si>
    <t>10h 30m</t>
  </si>
  <si>
    <t>10:13 AM</t>
  </si>
  <si>
    <t>9h 59m</t>
  </si>
  <si>
    <t>214h 19m</t>
  </si>
  <si>
    <t>DAILY LOGS: PUNIT PANDEY</t>
  </si>
  <si>
    <t>8h 19m</t>
  </si>
  <si>
    <t>9h 39m</t>
  </si>
  <si>
    <t>8h 20m</t>
  </si>
  <si>
    <t>8h 41m</t>
  </si>
  <si>
    <t>8h 25m</t>
  </si>
  <si>
    <t>10:06 AM</t>
  </si>
  <si>
    <t>8h 55m</t>
  </si>
  <si>
    <t>9h 49m</t>
  </si>
  <si>
    <t>8h 42m</t>
  </si>
  <si>
    <t>10:34 PM</t>
  </si>
  <si>
    <t>12h 34m</t>
  </si>
  <si>
    <t>210h 48m</t>
  </si>
  <si>
    <t>DAILY LOGS: RAUF DAYMA</t>
  </si>
  <si>
    <t>8:39 AM</t>
  </si>
  <si>
    <t>6:06 PM</t>
  </si>
  <si>
    <t>Early Out (53m)</t>
  </si>
  <si>
    <t>5:33 PM</t>
  </si>
  <si>
    <t>Early Out (86m)</t>
  </si>
  <si>
    <t>9:09 PM</t>
  </si>
  <si>
    <t>11h 2m</t>
  </si>
  <si>
    <t>5:07 PM</t>
  </si>
  <si>
    <t>Early Out (112m)</t>
  </si>
  <si>
    <t>11:26 AM</t>
  </si>
  <si>
    <t>8h 1m</t>
  </si>
  <si>
    <t>Late In (86m)</t>
  </si>
  <si>
    <t>8:23 AM</t>
  </si>
  <si>
    <t>10h 57m</t>
  </si>
  <si>
    <t>8:29 AM</t>
  </si>
  <si>
    <t>5:53 PM</t>
  </si>
  <si>
    <t>Early Out (66m)</t>
  </si>
  <si>
    <t>193h 14m</t>
  </si>
  <si>
    <t>DAILY LOGS: RIYA SAINI</t>
  </si>
  <si>
    <t>Standard Shift 10:00–19:00</t>
  </si>
  <si>
    <t>DAILY LOGS: SAIF ANSARI</t>
  </si>
  <si>
    <t>SFPL SHIFT 10-7 10:00–19:00</t>
  </si>
  <si>
    <t>Late In (2m)</t>
  </si>
  <si>
    <t>Late In (1m)</t>
  </si>
  <si>
    <t>Late In (1m), Early Out (24m)</t>
  </si>
  <si>
    <t>6:49 PM</t>
  </si>
  <si>
    <t>Late In (0m), Early Out (10m)</t>
  </si>
  <si>
    <t>Early Out (10m)</t>
  </si>
  <si>
    <t>Late In (7m), Early Out (6m)</t>
  </si>
  <si>
    <t>Early Out (14m)</t>
  </si>
  <si>
    <t>8h 47m</t>
  </si>
  <si>
    <t>Early Out (13m)</t>
  </si>
  <si>
    <t>8h 23m</t>
  </si>
  <si>
    <t>Late In (17m), Early Out (19m)</t>
  </si>
  <si>
    <t>Early Out (8m)</t>
  </si>
  <si>
    <t>6:29 PM</t>
  </si>
  <si>
    <t>9:29 AM</t>
  </si>
  <si>
    <t>6:22 PM</t>
  </si>
  <si>
    <t>Early Out (37m)</t>
  </si>
  <si>
    <t>6:33 PM</t>
  </si>
  <si>
    <t>Early Out (26m)</t>
  </si>
  <si>
    <t>8:46 AM</t>
  </si>
  <si>
    <t>6:21 PM</t>
  </si>
  <si>
    <t>Early Out (38m)</t>
  </si>
  <si>
    <t>6:34 PM</t>
  </si>
  <si>
    <t>6:25 PM</t>
  </si>
  <si>
    <t>Early Out (34m)</t>
  </si>
  <si>
    <t>6:39 PM</t>
  </si>
  <si>
    <t>Early Out (20m)</t>
  </si>
  <si>
    <t>195h 24m</t>
  </si>
  <si>
    <t>DAILY LOGS: SHIPRA TRIPATHI</t>
  </si>
  <si>
    <t>10:10 AM</t>
  </si>
  <si>
    <t>7:31 PM</t>
  </si>
  <si>
    <t>11:15 PM</t>
  </si>
  <si>
    <t>13h 10m</t>
  </si>
  <si>
    <t>10:09 AM</t>
  </si>
  <si>
    <t>5h 26m</t>
  </si>
  <si>
    <t>7:54 PM</t>
  </si>
  <si>
    <t>191h 1m</t>
  </si>
  <si>
    <t>DAILY LOGS: YASH GUPTA</t>
  </si>
  <si>
    <t>10:22 AM</t>
  </si>
  <si>
    <t>Late In (22m)</t>
  </si>
  <si>
    <t>8h 52m</t>
  </si>
  <si>
    <t>9h 53m</t>
  </si>
  <si>
    <t>8:09 PM</t>
  </si>
  <si>
    <t>11:48 AM</t>
  </si>
  <si>
    <t>7h 25m</t>
  </si>
  <si>
    <t>Late In (108m)</t>
  </si>
  <si>
    <t>9h 45m</t>
  </si>
  <si>
    <t>160h 16m</t>
  </si>
  <si>
    <t>PARAMOUNT PROPACK PRIVATE LIMITED — ATTENDANCE &amp; LEAVE REGISTER</t>
  </si>
  <si>
    <t>KRISHNAPAL PUVAR</t>
  </si>
  <si>
    <t>PRATIK SAKRECHA</t>
  </si>
  <si>
    <t>DAILY LOGS: KRISHNAPAL PUVAR</t>
  </si>
  <si>
    <t>DAILY LOGS: PRATIK SAKRECHA</t>
  </si>
  <si>
    <t>9h 20m</t>
  </si>
  <si>
    <t>9:06 AM</t>
  </si>
  <si>
    <t>5:59 PM</t>
  </si>
  <si>
    <t>6:23 PM</t>
  </si>
  <si>
    <t>Early Out (36m)</t>
  </si>
  <si>
    <t>9:03 AM</t>
  </si>
  <si>
    <t>Early Out (31m)</t>
  </si>
  <si>
    <t>6:10 PM</t>
  </si>
  <si>
    <t>Early Out (49m)</t>
  </si>
  <si>
    <t>6:11 PM</t>
  </si>
  <si>
    <t>Early Out (48m)</t>
  </si>
  <si>
    <t>Early Out (39m)</t>
  </si>
  <si>
    <t>Early Out (50m)</t>
  </si>
  <si>
    <t>9:11 AM</t>
  </si>
  <si>
    <t>9:16 AM</t>
  </si>
  <si>
    <t>9:05 AM</t>
  </si>
  <si>
    <t>211h 10m</t>
  </si>
  <si>
    <t>SANSAR TRADELINK — ATTENDANCE &amp; LEAVE REGISTER</t>
  </si>
  <si>
    <t>Period: 01 Sep 2026 to 30 Sep 2026   |   Generated on: 16-Oct-2026 14:53   |   Staff Count: 11</t>
  </si>
  <si>
    <t>AKASH PARMAR</t>
  </si>
  <si>
    <t>BHOOMI MISTRY</t>
  </si>
  <si>
    <t>DEEPIKA  MAKWANA</t>
  </si>
  <si>
    <t>DIXITA SEVRA</t>
  </si>
  <si>
    <t>HIMANSHU SINGH</t>
  </si>
  <si>
    <t>JAY KACHA</t>
  </si>
  <si>
    <t>JEEVAN DRAVID</t>
  </si>
  <si>
    <t>JIMMY  MAKWANA</t>
  </si>
  <si>
    <t>9h 42m</t>
  </si>
  <si>
    <t>MANOJ ADIDRAVID</t>
  </si>
  <si>
    <t>PARTH SOLANKI</t>
  </si>
  <si>
    <t>SRUTHI NAIR</t>
  </si>
  <si>
    <t>DAILY LOGS: AKASH PARMAR</t>
  </si>
  <si>
    <t>8:27 AM</t>
  </si>
  <si>
    <t>5:34 PM</t>
  </si>
  <si>
    <t>Early Out (85m)</t>
  </si>
  <si>
    <t>8:30 AM</t>
  </si>
  <si>
    <t>5:25 PM</t>
  </si>
  <si>
    <t>Early Out (94m)</t>
  </si>
  <si>
    <t>8:28 AM</t>
  </si>
  <si>
    <t>8:31 AM</t>
  </si>
  <si>
    <t>5:37 PM</t>
  </si>
  <si>
    <t>Early Out (82m)</t>
  </si>
  <si>
    <t>5:31 PM</t>
  </si>
  <si>
    <t>Early Out (88m)</t>
  </si>
  <si>
    <t>8:34 AM</t>
  </si>
  <si>
    <t>5:35 PM</t>
  </si>
  <si>
    <t>Early Out (84m)</t>
  </si>
  <si>
    <t>5:50 PM</t>
  </si>
  <si>
    <t>Early Out (69m)</t>
  </si>
  <si>
    <t>10h 11m</t>
  </si>
  <si>
    <t>Early Out (17m)</t>
  </si>
  <si>
    <t>4:07 PM</t>
  </si>
  <si>
    <t>7h 39m</t>
  </si>
  <si>
    <t>Early Out (173m)</t>
  </si>
  <si>
    <t>5:36 PM</t>
  </si>
  <si>
    <t>Early Out (83m)</t>
  </si>
  <si>
    <t>5:30 PM</t>
  </si>
  <si>
    <t>Early Out (89m)</t>
  </si>
  <si>
    <t>6:02 PM</t>
  </si>
  <si>
    <t>8:25 AM</t>
  </si>
  <si>
    <t>5:24 PM</t>
  </si>
  <si>
    <t>Early Out (95m)</t>
  </si>
  <si>
    <t>8:24 AM</t>
  </si>
  <si>
    <t>5:27 PM</t>
  </si>
  <si>
    <t>Early Out (92m)</t>
  </si>
  <si>
    <t>200h 22m</t>
  </si>
  <si>
    <t>DAILY LOGS: BHOOMI MISTRY</t>
  </si>
  <si>
    <t>9h 35m</t>
  </si>
  <si>
    <t>199h 58m</t>
  </si>
  <si>
    <t>DAILY LOGS: DEEPIKA  MAKWANA</t>
  </si>
  <si>
    <t>2:30 PM</t>
  </si>
  <si>
    <t>4h 1m</t>
  </si>
  <si>
    <t>Late In (29m), Early Out (270m)</t>
  </si>
  <si>
    <t>7:15 AM</t>
  </si>
  <si>
    <t>7:00 AM</t>
  </si>
  <si>
    <t>7:05 AM</t>
  </si>
  <si>
    <t>7:22 AM</t>
  </si>
  <si>
    <t>174h 4m</t>
  </si>
  <si>
    <t>DAILY LOGS: DIXITA SEVRA</t>
  </si>
  <si>
    <t>11:36 AM</t>
  </si>
  <si>
    <t>Late In (96m)</t>
  </si>
  <si>
    <t>9h 44m</t>
  </si>
  <si>
    <t>8:49 PM</t>
  </si>
  <si>
    <t>10h 37m</t>
  </si>
  <si>
    <t>1:54 PM</t>
  </si>
  <si>
    <t>5h 16m</t>
  </si>
  <si>
    <t>Late In (234m)</t>
  </si>
  <si>
    <t>8:32 PM</t>
  </si>
  <si>
    <t>10h 19m</t>
  </si>
  <si>
    <t>7:53 PM</t>
  </si>
  <si>
    <t>8:07 PM</t>
  </si>
  <si>
    <t>7:55 PM</t>
  </si>
  <si>
    <t>8:20 PM</t>
  </si>
  <si>
    <t>9h 47m</t>
  </si>
  <si>
    <t>180h 14m</t>
  </si>
  <si>
    <t>DAILY LOGS: HIMANSHU SINGH</t>
  </si>
  <si>
    <t>10:56 AM</t>
  </si>
  <si>
    <t>Late In (56m)</t>
  </si>
  <si>
    <t>7:42 PM</t>
  </si>
  <si>
    <t>8h 29m</t>
  </si>
  <si>
    <t>8:10 PM</t>
  </si>
  <si>
    <t>10h 7m</t>
  </si>
  <si>
    <t>7:29 PM</t>
  </si>
  <si>
    <t>9h 37m</t>
  </si>
  <si>
    <t>10h 27m</t>
  </si>
  <si>
    <t>Half Day</t>
  </si>
  <si>
    <t>2:25 PM</t>
  </si>
  <si>
    <t>4h 0m</t>
  </si>
  <si>
    <t>Late In (25m), Early Out (275m)</t>
  </si>
  <si>
    <t>210h 25m</t>
  </si>
  <si>
    <t>DAILY LOGS: JAY KACHA</t>
  </si>
  <si>
    <t>209h 20m</t>
  </si>
  <si>
    <t>DAILY LOGS: JEEVAN DRAVID</t>
  </si>
  <si>
    <t>8:01 PM</t>
  </si>
  <si>
    <t>8h 21m</t>
  </si>
  <si>
    <t>9:49 AM</t>
  </si>
  <si>
    <t>204h 45m</t>
  </si>
  <si>
    <t>DAILY LOGS: JIMMY  MAKWANA</t>
  </si>
  <si>
    <t>10:10 PM</t>
  </si>
  <si>
    <t>11h 54m</t>
  </si>
  <si>
    <t>9:28 PM</t>
  </si>
  <si>
    <t>11h 3m</t>
  </si>
  <si>
    <t>9:57 PM</t>
  </si>
  <si>
    <t>11h 47m</t>
  </si>
  <si>
    <t>9:20 PM</t>
  </si>
  <si>
    <t>214h 30m</t>
  </si>
  <si>
    <t>DAILY LOGS: MANOJ ADIDRAVID</t>
  </si>
  <si>
    <t>5h 5m</t>
  </si>
  <si>
    <t>Early Out (240m)</t>
  </si>
  <si>
    <t>9h 55m</t>
  </si>
  <si>
    <t>2:55 PM</t>
  </si>
  <si>
    <t>4h 55m</t>
  </si>
  <si>
    <t>Early Out (245m)</t>
  </si>
  <si>
    <t>202h 11m</t>
  </si>
  <si>
    <t>DAILY LOGS: PARTH SOLANKI</t>
  </si>
  <si>
    <t>9h 56m</t>
  </si>
  <si>
    <t>Early Out (22m)</t>
  </si>
  <si>
    <t>174h 44m</t>
  </si>
  <si>
    <t>DAILY LOGS: SRUTHI NAIR</t>
  </si>
  <si>
    <t>177h 0m</t>
  </si>
  <si>
    <t>SR CONTAINER CARRIERS — ATTENDANCE &amp; LEAVE REGISTER</t>
  </si>
  <si>
    <t>Period: 01 Sep 2026 to 30 Sep 2026   |   Generated on: 16-Oct-2026 14:53   |   Staff Count: 19</t>
  </si>
  <si>
    <t>ADARSH SINGH</t>
  </si>
  <si>
    <t>AFTAB BELIM</t>
  </si>
  <si>
    <t>AJAY SINGH</t>
  </si>
  <si>
    <t>AVINASH  PANDEY</t>
  </si>
  <si>
    <t>9h 54m</t>
  </si>
  <si>
    <t>AYAN CHAUHAN</t>
  </si>
  <si>
    <t>DASAK SHAH</t>
  </si>
  <si>
    <t>DEEPAK SINGH</t>
  </si>
  <si>
    <t>JAYMIN PARMAR</t>
  </si>
  <si>
    <t>11h 12m</t>
  </si>
  <si>
    <t>JISHNU T</t>
  </si>
  <si>
    <t>KULDEEP RAWAT</t>
  </si>
  <si>
    <t>LIBIN V.</t>
  </si>
  <si>
    <t>MOHIT SINGH</t>
  </si>
  <si>
    <t>PAHAD SINGH</t>
  </si>
  <si>
    <t>PARAG MALI</t>
  </si>
  <si>
    <t>PARTH SHETH</t>
  </si>
  <si>
    <t>SANTOSH BARMAN</t>
  </si>
  <si>
    <t>SREEKUMAR NAIR</t>
  </si>
  <si>
    <t>10h 42m</t>
  </si>
  <si>
    <t>SUNIL THAKUR</t>
  </si>
  <si>
    <t>10h 54m</t>
  </si>
  <si>
    <t>VIKAS CHANDRA</t>
  </si>
  <si>
    <t>DAILY LOGS: ADARSH SINGH</t>
  </si>
  <si>
    <t>SRCC 4 AM to 2 PM 04:00–14:00</t>
  </si>
  <si>
    <t>Late In (292m)</t>
  </si>
  <si>
    <t>4:58 AM</t>
  </si>
  <si>
    <t>2:34 PM</t>
  </si>
  <si>
    <t>4:30 AM</t>
  </si>
  <si>
    <t>2:20 PM</t>
  </si>
  <si>
    <t>9h 50m</t>
  </si>
  <si>
    <t>9:08 AM</t>
  </si>
  <si>
    <t>Late In (308m)</t>
  </si>
  <si>
    <t>Late In (315m)</t>
  </si>
  <si>
    <t>6:13 AM</t>
  </si>
  <si>
    <t>3:01 PM</t>
  </si>
  <si>
    <t>Late In (133m)</t>
  </si>
  <si>
    <t>5:52 AM</t>
  </si>
  <si>
    <t>10h 36m</t>
  </si>
  <si>
    <t>Late In (112m)</t>
  </si>
  <si>
    <t>3:40 AM</t>
  </si>
  <si>
    <t>2:10 PM</t>
  </si>
  <si>
    <t>1:19 PM</t>
  </si>
  <si>
    <t>Late In (559m)</t>
  </si>
  <si>
    <t>6:54 AM</t>
  </si>
  <si>
    <t>Late In (174m)</t>
  </si>
  <si>
    <t>7:55 AM</t>
  </si>
  <si>
    <t>Late In (235m)</t>
  </si>
  <si>
    <t>5:28 AM</t>
  </si>
  <si>
    <t>Late In (88m)</t>
  </si>
  <si>
    <t>11:30 AM</t>
  </si>
  <si>
    <t>0h 2m</t>
  </si>
  <si>
    <t>Late In (450m), Early Out (148m)</t>
  </si>
  <si>
    <t>6:41 AM</t>
  </si>
  <si>
    <t>Late In (161m)</t>
  </si>
  <si>
    <t>3:34 AM</t>
  </si>
  <si>
    <t>2:08 PM</t>
  </si>
  <si>
    <t>10h 33m</t>
  </si>
  <si>
    <t>3:30 AM</t>
  </si>
  <si>
    <t>8:17 AM</t>
  </si>
  <si>
    <t>3:54 PM</t>
  </si>
  <si>
    <t>7h 37m</t>
  </si>
  <si>
    <t>Late In (257m)</t>
  </si>
  <si>
    <t>7:03 AM</t>
  </si>
  <si>
    <t>Late In (183m)</t>
  </si>
  <si>
    <t>4:42 AM</t>
  </si>
  <si>
    <t>6:19 AM</t>
  </si>
  <si>
    <t>4:06 PM</t>
  </si>
  <si>
    <t>Late In (139m)</t>
  </si>
  <si>
    <t>85h 31m</t>
  </si>
  <si>
    <t>DAILY LOGS: AFTAB BELIM</t>
  </si>
  <si>
    <t>9:30 PM</t>
  </si>
  <si>
    <t>7h 0m</t>
  </si>
  <si>
    <t>Late In (690m)</t>
  </si>
  <si>
    <t>Late In (5m)</t>
  </si>
  <si>
    <t>11:12 AM</t>
  </si>
  <si>
    <t>Late In (72m)</t>
  </si>
  <si>
    <t>10:49 AM</t>
  </si>
  <si>
    <t>Late In (49m)</t>
  </si>
  <si>
    <t>106h 16m</t>
  </si>
  <si>
    <t>DAILY LOGS: AJAY SINGH</t>
  </si>
  <si>
    <t>SRCC 2PM-11PM 14:00–23:00</t>
  </si>
  <si>
    <t>2:09 PM</t>
  </si>
  <si>
    <t>11:39 PM</t>
  </si>
  <si>
    <t>11:08 PM</t>
  </si>
  <si>
    <t>2:06 PM</t>
  </si>
  <si>
    <t>11:41 PM</t>
  </si>
  <si>
    <t>12:30 AM</t>
  </si>
  <si>
    <t>8h 0m</t>
  </si>
  <si>
    <t>2:02 PM</t>
  </si>
  <si>
    <t>11:10 PM</t>
  </si>
  <si>
    <t>2:14 PM</t>
  </si>
  <si>
    <t>11:56 PM</t>
  </si>
  <si>
    <t>2:13 PM</t>
  </si>
  <si>
    <t>11:57 PM</t>
  </si>
  <si>
    <t>11:20 PM</t>
  </si>
  <si>
    <t>11:14 PM</t>
  </si>
  <si>
    <t>2:56 PM</t>
  </si>
  <si>
    <t>2:32 PM</t>
  </si>
  <si>
    <t>2:11 PM</t>
  </si>
  <si>
    <t>1:53 PM</t>
  </si>
  <si>
    <t>11:33 PM</t>
  </si>
  <si>
    <t>11:37 PM</t>
  </si>
  <si>
    <t>2:19 PM</t>
  </si>
  <si>
    <t>11:30 PM</t>
  </si>
  <si>
    <t>11:45 PM</t>
  </si>
  <si>
    <t>1:51 PM</t>
  </si>
  <si>
    <t>10:51 PM</t>
  </si>
  <si>
    <t>2:26 PM</t>
  </si>
  <si>
    <t>2:31 PM</t>
  </si>
  <si>
    <t>11:35 PM</t>
  </si>
  <si>
    <t>11:42 PM</t>
  </si>
  <si>
    <t>6:30 AM</t>
  </si>
  <si>
    <t>11h 16m</t>
  </si>
  <si>
    <t>Late In (314m)</t>
  </si>
  <si>
    <t>2:29 PM</t>
  </si>
  <si>
    <t>11:46 PM</t>
  </si>
  <si>
    <t>2:15 PM</t>
  </si>
  <si>
    <t>232h 57m</t>
  </si>
  <si>
    <t>DAILY LOGS: AVINASH  PANDEY</t>
  </si>
  <si>
    <t>9:59 PM</t>
  </si>
  <si>
    <t>11h 27m</t>
  </si>
  <si>
    <t>11:18 AM</t>
  </si>
  <si>
    <t>9:44 PM</t>
  </si>
  <si>
    <t>10h 25m</t>
  </si>
  <si>
    <t>Late In (78m)</t>
  </si>
  <si>
    <t>12:56 PM</t>
  </si>
  <si>
    <t>Late In (176m)</t>
  </si>
  <si>
    <t>12:11 PM</t>
  </si>
  <si>
    <t>Late In (131m)</t>
  </si>
  <si>
    <t>9:39 PM</t>
  </si>
  <si>
    <t>11:17 AM</t>
  </si>
  <si>
    <t>9:33 PM</t>
  </si>
  <si>
    <t>10h 16m</t>
  </si>
  <si>
    <t>Late In (77m)</t>
  </si>
  <si>
    <t>9:45 PM</t>
  </si>
  <si>
    <t>10h 41m</t>
  </si>
  <si>
    <t>11:52 AM</t>
  </si>
  <si>
    <t>11:45 AM</t>
  </si>
  <si>
    <t>8:57 PM</t>
  </si>
  <si>
    <t>Late In (105m)</t>
  </si>
  <si>
    <t>11:19 AM</t>
  </si>
  <si>
    <t>Late In (79m)</t>
  </si>
  <si>
    <t>9:23 PM</t>
  </si>
  <si>
    <t>10:32 PM</t>
  </si>
  <si>
    <t>11h 34m</t>
  </si>
  <si>
    <t>10h 6m</t>
  </si>
  <si>
    <t>11:20 AM</t>
  </si>
  <si>
    <t>Late In (80m)</t>
  </si>
  <si>
    <t>9:25 PM</t>
  </si>
  <si>
    <t>10:00 PM</t>
  </si>
  <si>
    <t>11h 22m</t>
  </si>
  <si>
    <t>218h 50m</t>
  </si>
  <si>
    <t>DAILY LOGS: AYAN CHAUHAN</t>
  </si>
  <si>
    <t>8h 3m</t>
  </si>
  <si>
    <t>Late In (29m), Early Out (26m)</t>
  </si>
  <si>
    <t>8:13 PM</t>
  </si>
  <si>
    <t>11:38 AM</t>
  </si>
  <si>
    <t>8h 26m</t>
  </si>
  <si>
    <t>Late In (98m)</t>
  </si>
  <si>
    <t>8:25 PM</t>
  </si>
  <si>
    <t>8:12 PM</t>
  </si>
  <si>
    <t>209h 18m</t>
  </si>
  <si>
    <t>DAILY LOGS: DASAK SHAH</t>
  </si>
  <si>
    <t>11:03 AM</t>
  </si>
  <si>
    <t>Late In (63m)</t>
  </si>
  <si>
    <t>8:11 PM</t>
  </si>
  <si>
    <t>0h 20m</t>
  </si>
  <si>
    <t>Late In (113m)</t>
  </si>
  <si>
    <t>8:52 PM</t>
  </si>
  <si>
    <t>10h 9m</t>
  </si>
  <si>
    <t>6:16 PM</t>
  </si>
  <si>
    <t>8h 16m</t>
  </si>
  <si>
    <t>Early Out (43m)</t>
  </si>
  <si>
    <t>Late In (56m), Early Out (39m)</t>
  </si>
  <si>
    <t>11:42 AM</t>
  </si>
  <si>
    <t>6h 29m</t>
  </si>
  <si>
    <t>Late In (102m), Early Out (49m)</t>
  </si>
  <si>
    <t>10:54 AM</t>
  </si>
  <si>
    <t>10:39 PM</t>
  </si>
  <si>
    <t>11h 45m</t>
  </si>
  <si>
    <t>Late In (54m)</t>
  </si>
  <si>
    <t>12:35 PM</t>
  </si>
  <si>
    <t>7h 35m</t>
  </si>
  <si>
    <t>Late In (155m)</t>
  </si>
  <si>
    <t>9:00 PM</t>
  </si>
  <si>
    <t>10h 48m</t>
  </si>
  <si>
    <t>9:14 PM</t>
  </si>
  <si>
    <t>10h 34m</t>
  </si>
  <si>
    <t>8:31 PM</t>
  </si>
  <si>
    <t>10h 23m</t>
  </si>
  <si>
    <t>9:12 PM</t>
  </si>
  <si>
    <t>10:06 PM</t>
  </si>
  <si>
    <t>2:28 PM</t>
  </si>
  <si>
    <t>7h 31m</t>
  </si>
  <si>
    <t>Late In (268m)</t>
  </si>
  <si>
    <t>8:37 PM</t>
  </si>
  <si>
    <t>8:19 PM</t>
  </si>
  <si>
    <t>178h 55m</t>
  </si>
  <si>
    <t>DAILY LOGS: DEEPAK SINGH</t>
  </si>
  <si>
    <t>12:47 PM</t>
  </si>
  <si>
    <t>7h 5m</t>
  </si>
  <si>
    <t>Late In (167m)</t>
  </si>
  <si>
    <t>8:47 PM</t>
  </si>
  <si>
    <t>1:33 PM</t>
  </si>
  <si>
    <t>5h 58m</t>
  </si>
  <si>
    <t>Late In (213m)</t>
  </si>
  <si>
    <t>104h 4m</t>
  </si>
  <si>
    <t>DAILY LOGS: JAYMIN PARMAR</t>
  </si>
  <si>
    <t>Operation  Shift 15:00–07:00</t>
  </si>
  <si>
    <t>Late In (300m)</t>
  </si>
  <si>
    <t>Late In (299m)</t>
  </si>
  <si>
    <t>6:11 AM</t>
  </si>
  <si>
    <t>11h 15m</t>
  </si>
  <si>
    <t>Late In (236m), Early Out (48m)</t>
  </si>
  <si>
    <t>Late In (228m)</t>
  </si>
  <si>
    <t>7:32 AM</t>
  </si>
  <si>
    <t>11h 58m</t>
  </si>
  <si>
    <t>Late In (274m)</t>
  </si>
  <si>
    <t>4:52 AM</t>
  </si>
  <si>
    <t>10h 10m</t>
  </si>
  <si>
    <t>Late In (222m), Early Out (127m)</t>
  </si>
  <si>
    <t>Late In (251m)</t>
  </si>
  <si>
    <t>Late In (259m)</t>
  </si>
  <si>
    <t>7:04 AM</t>
  </si>
  <si>
    <t>11h 49m</t>
  </si>
  <si>
    <t>Late In (255m)</t>
  </si>
  <si>
    <t>11h 41m</t>
  </si>
  <si>
    <t>7:56 AM</t>
  </si>
  <si>
    <t>12h 1m</t>
  </si>
  <si>
    <t>Late In (295m)</t>
  </si>
  <si>
    <t>Late In (267m)</t>
  </si>
  <si>
    <t>Late In (312m)</t>
  </si>
  <si>
    <t>8:09 AM</t>
  </si>
  <si>
    <t>11h 46m</t>
  </si>
  <si>
    <t>Late In (323m)</t>
  </si>
  <si>
    <t>7:06 AM</t>
  </si>
  <si>
    <t>12h 0m</t>
  </si>
  <si>
    <t>Late In (246m)</t>
  </si>
  <si>
    <t>Late In (173m)</t>
  </si>
  <si>
    <t>Late In (302m)</t>
  </si>
  <si>
    <t>Late In (258m)</t>
  </si>
  <si>
    <t>Late In (272m)</t>
  </si>
  <si>
    <t>6:36 AM</t>
  </si>
  <si>
    <t>11h 9m</t>
  </si>
  <si>
    <t>Late In (267m), Early Out (23m)</t>
  </si>
  <si>
    <t>Late In (283m)</t>
  </si>
  <si>
    <t>6:14 AM</t>
  </si>
  <si>
    <t>Late In (285m), Early Out (45m)</t>
  </si>
  <si>
    <t>3:21 PM</t>
  </si>
  <si>
    <t>Late In (21m), Early Out (554m)</t>
  </si>
  <si>
    <t>1:02 PM</t>
  </si>
  <si>
    <t>Early Out (554m)</t>
  </si>
  <si>
    <t>123h 0m</t>
  </si>
  <si>
    <t>DAILY LOGS: JISHNU T</t>
  </si>
  <si>
    <t>11h 19m</t>
  </si>
  <si>
    <t>11:10 AM</t>
  </si>
  <si>
    <t>Late In (70m)</t>
  </si>
  <si>
    <t>21h 4m</t>
  </si>
  <si>
    <t>DAILY LOGS: KULDEEP RAWAT</t>
  </si>
  <si>
    <t>2:12 PM</t>
  </si>
  <si>
    <t>Late In (252m)</t>
  </si>
  <si>
    <t>11h 30m</t>
  </si>
  <si>
    <t>9:40 PM</t>
  </si>
  <si>
    <t>11h 51m</t>
  </si>
  <si>
    <t>11h 48m</t>
  </si>
  <si>
    <t>12:19 PM</t>
  </si>
  <si>
    <t>0h 8m</t>
  </si>
  <si>
    <t>Early Out (519m)</t>
  </si>
  <si>
    <t>5:03 PM</t>
  </si>
  <si>
    <t>Late In (423m)</t>
  </si>
  <si>
    <t>45h 17m</t>
  </si>
  <si>
    <t>DAILY LOGS: LIBIN V.</t>
  </si>
  <si>
    <t>8:59 PM</t>
  </si>
  <si>
    <t>8:34 PM</t>
  </si>
  <si>
    <t>9:13 PM</t>
  </si>
  <si>
    <t>10h 45m</t>
  </si>
  <si>
    <t>9:16 PM</t>
  </si>
  <si>
    <t>10h 8m</t>
  </si>
  <si>
    <t>8:33 PM</t>
  </si>
  <si>
    <t>10h 20m</t>
  </si>
  <si>
    <t>8:22 PM</t>
  </si>
  <si>
    <t>8:54 PM</t>
  </si>
  <si>
    <t>230h 9m</t>
  </si>
  <si>
    <t>DAILY LOGS: MOHIT SINGH</t>
  </si>
  <si>
    <t>207h 0m</t>
  </si>
  <si>
    <t>DAILY LOGS: PAHAD SINGH</t>
  </si>
  <si>
    <t>11:02 AM</t>
  </si>
  <si>
    <t>Late In (62m)</t>
  </si>
  <si>
    <t>12:06 PM</t>
  </si>
  <si>
    <t>Late In (126m)</t>
  </si>
  <si>
    <t>10h 2m</t>
  </si>
  <si>
    <t>9:27 PM</t>
  </si>
  <si>
    <t>3:16 PM</t>
  </si>
  <si>
    <t>Early Out (224m)</t>
  </si>
  <si>
    <t>187h 13m</t>
  </si>
  <si>
    <t>DAILY LOGS: PARAG MALI</t>
  </si>
  <si>
    <t>8:44 PM</t>
  </si>
  <si>
    <t>9:26 PM</t>
  </si>
  <si>
    <t>11h 39m</t>
  </si>
  <si>
    <t>8:50 PM</t>
  </si>
  <si>
    <t>11h 5m</t>
  </si>
  <si>
    <t>11h 4m</t>
  </si>
  <si>
    <t>10h 44m</t>
  </si>
  <si>
    <t>8:30 PM</t>
  </si>
  <si>
    <t>10h 39m</t>
  </si>
  <si>
    <t>11h 23m</t>
  </si>
  <si>
    <t>9:18 PM</t>
  </si>
  <si>
    <t>11h 29m</t>
  </si>
  <si>
    <t>11h 32m</t>
  </si>
  <si>
    <t>9:02 PM</t>
  </si>
  <si>
    <t>11h 13m</t>
  </si>
  <si>
    <t>193h 1m</t>
  </si>
  <si>
    <t>DAILY LOGS: PARTH SHETH</t>
  </si>
  <si>
    <t>4h 38m</t>
  </si>
  <si>
    <t>Late In (37m), Early Out (223m)</t>
  </si>
  <si>
    <t>11:28 AM</t>
  </si>
  <si>
    <t>8h 2m</t>
  </si>
  <si>
    <t>11:13 AM</t>
  </si>
  <si>
    <t>Late In (73m)</t>
  </si>
  <si>
    <t>8:05 PM</t>
  </si>
  <si>
    <t>166h 47m</t>
  </si>
  <si>
    <t>DAILY LOGS: SANTOSH BARMAN</t>
  </si>
  <si>
    <t>7:34 AM</t>
  </si>
  <si>
    <t>Late In (289m)</t>
  </si>
  <si>
    <t>6:40 AM</t>
  </si>
  <si>
    <t>Late In (269m)</t>
  </si>
  <si>
    <t>Late In (277m)</t>
  </si>
  <si>
    <t>5:41 AM</t>
  </si>
  <si>
    <t>Late In (282m)</t>
  </si>
  <si>
    <t>5:34 AM</t>
  </si>
  <si>
    <t>Late In (291m), Early Out (85m)</t>
  </si>
  <si>
    <t>5:59 AM</t>
  </si>
  <si>
    <t>Late In (261m), Early Out (60m)</t>
  </si>
  <si>
    <t>6:32 AM</t>
  </si>
  <si>
    <t>10h 59m</t>
  </si>
  <si>
    <t>Late In (273m), Early Out (27m)</t>
  </si>
  <si>
    <t>4:33 AM</t>
  </si>
  <si>
    <t>Late In (262m), Early Out (146m)</t>
  </si>
  <si>
    <t>4:38 AM</t>
  </si>
  <si>
    <t>9h 58m</t>
  </si>
  <si>
    <t>Late In (271m), Early Out (91m)</t>
  </si>
  <si>
    <t>Late In (269m), Early Out (141m)</t>
  </si>
  <si>
    <t>4:57 AM</t>
  </si>
  <si>
    <t>Late In (281m), Early Out (122m)</t>
  </si>
  <si>
    <t>6:03 AM</t>
  </si>
  <si>
    <t>Late In (269m), Early Out (56m)</t>
  </si>
  <si>
    <t>6:57 AM</t>
  </si>
  <si>
    <t>5:29 AM</t>
  </si>
  <si>
    <t>Late In (267m), Early Out (90m)</t>
  </si>
  <si>
    <t>5:23 AM</t>
  </si>
  <si>
    <t>10h 1m</t>
  </si>
  <si>
    <t>Late In (263m), Early Out (96m)</t>
  </si>
  <si>
    <t>5:13 AM</t>
  </si>
  <si>
    <t>Late In (263m), Early Out (106m)</t>
  </si>
  <si>
    <t>6:34 AM</t>
  </si>
  <si>
    <t>11h 0m</t>
  </si>
  <si>
    <t>Late In (275m), Early Out (25m)</t>
  </si>
  <si>
    <t>6:37 AM</t>
  </si>
  <si>
    <t>Late In (275m), Early Out (22m)</t>
  </si>
  <si>
    <t>Late In (270m)</t>
  </si>
  <si>
    <t>5:39 AM</t>
  </si>
  <si>
    <t>Late In (269m), Early Out (80m)</t>
  </si>
  <si>
    <t>6:56 AM</t>
  </si>
  <si>
    <t>11h 28m</t>
  </si>
  <si>
    <t>5:00 AM</t>
  </si>
  <si>
    <t>10h 22m</t>
  </si>
  <si>
    <t>Late In (218m), Early Out (119m)</t>
  </si>
  <si>
    <t>238h 9m</t>
  </si>
  <si>
    <t>DAILY LOGS: SREEKUMAR NAIR</t>
  </si>
  <si>
    <t>11:50 PM</t>
  </si>
  <si>
    <t>11h 43m</t>
  </si>
  <si>
    <t>Late In (127m)</t>
  </si>
  <si>
    <t>12:49 PM</t>
  </si>
  <si>
    <t>10:19 PM</t>
  </si>
  <si>
    <t>Late In (169m)</t>
  </si>
  <si>
    <t>9:50 PM</t>
  </si>
  <si>
    <t>1:26 PM</t>
  </si>
  <si>
    <t>10:54 PM</t>
  </si>
  <si>
    <t>Late In (206m)</t>
  </si>
  <si>
    <t>10:25 PM</t>
  </si>
  <si>
    <t>10:52 PM</t>
  </si>
  <si>
    <t>12h 4m</t>
  </si>
  <si>
    <t>10:30 PM</t>
  </si>
  <si>
    <t>11:31 AM</t>
  </si>
  <si>
    <t>10:12 PM</t>
  </si>
  <si>
    <t>Late In (91m)</t>
  </si>
  <si>
    <t>11:25 PM</t>
  </si>
  <si>
    <t>12h 26m</t>
  </si>
  <si>
    <t>1:52 PM</t>
  </si>
  <si>
    <t>11:59 PM</t>
  </si>
  <si>
    <t>Late In (232m)</t>
  </si>
  <si>
    <t>11:58 AM</t>
  </si>
  <si>
    <t>Late In (118m)</t>
  </si>
  <si>
    <t>12:37 PM</t>
  </si>
  <si>
    <t>11:36 PM</t>
  </si>
  <si>
    <t>Late In (157m)</t>
  </si>
  <si>
    <t>10:16 PM</t>
  </si>
  <si>
    <t>11h 21m</t>
  </si>
  <si>
    <t>1:00 PM</t>
  </si>
  <si>
    <t>10:48 PM</t>
  </si>
  <si>
    <t>Late In (180m)</t>
  </si>
  <si>
    <t>2:07 PM</t>
  </si>
  <si>
    <t>11:40 PM</t>
  </si>
  <si>
    <t>Late In (247m)</t>
  </si>
  <si>
    <t>11:39 AM</t>
  </si>
  <si>
    <t>Late In (99m)</t>
  </si>
  <si>
    <t>11:15 AM</t>
  </si>
  <si>
    <t>Late In (75m)</t>
  </si>
  <si>
    <t>11:14 AM</t>
  </si>
  <si>
    <t>9:52 PM</t>
  </si>
  <si>
    <t>Late In (74m)</t>
  </si>
  <si>
    <t>1:40 PM</t>
  </si>
  <si>
    <t>Late In (220m)</t>
  </si>
  <si>
    <t>11:54 AM</t>
  </si>
  <si>
    <t>10:03 PM</t>
  </si>
  <si>
    <t>Late In (114m)</t>
  </si>
  <si>
    <t>12:33 PM</t>
  </si>
  <si>
    <t>Late In (153m)</t>
  </si>
  <si>
    <t>256h 30m</t>
  </si>
  <si>
    <t>DAILY LOGS: SUNIL THAKUR</t>
  </si>
  <si>
    <t>9:58 PM</t>
  </si>
  <si>
    <t>11h 11m</t>
  </si>
  <si>
    <t>9:24 PM</t>
  </si>
  <si>
    <t>11h 38m</t>
  </si>
  <si>
    <t>12:27 PM</t>
  </si>
  <si>
    <t>10h 31m</t>
  </si>
  <si>
    <t>9:32 PM</t>
  </si>
  <si>
    <t>9:41 PM</t>
  </si>
  <si>
    <t>9:42 PM</t>
  </si>
  <si>
    <t>11h 52m</t>
  </si>
  <si>
    <t>9:48 PM</t>
  </si>
  <si>
    <t>11h 40m</t>
  </si>
  <si>
    <t>11h 1m</t>
  </si>
  <si>
    <t>12:15 PM</t>
  </si>
  <si>
    <t>Late In (135m)</t>
  </si>
  <si>
    <t>9:43 PM</t>
  </si>
  <si>
    <t>11h 18m</t>
  </si>
  <si>
    <t>9:35 PM</t>
  </si>
  <si>
    <t>11:49 AM</t>
  </si>
  <si>
    <t>Late In (109m)</t>
  </si>
  <si>
    <t>206h 57m</t>
  </si>
  <si>
    <t>DAILY LOGS: VIKAS CHANDRA</t>
  </si>
  <si>
    <t>6h 35m</t>
  </si>
  <si>
    <t>Late In (59m), Early Out (86m)</t>
  </si>
  <si>
    <t>9:34 PM</t>
  </si>
  <si>
    <t>11h 24m</t>
  </si>
  <si>
    <t>10h 5m</t>
  </si>
  <si>
    <t>10h 18m</t>
  </si>
  <si>
    <t>11h 36m</t>
  </si>
  <si>
    <t>211h 40m</t>
  </si>
  <si>
    <t>SURAJ FORWARDERS — ATTENDANCE &amp; LEAVE REGISTER</t>
  </si>
  <si>
    <t>Period: 01 Sep 2026 to 30 Sep 2026   |   Generated on: 16-Oct-2026 14:53   |   Staff Count: 7</t>
  </si>
  <si>
    <t>BHOOMI PARMAR</t>
  </si>
  <si>
    <t>BURHANUDDIN GODHRAWALA</t>
  </si>
  <si>
    <t>DHARMENDRA VINZAVA</t>
  </si>
  <si>
    <t>DIPAK  RAVAT</t>
  </si>
  <si>
    <t>ELBIN KURIAN</t>
  </si>
  <si>
    <t>NIRALI PATEL</t>
  </si>
  <si>
    <t>PARAS MAKWANA</t>
  </si>
  <si>
    <t>DAILY LOGS: BHOOMI PARMAR</t>
  </si>
  <si>
    <t>Late In (9m)</t>
  </si>
  <si>
    <t>Late In (12m)</t>
  </si>
  <si>
    <t>Early Out (2m)</t>
  </si>
  <si>
    <t>Late In (4m)</t>
  </si>
  <si>
    <t>Late In (6m)</t>
  </si>
  <si>
    <t>9:21 PM</t>
  </si>
  <si>
    <t>83h 31m</t>
  </si>
  <si>
    <t>DAILY LOGS: BURHANUDDIN GODHRAWALA</t>
  </si>
  <si>
    <t>4:10 PM</t>
  </si>
  <si>
    <t>3h 26m</t>
  </si>
  <si>
    <t>Late In (370m)</t>
  </si>
  <si>
    <t>11:06 AM</t>
  </si>
  <si>
    <t>8h 17m</t>
  </si>
  <si>
    <t>Late In (66m)</t>
  </si>
  <si>
    <t>163h 22m</t>
  </si>
  <si>
    <t>DAILY LOGS: DHARMENDRA VINZAVA</t>
  </si>
  <si>
    <t>8h 15m</t>
  </si>
  <si>
    <t>8h 38m</t>
  </si>
  <si>
    <t>152h 9m</t>
  </si>
  <si>
    <t>DAILY LOGS: DIPAK  RAVAT</t>
  </si>
  <si>
    <t>11:35 AM</t>
  </si>
  <si>
    <t>Late In (95m)</t>
  </si>
  <si>
    <t>1:17 PM</t>
  </si>
  <si>
    <t>Late In (197m)</t>
  </si>
  <si>
    <t>11:21 AM</t>
  </si>
  <si>
    <t>Late In (81m)</t>
  </si>
  <si>
    <t>8:24 PM</t>
  </si>
  <si>
    <t>3:37 PM</t>
  </si>
  <si>
    <t>4h 33m</t>
  </si>
  <si>
    <t>Late In (63m), Early Out (202m)</t>
  </si>
  <si>
    <t>11:27 AM</t>
  </si>
  <si>
    <t>8:26 PM</t>
  </si>
  <si>
    <t>Late In (87m)</t>
  </si>
  <si>
    <t>165h 58m</t>
  </si>
  <si>
    <t>DAILY LOGS: ELBIN KURIAN</t>
  </si>
  <si>
    <t>1:35 PM</t>
  </si>
  <si>
    <t>5h 59m</t>
  </si>
  <si>
    <t>Late In (215m)</t>
  </si>
  <si>
    <t>217h 12m</t>
  </si>
  <si>
    <t>DAILY LOGS: NIRALI PATEL</t>
  </si>
  <si>
    <t>214h 22m</t>
  </si>
  <si>
    <t>DAILY LOGS: PARAS MAKWANA</t>
  </si>
  <si>
    <t>9:01 PM</t>
  </si>
  <si>
    <t>11h 33m</t>
  </si>
  <si>
    <t>10h 21m</t>
  </si>
  <si>
    <t>233h 34m</t>
  </si>
  <si>
    <t>SURAJ FORWARDERS &amp; SHIPPING AGENCIES — ATTENDANCE &amp; LEAVE REGISTER</t>
  </si>
  <si>
    <t>Period: 01 Sep 2026 to 30 Sep 2026   |   Generated on: 16-Oct-2026 14:53   |   Staff Count: 29</t>
  </si>
  <si>
    <t>AMIT MISHRA</t>
  </si>
  <si>
    <t>ANAND RAJPUT</t>
  </si>
  <si>
    <t>ANURAG PILLAI</t>
  </si>
  <si>
    <t>BHALUSINH RATHOD</t>
  </si>
  <si>
    <t>BHARAT DEVASI</t>
  </si>
  <si>
    <t>CHETANBHAI PARMAR</t>
  </si>
  <si>
    <t>DHARMENDRA KUMAR DIXIT</t>
  </si>
  <si>
    <t>DURGESH PANDEY</t>
  </si>
  <si>
    <t>ELAIYARAJA ADIDRAVID</t>
  </si>
  <si>
    <t>GAURAV SINGH</t>
  </si>
  <si>
    <t>HIMMAT PANWAR</t>
  </si>
  <si>
    <t>JITENDRAKUMAR MAKWANA</t>
  </si>
  <si>
    <t>JITENDRASINH SHEKHAVAT</t>
  </si>
  <si>
    <t>KALPESH CHAUHAN</t>
  </si>
  <si>
    <t>KAPIL GOSWAMI</t>
  </si>
  <si>
    <t>KIRIT BHANUSHALI</t>
  </si>
  <si>
    <t>MAHESH PATIL</t>
  </si>
  <si>
    <t>MAJHAR KHAN</t>
  </si>
  <si>
    <t>MANUBHAI RAVAL</t>
  </si>
  <si>
    <t>PARASMAL MARVADI</t>
  </si>
  <si>
    <t>PRAKASH DARJI</t>
  </si>
  <si>
    <t>RAHUL VAGHELA</t>
  </si>
  <si>
    <t>SANAL KUMAR</t>
  </si>
  <si>
    <t>SUNIL HARINDRAN</t>
  </si>
  <si>
    <t>SURAJ SUDHAKARAN</t>
  </si>
  <si>
    <t>TEJAS PARIKH</t>
  </si>
  <si>
    <t>VIJAYKUMAR JADEJA</t>
  </si>
  <si>
    <t>VIKRAMBHAI VAGHELA</t>
  </si>
  <si>
    <t>VISHNU ADIDRAVID</t>
  </si>
  <si>
    <t>DAILY LOGS: AMIT MISHRA</t>
  </si>
  <si>
    <t>7h 43m</t>
  </si>
  <si>
    <t>9:19 PM</t>
  </si>
  <si>
    <t>8:55 PM</t>
  </si>
  <si>
    <t>11:11 AM</t>
  </si>
  <si>
    <t>Late In (71m)</t>
  </si>
  <si>
    <t>3:05 PM</t>
  </si>
  <si>
    <t>4h 21m</t>
  </si>
  <si>
    <t>Late In (44m), Early Out (235m)</t>
  </si>
  <si>
    <t>7h 28m</t>
  </si>
  <si>
    <t>Late In (102m)</t>
  </si>
  <si>
    <t>8:21 PM</t>
  </si>
  <si>
    <t>8:48 PM</t>
  </si>
  <si>
    <t>187h 47m</t>
  </si>
  <si>
    <t>DAILY LOGS: ANAND RAJPUT</t>
  </si>
  <si>
    <t>3:24 PM</t>
  </si>
  <si>
    <t>6h 10m</t>
  </si>
  <si>
    <t>Early Out (216m)</t>
  </si>
  <si>
    <t>9:40 AM</t>
  </si>
  <si>
    <t>5:51 PM</t>
  </si>
  <si>
    <t>Early Out (68m)</t>
  </si>
  <si>
    <t>9:31 AM</t>
  </si>
  <si>
    <t>9:01 AM</t>
  </si>
  <si>
    <t>8:48 AM</t>
  </si>
  <si>
    <t>8:49 AM</t>
  </si>
  <si>
    <t>8:59 AM</t>
  </si>
  <si>
    <t>10h 3m</t>
  </si>
  <si>
    <t>10h 40m</t>
  </si>
  <si>
    <t>8:38 AM</t>
  </si>
  <si>
    <t>8:37 AM</t>
  </si>
  <si>
    <t>8:58 AM</t>
  </si>
  <si>
    <t>211h 22m</t>
  </si>
  <si>
    <t>DAILY LOGS: ANURAG PILLAI</t>
  </si>
  <si>
    <t>11h 17m</t>
  </si>
  <si>
    <t>10:57 PM</t>
  </si>
  <si>
    <t>12h 6m</t>
  </si>
  <si>
    <t>10:13 PM</t>
  </si>
  <si>
    <t>10:17 PM</t>
  </si>
  <si>
    <t>10:40 PM</t>
  </si>
  <si>
    <t>11h 26m</t>
  </si>
  <si>
    <t>10:02 PM</t>
  </si>
  <si>
    <t>10:14 PM</t>
  </si>
  <si>
    <t>10:07 PM</t>
  </si>
  <si>
    <t>157h 43m</t>
  </si>
  <si>
    <t>DAILY LOGS: BHALUSINH RATHOD</t>
  </si>
  <si>
    <t>10h 15m</t>
  </si>
  <si>
    <t>203h 31m</t>
  </si>
  <si>
    <t>DAILY LOGS: BHARAT DEVASI</t>
  </si>
  <si>
    <t>11h 7m</t>
  </si>
  <si>
    <t>1:04 PM</t>
  </si>
  <si>
    <t>Early Out (356m)</t>
  </si>
  <si>
    <t>11:22 AM</t>
  </si>
  <si>
    <t>8h 11m</t>
  </si>
  <si>
    <t>Late In (82m)</t>
  </si>
  <si>
    <t>9:10 PM</t>
  </si>
  <si>
    <t>9:29 PM</t>
  </si>
  <si>
    <t>186h 23m</t>
  </si>
  <si>
    <t>DAILY LOGS: CHETANBHAI PARMAR</t>
  </si>
  <si>
    <t>4h 11m</t>
  </si>
  <si>
    <t>Early Out (293m)</t>
  </si>
  <si>
    <t>172h 28m</t>
  </si>
  <si>
    <t>DAILY LOGS: DHARMENDRA KUMAR DIXIT</t>
  </si>
  <si>
    <t>3:23 PM</t>
  </si>
  <si>
    <t>4h 17m</t>
  </si>
  <si>
    <t>Late In (66m), Early Out (217m)</t>
  </si>
  <si>
    <t>Late In (90m)</t>
  </si>
  <si>
    <t>181h 52m</t>
  </si>
  <si>
    <t>DAILY LOGS: DURGESH PANDEY</t>
  </si>
  <si>
    <t>10h 43m</t>
  </si>
  <si>
    <t>10h 24m</t>
  </si>
  <si>
    <t>10h 49m</t>
  </si>
  <si>
    <t>DAILY LOGS: ELAIYARAJA ADIDRAVID</t>
  </si>
  <si>
    <t>11h 50m</t>
  </si>
  <si>
    <t>8h 27m</t>
  </si>
  <si>
    <t>1:18 PM</t>
  </si>
  <si>
    <t>9:46 PM</t>
  </si>
  <si>
    <t>8h 28m</t>
  </si>
  <si>
    <t>Late In (198m)</t>
  </si>
  <si>
    <t>5:17 PM</t>
  </si>
  <si>
    <t>Early Out (102m)</t>
  </si>
  <si>
    <t>203h 9m</t>
  </si>
  <si>
    <t>DAILY LOGS: GAURAV SINGH</t>
  </si>
  <si>
    <t>7:46 PM</t>
  </si>
  <si>
    <t>220h 24m</t>
  </si>
  <si>
    <t>DAILY LOGS: HIMMAT PANWAR</t>
  </si>
  <si>
    <t>152h 24m</t>
  </si>
  <si>
    <t>DAILY LOGS: JITENDRAKUMAR MAKWANA</t>
  </si>
  <si>
    <t>205h 7m</t>
  </si>
  <si>
    <t>DAILY LOGS: JITENDRASINH SHEKHAVAT</t>
  </si>
  <si>
    <t>9:07 PM</t>
  </si>
  <si>
    <t>8:28 PM</t>
  </si>
  <si>
    <t>206h 40m</t>
  </si>
  <si>
    <t>DAILY LOGS: KALPESH CHAUHAN</t>
  </si>
  <si>
    <t>9:19 AM</t>
  </si>
  <si>
    <t>9:27 AM</t>
  </si>
  <si>
    <t>242h 15m</t>
  </si>
  <si>
    <t>DAILY LOGS: KAPIL GOSWAMI</t>
  </si>
  <si>
    <t>11:00 AM</t>
  </si>
  <si>
    <t>Late In (60m)</t>
  </si>
  <si>
    <t>9:05 PM</t>
  </si>
  <si>
    <t>8:27 PM</t>
  </si>
  <si>
    <t>10h 32m</t>
  </si>
  <si>
    <t>11:44 AM</t>
  </si>
  <si>
    <t>Late In (104m)</t>
  </si>
  <si>
    <t>8:18 PM</t>
  </si>
  <si>
    <t>10:04 PM</t>
  </si>
  <si>
    <t>200h 13m</t>
  </si>
  <si>
    <t>DAILY LOGS: KIRIT BHANUSHALI</t>
  </si>
  <si>
    <t>Late In (124m)</t>
  </si>
  <si>
    <t>Late In (89m)</t>
  </si>
  <si>
    <t>Late In (210m)</t>
  </si>
  <si>
    <t>Late In (125m)</t>
  </si>
  <si>
    <t>Late In (163m)</t>
  </si>
  <si>
    <t>Late In (85m)</t>
  </si>
  <si>
    <t>DAILY LOGS: MAHESH PATIL</t>
  </si>
  <si>
    <t>3:27 PM</t>
  </si>
  <si>
    <t>4h 16m</t>
  </si>
  <si>
    <t>Late In (327m)</t>
  </si>
  <si>
    <t>3:35 PM</t>
  </si>
  <si>
    <t>4h 53m</t>
  </si>
  <si>
    <t>Late In (335m)</t>
  </si>
  <si>
    <t>7h 53m</t>
  </si>
  <si>
    <t>Early Out (96m)</t>
  </si>
  <si>
    <t>200h 56m</t>
  </si>
  <si>
    <t>DAILY LOGS: MAJHAR KHAN</t>
  </si>
  <si>
    <t>9:04 PM</t>
  </si>
  <si>
    <t>9:22 PM</t>
  </si>
  <si>
    <t>11:24 AM</t>
  </si>
  <si>
    <t>Late In (84m)</t>
  </si>
  <si>
    <t>187h 14m</t>
  </si>
  <si>
    <t>DAILY LOGS: MANUBHAI RAVAL</t>
  </si>
  <si>
    <t>10h 26m</t>
  </si>
  <si>
    <t>8h 12m</t>
  </si>
  <si>
    <t>8:53 PM</t>
  </si>
  <si>
    <t>12:31 PM</t>
  </si>
  <si>
    <t>Late In (151m)</t>
  </si>
  <si>
    <t>177h 2m</t>
  </si>
  <si>
    <t>DAILY LOGS: PARASMAL MARVADI</t>
  </si>
  <si>
    <t>11:51 AM</t>
  </si>
  <si>
    <t>Late In (111m)</t>
  </si>
  <si>
    <t>2:23 PM</t>
  </si>
  <si>
    <t>Late In (263m)</t>
  </si>
  <si>
    <t>198h 4m</t>
  </si>
  <si>
    <t>DAILY LOGS: PRAKASH DARJI</t>
  </si>
  <si>
    <t>195h 18m</t>
  </si>
  <si>
    <t>DAILY LOGS: RAHUL VAGHELA</t>
  </si>
  <si>
    <t>4:25 PM</t>
  </si>
  <si>
    <t>6h 2m</t>
  </si>
  <si>
    <t>Late In (23m), Early Out (155m)</t>
  </si>
  <si>
    <t>Late In (20m), Early Out (25m)</t>
  </si>
  <si>
    <t>11:34 AM</t>
  </si>
  <si>
    <t>7h 55m</t>
  </si>
  <si>
    <t>Late In (94m)</t>
  </si>
  <si>
    <t>8h 14m</t>
  </si>
  <si>
    <t>7h 57m</t>
  </si>
  <si>
    <t>Late In (47m), Early Out (16m)</t>
  </si>
  <si>
    <t>182h 13m</t>
  </si>
  <si>
    <t>DAILY LOGS: SANAL KUMAR</t>
  </si>
  <si>
    <t>6:36 PM</t>
  </si>
  <si>
    <t>7h 56m</t>
  </si>
  <si>
    <t>Early Out (24m)</t>
  </si>
  <si>
    <t>207h 9m</t>
  </si>
  <si>
    <t>DAILY LOGS: SUNIL HARINDRAN</t>
  </si>
  <si>
    <t>DAILY LOGS: SURAJ SUDHAKARAN</t>
  </si>
  <si>
    <t>205h 9m</t>
  </si>
  <si>
    <t>DAILY LOGS: TEJAS PARIKH</t>
  </si>
  <si>
    <t>DAILY LOGS: VIJAYKUMAR JADEJA</t>
  </si>
  <si>
    <t>12:39 PM</t>
  </si>
  <si>
    <t>6h 27m</t>
  </si>
  <si>
    <t>Late In (159m)</t>
  </si>
  <si>
    <t>11:55 AM</t>
  </si>
  <si>
    <t>Late In (115m)</t>
  </si>
  <si>
    <t>12:16 PM</t>
  </si>
  <si>
    <t>Late In (136m)</t>
  </si>
  <si>
    <t>11:59 AM</t>
  </si>
  <si>
    <t>Late In (119m)</t>
  </si>
  <si>
    <t>6h 58m</t>
  </si>
  <si>
    <t>11:43 AM</t>
  </si>
  <si>
    <t>Late In (103m)</t>
  </si>
  <si>
    <t>11:47 AM</t>
  </si>
  <si>
    <t>Late In (107m)</t>
  </si>
  <si>
    <t>7h 29m</t>
  </si>
  <si>
    <t>202h 30m</t>
  </si>
  <si>
    <t>DAILY LOGS: VIKRAMBHAI VAGHELA</t>
  </si>
  <si>
    <t>2h 52m</t>
  </si>
  <si>
    <t>212h 59m</t>
  </si>
  <si>
    <t>DAILY LOGS: VISHNU ADIDRAVID</t>
  </si>
  <si>
    <t>11:25 AM</t>
  </si>
  <si>
    <t>200h 9m</t>
  </si>
  <si>
    <t>SURAJ FORWARDERS PRIVATE LIMITED — ATTENDANCE &amp; LEAVE REGISTER</t>
  </si>
  <si>
    <t>Period: 01 Sep 2026 to 30 Sep 2026   |   Generated on: 16-Oct-2026 14:53   |   Staff Count: 28</t>
  </si>
  <si>
    <t>AAMIR SAIYED</t>
  </si>
  <si>
    <t>7h 30m</t>
  </si>
  <si>
    <t>AJAY KUMAWAT</t>
  </si>
  <si>
    <t>AKASH MODI</t>
  </si>
  <si>
    <t>ASHOKKUMAR CHAUHAN</t>
  </si>
  <si>
    <t>BALVIR NANDA</t>
  </si>
  <si>
    <t>CHIRAG SHAH</t>
  </si>
  <si>
    <t>GEETHANJALI B</t>
  </si>
  <si>
    <t>JIGNESH SORATHAIA</t>
  </si>
  <si>
    <t>JYOTHISH R</t>
  </si>
  <si>
    <t>KETANKUMAR PATEL</t>
  </si>
  <si>
    <t>LEENA VIJAYAN</t>
  </si>
  <si>
    <t>MANU PILLAI</t>
  </si>
  <si>
    <t>MAUSAM RAKSHIT</t>
  </si>
  <si>
    <t>PARTHIV JADAV</t>
  </si>
  <si>
    <t>PRAMOD THEKEPATTU</t>
  </si>
  <si>
    <t>PREM CHAUDHARY</t>
  </si>
  <si>
    <t>RAJAN ARANAMKATTE</t>
  </si>
  <si>
    <t>RAVI PATEL</t>
  </si>
  <si>
    <t>RENJITH R</t>
  </si>
  <si>
    <t>SANJIV SONI</t>
  </si>
  <si>
    <t>SHALINI ARUN</t>
  </si>
  <si>
    <t>SOJITH MAMMUTTIL</t>
  </si>
  <si>
    <t>SOURAV A</t>
  </si>
  <si>
    <t>SREEKUMAR PILLAI</t>
  </si>
  <si>
    <t>SURAJ RAJAN</t>
  </si>
  <si>
    <t>SUSEELA RAJAN</t>
  </si>
  <si>
    <t>VINODCHANDRA RANA</t>
  </si>
  <si>
    <t>YASH SHAH</t>
  </si>
  <si>
    <t>DAILY LOGS: AAMIR SAIYED</t>
  </si>
  <si>
    <t>4:56 PM</t>
  </si>
  <si>
    <t>4:57 PM</t>
  </si>
  <si>
    <t>0h 1m</t>
  </si>
  <si>
    <t>Late In (416m), Early Out (123m)</t>
  </si>
  <si>
    <t>12:22 PM</t>
  </si>
  <si>
    <t>Late In (142m)</t>
  </si>
  <si>
    <t>6h 50m</t>
  </si>
  <si>
    <t>Late In (65m), Early Out (65m)</t>
  </si>
  <si>
    <t>3:56 PM</t>
  </si>
  <si>
    <t>5h 39m</t>
  </si>
  <si>
    <t>Late In (17m), Early Out (184m)</t>
  </si>
  <si>
    <t>Late In (17m), Early Out (43m)</t>
  </si>
  <si>
    <t>12:26 PM</t>
  </si>
  <si>
    <t>Late In (146m)</t>
  </si>
  <si>
    <t>Late In (53m), Early Out (485m)</t>
  </si>
  <si>
    <t>119h 24m</t>
  </si>
  <si>
    <t>DAILY LOGS: AJAY KUMAWAT</t>
  </si>
  <si>
    <t>5:00 PM</t>
  </si>
  <si>
    <t>6h 16m</t>
  </si>
  <si>
    <t>Late In (44m), Early Out (120m)</t>
  </si>
  <si>
    <t>8h 7m</t>
  </si>
  <si>
    <t>216h 47m</t>
  </si>
  <si>
    <t>DAILY LOGS: AKASH MODI</t>
  </si>
  <si>
    <t>8h 5m</t>
  </si>
  <si>
    <t>6h 25m</t>
  </si>
  <si>
    <t>8h 9m</t>
  </si>
  <si>
    <t>Late In (24m), Early Out (26m)</t>
  </si>
  <si>
    <t>158h 31m</t>
  </si>
  <si>
    <t>DAILY LOGS: ASHOKKUMAR CHAUHAN</t>
  </si>
  <si>
    <t>10:05 PM</t>
  </si>
  <si>
    <t>10h 4m</t>
  </si>
  <si>
    <t>10:23 PM</t>
  </si>
  <si>
    <t>Late In (182m)</t>
  </si>
  <si>
    <t>9:36 PM</t>
  </si>
  <si>
    <t>8:56 AM</t>
  </si>
  <si>
    <t>1:44 PM</t>
  </si>
  <si>
    <t>4h 48m</t>
  </si>
  <si>
    <t>Early Out (315m)</t>
  </si>
  <si>
    <t>8:29 PM</t>
  </si>
  <si>
    <t>9:15 PM</t>
  </si>
  <si>
    <t>12h 57m</t>
  </si>
  <si>
    <t>224h 40m</t>
  </si>
  <si>
    <t>DAILY LOGS: BALVIR NANDA</t>
  </si>
  <si>
    <t>11h 8m</t>
  </si>
  <si>
    <t>9:49 PM</t>
  </si>
  <si>
    <t>10h 35m</t>
  </si>
  <si>
    <t>10h 53m</t>
  </si>
  <si>
    <t>11h 14m</t>
  </si>
  <si>
    <t>11h 25m</t>
  </si>
  <si>
    <t>10:11 PM</t>
  </si>
  <si>
    <t>253h 0m</t>
  </si>
  <si>
    <t>DAILY LOGS: CHIRAG SHAH</t>
  </si>
  <si>
    <t>8h 10m</t>
  </si>
  <si>
    <t>Late In (21m), Early Out (54m)</t>
  </si>
  <si>
    <t>5:47 PM</t>
  </si>
  <si>
    <t>7h 19m</t>
  </si>
  <si>
    <t>Late In (28m), Early Out (73m)</t>
  </si>
  <si>
    <t>5:49 PM</t>
  </si>
  <si>
    <t>Early Out (71m)</t>
  </si>
  <si>
    <t>6:05 PM</t>
  </si>
  <si>
    <t>7h 41m</t>
  </si>
  <si>
    <t>Late In (24m), Early Out (55m)</t>
  </si>
  <si>
    <t>6:14 PM</t>
  </si>
  <si>
    <t>Late In (31m), Early Out (46m)</t>
  </si>
  <si>
    <t>7h 12m</t>
  </si>
  <si>
    <t>Late In (22m), Early Out (86m)</t>
  </si>
  <si>
    <t>7h 26m</t>
  </si>
  <si>
    <t>Late In (27m), Early Out (67m)</t>
  </si>
  <si>
    <t>Early Out (56m)</t>
  </si>
  <si>
    <t>Late In (250m)</t>
  </si>
  <si>
    <t>Early Out (534m)</t>
  </si>
  <si>
    <t>177h 58m</t>
  </si>
  <si>
    <t>DAILY LOGS: GEETHANJALI B</t>
  </si>
  <si>
    <t>4:30 PM</t>
  </si>
  <si>
    <t>6h 30m</t>
  </si>
  <si>
    <t>Early Out (150m)</t>
  </si>
  <si>
    <t>5:39 PM</t>
  </si>
  <si>
    <t>Early Out (80m)</t>
  </si>
  <si>
    <t>6:12 PM</t>
  </si>
  <si>
    <t>Early Out (47m)</t>
  </si>
  <si>
    <t>142h 14m</t>
  </si>
  <si>
    <t>DAILY LOGS: JIGNESH SORATHAIA</t>
  </si>
  <si>
    <t>213h 24m</t>
  </si>
  <si>
    <t>DAILY LOGS: JYOTHISH R</t>
  </si>
  <si>
    <t>207h 11m</t>
  </si>
  <si>
    <t>DAILY LOGS: KETANKUMAR PATEL</t>
  </si>
  <si>
    <t>Late In (35m), Early Out (44m)</t>
  </si>
  <si>
    <t>1:21 PM</t>
  </si>
  <si>
    <t>5h 24m</t>
  </si>
  <si>
    <t>Late In (201m)</t>
  </si>
  <si>
    <t>180h 55m</t>
  </si>
  <si>
    <t>DAILY LOGS: LEENA VIJAYAN</t>
  </si>
  <si>
    <t>5:02 PM</t>
  </si>
  <si>
    <t>6h 24m</t>
  </si>
  <si>
    <t>Late In (38m), Early Out (118m)</t>
  </si>
  <si>
    <t>1h 31m</t>
  </si>
  <si>
    <t>210h 20m</t>
  </si>
  <si>
    <t>DAILY LOGS: MANU PILLAI</t>
  </si>
  <si>
    <t>177h 17m</t>
  </si>
  <si>
    <t>DAILY LOGS: MAUSAM RAKSHIT</t>
  </si>
  <si>
    <t>DAILY LOGS: PARTHIV JADAV</t>
  </si>
  <si>
    <t>Early Out (72m)</t>
  </si>
  <si>
    <t>7h 40m</t>
  </si>
  <si>
    <t>Late In (39m), Early Out (41m)</t>
  </si>
  <si>
    <t>5:01 PM</t>
  </si>
  <si>
    <t>7h 10m</t>
  </si>
  <si>
    <t>Early Out (119m)</t>
  </si>
  <si>
    <t>3h 43m</t>
  </si>
  <si>
    <t>4:15 PM</t>
  </si>
  <si>
    <t>Early Out (165m)</t>
  </si>
  <si>
    <t>4:03 PM</t>
  </si>
  <si>
    <t>Early Out (177m)</t>
  </si>
  <si>
    <t>6h 44m</t>
  </si>
  <si>
    <t>Late In (68m), Early Out (66m)</t>
  </si>
  <si>
    <t>230h 39m</t>
  </si>
  <si>
    <t>DAILY LOGS: PRAMOD THEKEPATTU</t>
  </si>
  <si>
    <t>212h 2m</t>
  </si>
  <si>
    <t>DAILY LOGS: PREM CHAUDHARY</t>
  </si>
  <si>
    <t>Late In (19m), Early Out (89m)</t>
  </si>
  <si>
    <t>3:29 PM</t>
  </si>
  <si>
    <t>Late In (24m), Early Out (210m)</t>
  </si>
  <si>
    <t>5:04 PM</t>
  </si>
  <si>
    <t>6h 56m</t>
  </si>
  <si>
    <t>Early Out (116m)</t>
  </si>
  <si>
    <t>141h 19m</t>
  </si>
  <si>
    <t>DAILY LOGS: RAJAN ARANAMKATTE</t>
  </si>
  <si>
    <t>DAILY LOGS: RAVI PATEL</t>
  </si>
  <si>
    <t>9:11 PM</t>
  </si>
  <si>
    <t>205h 51m</t>
  </si>
  <si>
    <t>DAILY LOGS: RENJITH R</t>
  </si>
  <si>
    <t>Late In (31m), Early Out (22m)</t>
  </si>
  <si>
    <t>Late In (67m), Early Out (27m)</t>
  </si>
  <si>
    <t>6:08 PM</t>
  </si>
  <si>
    <t>Early Out (51m)</t>
  </si>
  <si>
    <t>6:27 PM</t>
  </si>
  <si>
    <t>Early Out (32m)</t>
  </si>
  <si>
    <t>Early Out (45m)</t>
  </si>
  <si>
    <t>6:45 AM</t>
  </si>
  <si>
    <t>200h 46m</t>
  </si>
  <si>
    <t>DAILY LOGS: SANJIV SONI</t>
  </si>
  <si>
    <t>Late In (23m), Early Out (515m)</t>
  </si>
  <si>
    <t>12:23 PM</t>
  </si>
  <si>
    <t>6h 36m</t>
  </si>
  <si>
    <t>Late In (143m)</t>
  </si>
  <si>
    <t>132h 32m</t>
  </si>
  <si>
    <t>DAILY LOGS: SHALINI ARUN</t>
  </si>
  <si>
    <t>Late In (1486m)</t>
  </si>
  <si>
    <t>2:39 PM</t>
  </si>
  <si>
    <t>2h 45m</t>
  </si>
  <si>
    <t>203h 10m</t>
  </si>
  <si>
    <t>DAILY LOGS: SOJITH MAMMUTTIL</t>
  </si>
  <si>
    <t>3:32 PM</t>
  </si>
  <si>
    <t>2h 15m</t>
  </si>
  <si>
    <t>Late In (332m), Early Out (73m)</t>
  </si>
  <si>
    <t>Half Day (LWP)</t>
  </si>
  <si>
    <t>2:54 PM</t>
  </si>
  <si>
    <t>4h 36m</t>
  </si>
  <si>
    <t>Late In (294m)</t>
  </si>
  <si>
    <t>12:13 PM</t>
  </si>
  <si>
    <t>11:29 AM</t>
  </si>
  <si>
    <t>204h 23m</t>
  </si>
  <si>
    <t>DAILY LOGS: SOURAV A</t>
  </si>
  <si>
    <t>6:13 PM</t>
  </si>
  <si>
    <t>Early Out (46m)</t>
  </si>
  <si>
    <t>9:02 AM</t>
  </si>
  <si>
    <t>233h 20m</t>
  </si>
  <si>
    <t>DAILY LOGS: SREEKUMAR PILLAI</t>
  </si>
  <si>
    <t>212h 54m</t>
  </si>
  <si>
    <t>DAILY LOGS: SURAJ RAJAN</t>
  </si>
  <si>
    <t>DAILY LOGS: SUSEELA RAJAN</t>
  </si>
  <si>
    <t>DAILY LOGS: VINODCHANDRA RANA</t>
  </si>
  <si>
    <t>6:04 PM</t>
  </si>
  <si>
    <t>Early Out (55m)</t>
  </si>
  <si>
    <t>212h 43m</t>
  </si>
  <si>
    <t>DAILY LOGS: YASH SHAH</t>
  </si>
  <si>
    <t>5:45 PM</t>
  </si>
  <si>
    <t>Early Out (75m)</t>
  </si>
  <si>
    <t>7h 51m</t>
  </si>
  <si>
    <t>Early Out (70m)</t>
  </si>
  <si>
    <t>Early Out (98m)</t>
  </si>
  <si>
    <t>7h 48m</t>
  </si>
  <si>
    <t>6h 47m</t>
  </si>
  <si>
    <t>Late In (49m), Early Out (84m)</t>
  </si>
  <si>
    <t>205h 12m</t>
  </si>
  <si>
    <t>UNASSIGNED — ATTENDANCE &amp; LEAVE REGISTER</t>
  </si>
  <si>
    <t>Period: 01 Sep 2026 to 30 Sep 2026   |   Generated on: 16-Oct-2026 14:53   |   Staff Count: 6</t>
  </si>
  <si>
    <t>DO Team Pulse</t>
  </si>
  <si>
    <t>RAMDEV SINGH</t>
  </si>
  <si>
    <t>RAMVEER SINGH</t>
  </si>
  <si>
    <t>test_admin</t>
  </si>
  <si>
    <t>THAKOR RAMESHBHAI</t>
  </si>
  <si>
    <t>VIPIN SINGH</t>
  </si>
  <si>
    <t>DAILY LOGS: DO TEAM PULSE</t>
  </si>
  <si>
    <t>DAILY LOGS: RAMDEV SINGH</t>
  </si>
  <si>
    <t>DAILY LOGS: RAMVEER SINGH</t>
  </si>
  <si>
    <t>DAILY LOGS: TEST_ADMIN</t>
  </si>
  <si>
    <t>DAILY LOGS: THAKOR RAMESHBHAI</t>
  </si>
  <si>
    <t>DAILY LOGS: VIPIN SINGH</t>
  </si>
  <si xmlns="http://schemas.openxmlformats.org/spreadsheetml/2006/main">
    <t xml:space="preserve">ALLUVIUM IOT SOLUTIONS PRIVATE LIMITED — ATTENDANCE &amp; LEAVE REGISTER</t>
  </si>
  <si xmlns="http://schemas.openxmlformats.org/spreadsheetml/2006/main">
    <t xml:space="preserve">Period: 01 Sep 2026 to 30 Sep 2026   |   Generated on: 16-Oct-2026 14:53   |   Staff Count: 2</t>
  </si>
  <si xmlns="http://schemas.openxmlformats.org/spreadsheetml/2006/main">
    <t xml:space="preserve">Employee</t>
  </si>
  <si xmlns="http://schemas.openxmlformats.org/spreadsheetml/2006/main">
    <t xml:space="preserve">Total Working Days</t>
  </si>
  <si xmlns="http://schemas.openxmlformats.org/spreadsheetml/2006/main">
    <t xml:space="preserve">Present</t>
  </si>
  <si xmlns="http://schemas.openxmlformats.org/spreadsheetml/2006/main">
    <t xml:space="preserve">Absent</t>
  </si>
  <si xmlns="http://schemas.openxmlformats.org/spreadsheetml/2006/main">
    <t xml:space="preserve">Half Day PL</t>
  </si>
  <si xmlns="http://schemas.openxmlformats.org/spreadsheetml/2006/main">
    <t xml:space="preserve">Full Day PL</t>
  </si>
  <si xmlns="http://schemas.openxmlformats.org/spreadsheetml/2006/main">
    <t xml:space="preserve">Total PL Taken</t>
  </si>
  <si xmlns="http://schemas.openxmlformats.org/spreadsheetml/2006/main">
    <t xml:space="preserve">LWP Taken</t>
  </si>
  <si xmlns="http://schemas.openxmlformats.org/spreadsheetml/2006/main">
    <t xml:space="preserve">Week Off</t>
  </si>
  <si xmlns="http://schemas.openxmlformats.org/spreadsheetml/2006/main">
    <t xml:space="preserve">Holiday</t>
  </si>
  <si xmlns="http://schemas.openxmlformats.org/spreadsheetml/2006/main">
    <t xml:space="preserve">12</t>
  </si>
  <si xmlns="http://schemas.openxmlformats.org/spreadsheetml/2006/main">
    <t xml:space="preserve">September Opening Balance</t>
  </si>
  <si xmlns="http://schemas.openxmlformats.org/spreadsheetml/2006/main">
    <t xml:space="preserve">PL Taken</t>
  </si>
  <si xmlns="http://schemas.openxmlformats.org/spreadsheetml/2006/main">
    <t xml:space="preserve">Available Balance</t>
  </si>
  <si xmlns="http://schemas.openxmlformats.org/spreadsheetml/2006/main">
    <t xml:space="preserve">Avg Hours/Day</t>
  </si>
  <si xmlns="http://schemas.openxmlformats.org/spreadsheetml/2006/main">
    <t xml:space="preserve">ARPIT SINGHAL</t>
  </si>
  <si xmlns="http://schemas.openxmlformats.org/spreadsheetml/2006/main">
    <t xml:space="preserve">0h 0m</t>
  </si>
  <si xmlns="http://schemas.openxmlformats.org/spreadsheetml/2006/main">
    <t xml:space="preserve">MASOOD RAZA</t>
  </si>
  <si xmlns="http://schemas.openxmlformats.org/spreadsheetml/2006/main">
    <t xml:space="preserve">9h 48m</t>
  </si>
  <si xmlns="http://schemas.openxmlformats.org/spreadsheetml/2006/main">
    <t xml:space="preserve">DAILY LOGS: ARPIT SINGHAL</t>
  </si>
  <si xmlns="http://schemas.openxmlformats.org/spreadsheetml/2006/main">
    <t xml:space="preserve">Date</t>
  </si>
  <si xmlns="http://schemas.openxmlformats.org/spreadsheetml/2006/main">
    <t xml:space="preserve">Day</t>
  </si>
  <si xmlns="http://schemas.openxmlformats.org/spreadsheetml/2006/main">
    <t xml:space="preserve">Shift</t>
  </si>
  <si xmlns="http://schemas.openxmlformats.org/spreadsheetml/2006/main">
    <t xml:space="preserve">Status</t>
  </si>
  <si xmlns="http://schemas.openxmlformats.org/spreadsheetml/2006/main">
    <t xml:space="preserve">In Time</t>
  </si>
  <si xmlns="http://schemas.openxmlformats.org/spreadsheetml/2006/main">
    <t xml:space="preserve">Out Time</t>
  </si>
  <si xmlns="http://schemas.openxmlformats.org/spreadsheetml/2006/main">
    <t xml:space="preserve">Total Hours</t>
  </si>
  <si xmlns="http://schemas.openxmlformats.org/spreadsheetml/2006/main">
    <t xml:space="preserve">Late In / Early Out</t>
  </si>
  <si xmlns="http://schemas.openxmlformats.org/spreadsheetml/2006/main">
    <t xml:space="preserve">01-09-2026</t>
  </si>
  <si xmlns="http://schemas.openxmlformats.org/spreadsheetml/2006/main">
    <t xml:space="preserve">Tue</t>
  </si>
  <si xmlns="http://schemas.openxmlformats.org/spreadsheetml/2006/main">
    <t xml:space="preserve">—</t>
  </si>
  <si xmlns="http://schemas.openxmlformats.org/spreadsheetml/2006/main">
    <t xml:space="preserve">02-09-2026</t>
  </si>
  <si xmlns="http://schemas.openxmlformats.org/spreadsheetml/2006/main">
    <t xml:space="preserve">Wed</t>
  </si>
  <si xmlns="http://schemas.openxmlformats.org/spreadsheetml/2006/main">
    <t xml:space="preserve">03-09-2026</t>
  </si>
  <si xmlns="http://schemas.openxmlformats.org/spreadsheetml/2006/main">
    <t xml:space="preserve">Thu</t>
  </si>
  <si xmlns="http://schemas.openxmlformats.org/spreadsheetml/2006/main">
    <t xml:space="preserve">04-09-2026</t>
  </si>
  <si xmlns="http://schemas.openxmlformats.org/spreadsheetml/2006/main">
    <t xml:space="preserve">Fri</t>
  </si>
  <si xmlns="http://schemas.openxmlformats.org/spreadsheetml/2006/main">
    <t xml:space="preserve">05-09-2026</t>
  </si>
  <si xmlns="http://schemas.openxmlformats.org/spreadsheetml/2006/main">
    <t xml:space="preserve">Sat</t>
  </si>
  <si xmlns="http://schemas.openxmlformats.org/spreadsheetml/2006/main">
    <t xml:space="preserve">06-09-2026</t>
  </si>
  <si xmlns="http://schemas.openxmlformats.org/spreadsheetml/2006/main">
    <t xml:space="preserve">Sun</t>
  </si>
  <si xmlns="http://schemas.openxmlformats.org/spreadsheetml/2006/main">
    <t xml:space="preserve">LWP</t>
  </si>
  <si xmlns="http://schemas.openxmlformats.org/spreadsheetml/2006/main">
    <t xml:space="preserve">07-09-2026</t>
  </si>
  <si xmlns="http://schemas.openxmlformats.org/spreadsheetml/2006/main">
    <t xml:space="preserve">Mon</t>
  </si>
  <si xmlns="http://schemas.openxmlformats.org/spreadsheetml/2006/main">
    <t xml:space="preserve">08-09-2026</t>
  </si>
  <si xmlns="http://schemas.openxmlformats.org/spreadsheetml/2006/main">
    <t xml:space="preserve">09-09-2026</t>
  </si>
  <si xmlns="http://schemas.openxmlformats.org/spreadsheetml/2006/main">
    <t xml:space="preserve">10-09-2026</t>
  </si>
  <si xmlns="http://schemas.openxmlformats.org/spreadsheetml/2006/main">
    <t xml:space="preserve">11-09-2026</t>
  </si>
  <si xmlns="http://schemas.openxmlformats.org/spreadsheetml/2006/main">
    <t xml:space="preserve">12-09-2026</t>
  </si>
  <si xmlns="http://schemas.openxmlformats.org/spreadsheetml/2006/main">
    <t xml:space="preserve">13-09-2026</t>
  </si>
  <si xmlns="http://schemas.openxmlformats.org/spreadsheetml/2006/main">
    <t xml:space="preserve">14-09-2026</t>
  </si>
  <si xmlns="http://schemas.openxmlformats.org/spreadsheetml/2006/main">
    <t xml:space="preserve">15-09-2026</t>
  </si>
  <si xmlns="http://schemas.openxmlformats.org/spreadsheetml/2006/main">
    <t xml:space="preserve">16-09-2026</t>
  </si>
  <si xmlns="http://schemas.openxmlformats.org/spreadsheetml/2006/main">
    <t xml:space="preserve">17-09-2026</t>
  </si>
  <si xmlns="http://schemas.openxmlformats.org/spreadsheetml/2006/main">
    <t xml:space="preserve">18-09-2026</t>
  </si>
  <si xmlns="http://schemas.openxmlformats.org/spreadsheetml/2006/main">
    <t xml:space="preserve">19-09-2026</t>
  </si>
  <si xmlns="http://schemas.openxmlformats.org/spreadsheetml/2006/main">
    <t xml:space="preserve">20-09-2026</t>
  </si>
  <si xmlns="http://schemas.openxmlformats.org/spreadsheetml/2006/main">
    <t xml:space="preserve">21-09-2026</t>
  </si>
  <si xmlns="http://schemas.openxmlformats.org/spreadsheetml/2006/main">
    <t xml:space="preserve">22-09-2026</t>
  </si>
  <si xmlns="http://schemas.openxmlformats.org/spreadsheetml/2006/main">
    <t xml:space="preserve">23-09-2026</t>
  </si>
  <si xmlns="http://schemas.openxmlformats.org/spreadsheetml/2006/main">
    <t xml:space="preserve">24-09-2026</t>
  </si>
  <si xmlns="http://schemas.openxmlformats.org/spreadsheetml/2006/main">
    <t xml:space="preserve">25-09-2026</t>
  </si>
  <si xmlns="http://schemas.openxmlformats.org/spreadsheetml/2006/main">
    <t xml:space="preserve">26-09-2026</t>
  </si>
  <si xmlns="http://schemas.openxmlformats.org/spreadsheetml/2006/main">
    <t xml:space="preserve">27-09-2026</t>
  </si>
  <si xmlns="http://schemas.openxmlformats.org/spreadsheetml/2006/main">
    <t xml:space="preserve">28-09-2026</t>
  </si>
  <si xmlns="http://schemas.openxmlformats.org/spreadsheetml/2006/main">
    <t xml:space="preserve">29-09-2026</t>
  </si>
  <si xmlns="http://schemas.openxmlformats.org/spreadsheetml/2006/main">
    <t xml:space="preserve">30-09-2026</t>
  </si>
  <si xmlns="http://schemas.openxmlformats.org/spreadsheetml/2006/main">
    <t xml:space="preserve">Total Worked Hours</t>
  </si>
  <si xmlns="http://schemas.openxmlformats.org/spreadsheetml/2006/main">
    <t xml:space="preserve">DAILY LOGS: MASOOD RAZA</t>
  </si>
  <si xmlns="http://schemas.openxmlformats.org/spreadsheetml/2006/main">
    <t xml:space="preserve">SFPL-10-7 10:00–19:00</t>
  </si>
  <si xmlns="http://schemas.openxmlformats.org/spreadsheetml/2006/main">
    <t xml:space="preserve">8:57 AM</t>
  </si>
  <si xmlns="http://schemas.openxmlformats.org/spreadsheetml/2006/main">
    <t xml:space="preserve">6:30 PM</t>
  </si>
  <si xmlns="http://schemas.openxmlformats.org/spreadsheetml/2006/main">
    <t xml:space="preserve">9h 33m</t>
  </si>
  <si xmlns="http://schemas.openxmlformats.org/spreadsheetml/2006/main">
    <t xml:space="preserve">Early Out (29m)</t>
  </si>
  <si xmlns="http://schemas.openxmlformats.org/spreadsheetml/2006/main">
    <t xml:space="preserve">9:28 AM</t>
  </si>
  <si xmlns="http://schemas.openxmlformats.org/spreadsheetml/2006/main">
    <t xml:space="preserve">7:56 PM</t>
  </si>
  <si xmlns="http://schemas.openxmlformats.org/spreadsheetml/2006/main">
    <t xml:space="preserve">10h 28m</t>
  </si>
  <si xmlns="http://schemas.openxmlformats.org/spreadsheetml/2006/main">
    <t xml:space="preserve">On Time</t>
  </si>
  <si xmlns="http://schemas.openxmlformats.org/spreadsheetml/2006/main">
    <t xml:space="preserve">9:13 AM</t>
  </si>
  <si xmlns="http://schemas.openxmlformats.org/spreadsheetml/2006/main">
    <t xml:space="preserve">9h 17m</t>
  </si>
  <si xmlns="http://schemas.openxmlformats.org/spreadsheetml/2006/main">
    <t xml:space="preserve">Early Out (30m)</t>
  </si>
  <si xmlns="http://schemas.openxmlformats.org/spreadsheetml/2006/main">
    <t xml:space="preserve">8:42 AM</t>
  </si>
  <si xmlns="http://schemas.openxmlformats.org/spreadsheetml/2006/main">
    <t xml:space="preserve">7:40 PM</t>
  </si>
  <si xmlns="http://schemas.openxmlformats.org/spreadsheetml/2006/main">
    <t xml:space="preserve">10h 58m</t>
  </si>
  <si xmlns="http://schemas.openxmlformats.org/spreadsheetml/2006/main">
    <t xml:space="preserve">Weekly Off</t>
  </si>
  <si xmlns="http://schemas.openxmlformats.org/spreadsheetml/2006/main">
    <t xml:space="preserve">PL</t>
  </si>
  <si xmlns="http://schemas.openxmlformats.org/spreadsheetml/2006/main">
    <t xml:space="preserve">2:43 PM</t>
  </si>
  <si xmlns="http://schemas.openxmlformats.org/spreadsheetml/2006/main">
    <t xml:space="preserve">4:28 PM</t>
  </si>
  <si xmlns="http://schemas.openxmlformats.org/spreadsheetml/2006/main">
    <t xml:space="preserve">1h 45m</t>
  </si>
  <si xmlns="http://schemas.openxmlformats.org/spreadsheetml/2006/main">
    <t xml:space="preserve">Late In (283m), Early Out (152m)</t>
  </si>
  <si xmlns="http://schemas.openxmlformats.org/spreadsheetml/2006/main">
    <t xml:space="preserve">9:04 AM</t>
  </si>
  <si xmlns="http://schemas.openxmlformats.org/spreadsheetml/2006/main">
    <t xml:space="preserve">8:58 PM</t>
  </si>
  <si xmlns="http://schemas.openxmlformats.org/spreadsheetml/2006/main">
    <t xml:space="preserve">11h 53m</t>
  </si>
  <si xmlns="http://schemas.openxmlformats.org/spreadsheetml/2006/main">
    <t xml:space="preserve">9:00 AM</t>
  </si>
  <si xmlns="http://schemas.openxmlformats.org/spreadsheetml/2006/main">
    <t xml:space="preserve">7:51 PM</t>
  </si>
  <si xmlns="http://schemas.openxmlformats.org/spreadsheetml/2006/main">
    <t xml:space="preserve">10h 51m</t>
  </si>
  <si xmlns="http://schemas.openxmlformats.org/spreadsheetml/2006/main">
    <t xml:space="preserve">6:00 PM</t>
  </si>
  <si xmlns="http://schemas.openxmlformats.org/spreadsheetml/2006/main">
    <t xml:space="preserve">9h 0m</t>
  </si>
  <si xmlns="http://schemas.openxmlformats.org/spreadsheetml/2006/main">
    <t xml:space="preserve">Early Out (60m)</t>
  </si>
  <si xmlns="http://schemas.openxmlformats.org/spreadsheetml/2006/main">
    <t xml:space="preserve">9:10 AM</t>
  </si>
  <si xmlns="http://schemas.openxmlformats.org/spreadsheetml/2006/main">
    <t xml:space="preserve">9:06 PM</t>
  </si>
  <si xmlns="http://schemas.openxmlformats.org/spreadsheetml/2006/main">
    <t xml:space="preserve">11h 56m</t>
  </si>
  <si xmlns="http://schemas.openxmlformats.org/spreadsheetml/2006/main">
    <t xml:space="preserve">8:03 PM</t>
  </si>
  <si xmlns="http://schemas.openxmlformats.org/spreadsheetml/2006/main">
    <t xml:space="preserve">10h 50m</t>
  </si>
  <si xmlns="http://schemas.openxmlformats.org/spreadsheetml/2006/main">
    <t xml:space="preserve">9:21 AM</t>
  </si>
  <si xmlns="http://schemas.openxmlformats.org/spreadsheetml/2006/main">
    <t xml:space="preserve">7:59 PM</t>
  </si>
  <si xmlns="http://schemas.openxmlformats.org/spreadsheetml/2006/main">
    <t xml:space="preserve">10h 38m</t>
  </si>
  <si xmlns="http://schemas.openxmlformats.org/spreadsheetml/2006/main">
    <t xml:space="preserve">9:09 AM</t>
  </si>
  <si xmlns="http://schemas.openxmlformats.org/spreadsheetml/2006/main">
    <t xml:space="preserve">6:52 PM</t>
  </si>
  <si xmlns="http://schemas.openxmlformats.org/spreadsheetml/2006/main">
    <t xml:space="preserve">9h 43m</t>
  </si>
  <si xmlns="http://schemas.openxmlformats.org/spreadsheetml/2006/main">
    <t xml:space="preserve">7:24 PM</t>
  </si>
  <si xmlns="http://schemas.openxmlformats.org/spreadsheetml/2006/main">
    <t xml:space="preserve">10h 13m</t>
  </si>
  <si xmlns="http://schemas.openxmlformats.org/spreadsheetml/2006/main">
    <t xml:space="preserve">9:15 AM</t>
  </si>
  <si xmlns="http://schemas.openxmlformats.org/spreadsheetml/2006/main">
    <t xml:space="preserve">8:02 PM</t>
  </si>
  <si xmlns="http://schemas.openxmlformats.org/spreadsheetml/2006/main">
    <t xml:space="preserve">10h 47m</t>
  </si>
  <si xmlns="http://schemas.openxmlformats.org/spreadsheetml/2006/main">
    <t xml:space="preserve">9:18 AM</t>
  </si>
  <si xmlns="http://schemas.openxmlformats.org/spreadsheetml/2006/main">
    <t xml:space="preserve">6:43 PM</t>
  </si>
  <si xmlns="http://schemas.openxmlformats.org/spreadsheetml/2006/main">
    <t xml:space="preserve">9h 24m</t>
  </si>
  <si xmlns="http://schemas.openxmlformats.org/spreadsheetml/2006/main">
    <t xml:space="preserve">Early Out (16m)</t>
  </si>
  <si xmlns="http://schemas.openxmlformats.org/spreadsheetml/2006/main">
    <t xml:space="preserve">8:52 AM</t>
  </si>
  <si xmlns="http://schemas.openxmlformats.org/spreadsheetml/2006/main">
    <t xml:space="preserve">6:19 PM</t>
  </si>
  <si xmlns="http://schemas.openxmlformats.org/spreadsheetml/2006/main">
    <t xml:space="preserve">9h 27m</t>
  </si>
  <si xmlns="http://schemas.openxmlformats.org/spreadsheetml/2006/main">
    <t xml:space="preserve">Early Out (40m)</t>
  </si>
  <si xmlns="http://schemas.openxmlformats.org/spreadsheetml/2006/main">
    <t xml:space="preserve">10:00 AM</t>
  </si>
  <si xmlns="http://schemas.openxmlformats.org/spreadsheetml/2006/main">
    <t xml:space="preserve">8:00 PM</t>
  </si>
  <si xmlns="http://schemas.openxmlformats.org/spreadsheetml/2006/main">
    <t xml:space="preserve">10h 0m</t>
  </si>
  <si xmlns="http://schemas.openxmlformats.org/spreadsheetml/2006/main">
    <t xml:space="preserve">9:33 AM</t>
  </si>
  <si xmlns="http://schemas.openxmlformats.org/spreadsheetml/2006/main">
    <t xml:space="preserve">6:41 PM</t>
  </si>
  <si xmlns="http://schemas.openxmlformats.org/spreadsheetml/2006/main">
    <t xml:space="preserve">9h 8m</t>
  </si>
  <si xmlns="http://schemas.openxmlformats.org/spreadsheetml/2006/main">
    <t xml:space="preserve">Early Out (18m)</t>
  </si>
  <si xmlns="http://schemas.openxmlformats.org/spreadsheetml/2006/main">
    <t xml:space="preserve">9:24 AM</t>
  </si>
  <si xmlns="http://schemas.openxmlformats.org/spreadsheetml/2006/main">
    <t xml:space="preserve">7:10 PM</t>
  </si>
  <si xmlns="http://schemas.openxmlformats.org/spreadsheetml/2006/main">
    <t xml:space="preserve">9h 46m</t>
  </si>
  <si xmlns="http://schemas.openxmlformats.org/spreadsheetml/2006/main">
    <t xml:space="preserve">9:30 AM</t>
  </si>
  <si xmlns="http://schemas.openxmlformats.org/spreadsheetml/2006/main">
    <t xml:space="preserve">7:00 PM</t>
  </si>
  <si xmlns="http://schemas.openxmlformats.org/spreadsheetml/2006/main">
    <t xml:space="preserve">9h 30m</t>
  </si>
  <si xmlns="http://schemas.openxmlformats.org/spreadsheetml/2006/main">
    <t xml:space="preserve">195h 8m</t>
  </si>
  <si xmlns="http://schemas.openxmlformats.org/spreadsheetml/2006/main">
    <t xml:space="preserve">EXIMBIZ ENTERPRISE — ATTENDANCE &amp; LEAVE REGISTER</t>
  </si>
  <si xmlns="http://schemas.openxmlformats.org/spreadsheetml/2006/main">
    <t xml:space="preserve">Period: 01 Sep 2026 to 30 Sep 2026   |   Generated on: 16-Oct-2026 14:53   |   Staff Count: 8</t>
  </si>
  <si xmlns="http://schemas.openxmlformats.org/spreadsheetml/2006/main">
    <t xml:space="preserve">AHMED ADENWALA</t>
  </si>
  <si xmlns="http://schemas.openxmlformats.org/spreadsheetml/2006/main">
    <t xml:space="preserve">9h 12m</t>
  </si>
  <si xmlns="http://schemas.openxmlformats.org/spreadsheetml/2006/main">
    <t xml:space="preserve">ALPESH PARMAR</t>
  </si>
  <si xmlns="http://schemas.openxmlformats.org/spreadsheetml/2006/main">
    <t xml:space="preserve">AMBILY</t>
  </si>
  <si xmlns="http://schemas.openxmlformats.org/spreadsheetml/2006/main">
    <t xml:space="preserve">DIPAK VAGHELA</t>
  </si>
  <si xmlns="http://schemas.openxmlformats.org/spreadsheetml/2006/main">
    <t xml:space="preserve">HIRANRAJ R</t>
  </si>
  <si xmlns="http://schemas.openxmlformats.org/spreadsheetml/2006/main">
    <t xml:space="preserve">9h 6m</t>
  </si>
  <si xmlns="http://schemas.openxmlformats.org/spreadsheetml/2006/main">
    <t xml:space="preserve">KARAN MISHRA</t>
  </si>
  <si xmlns="http://schemas.openxmlformats.org/spreadsheetml/2006/main">
    <t xml:space="preserve">RAHUL SOLANKI</t>
  </si>
  <si xmlns="http://schemas.openxmlformats.org/spreadsheetml/2006/main">
    <t xml:space="preserve">RENUKA SONAVANE</t>
  </si>
  <si xmlns="http://schemas.openxmlformats.org/spreadsheetml/2006/main">
    <t xml:space="preserve">DAILY LOGS: AHMED ADENWALA</t>
  </si>
  <si xmlns="http://schemas.openxmlformats.org/spreadsheetml/2006/main">
    <t xml:space="preserve">10:40 AM</t>
  </si>
  <si xmlns="http://schemas.openxmlformats.org/spreadsheetml/2006/main">
    <t xml:space="preserve">7:36 PM</t>
  </si>
  <si xmlns="http://schemas.openxmlformats.org/spreadsheetml/2006/main">
    <t xml:space="preserve">8h 56m</t>
  </si>
  <si xmlns="http://schemas.openxmlformats.org/spreadsheetml/2006/main">
    <t xml:space="preserve">Late In (40m)</t>
  </si>
  <si xmlns="http://schemas.openxmlformats.org/spreadsheetml/2006/main">
    <t xml:space="preserve">10:52 AM</t>
  </si>
  <si xmlns="http://schemas.openxmlformats.org/spreadsheetml/2006/main">
    <t xml:space="preserve">7:58 PM</t>
  </si>
  <si xmlns="http://schemas.openxmlformats.org/spreadsheetml/2006/main">
    <t xml:space="preserve">Late In (52m)</t>
  </si>
  <si xmlns="http://schemas.openxmlformats.org/spreadsheetml/2006/main">
    <t xml:space="preserve">10:36 AM</t>
  </si>
  <si xmlns="http://schemas.openxmlformats.org/spreadsheetml/2006/main">
    <t xml:space="preserve">7:43 PM</t>
  </si>
  <si xmlns="http://schemas.openxmlformats.org/spreadsheetml/2006/main">
    <t xml:space="preserve">9h 7m</t>
  </si>
  <si xmlns="http://schemas.openxmlformats.org/spreadsheetml/2006/main">
    <t xml:space="preserve">Late In (36m)</t>
  </si>
  <si xmlns="http://schemas.openxmlformats.org/spreadsheetml/2006/main">
    <t xml:space="preserve">10:47 AM</t>
  </si>
  <si xmlns="http://schemas.openxmlformats.org/spreadsheetml/2006/main">
    <t xml:space="preserve">7:38 PM</t>
  </si>
  <si xmlns="http://schemas.openxmlformats.org/spreadsheetml/2006/main">
    <t xml:space="preserve">8h 51m</t>
  </si>
  <si xmlns="http://schemas.openxmlformats.org/spreadsheetml/2006/main">
    <t xml:space="preserve">Late In (47m)</t>
  </si>
  <si xmlns="http://schemas.openxmlformats.org/spreadsheetml/2006/main">
    <t xml:space="preserve">10:53 AM</t>
  </si>
  <si xmlns="http://schemas.openxmlformats.org/spreadsheetml/2006/main">
    <t xml:space="preserve">Late In (53m)</t>
  </si>
  <si xmlns="http://schemas.openxmlformats.org/spreadsheetml/2006/main">
    <t xml:space="preserve">10:46 AM</t>
  </si>
  <si xmlns="http://schemas.openxmlformats.org/spreadsheetml/2006/main">
    <t xml:space="preserve">7:45 PM</t>
  </si>
  <si xmlns="http://schemas.openxmlformats.org/spreadsheetml/2006/main">
    <t xml:space="preserve">8h 59m</t>
  </si>
  <si xmlns="http://schemas.openxmlformats.org/spreadsheetml/2006/main">
    <t xml:space="preserve">Late In (46m)</t>
  </si>
  <si xmlns="http://schemas.openxmlformats.org/spreadsheetml/2006/main">
    <t xml:space="preserve">10:41 AM</t>
  </si>
  <si xmlns="http://schemas.openxmlformats.org/spreadsheetml/2006/main">
    <t xml:space="preserve">8h 58m</t>
  </si>
  <si xmlns="http://schemas.openxmlformats.org/spreadsheetml/2006/main">
    <t xml:space="preserve">Late In (41m)</t>
  </si>
  <si xmlns="http://schemas.openxmlformats.org/spreadsheetml/2006/main">
    <t xml:space="preserve">10:43 AM</t>
  </si>
  <si xmlns="http://schemas.openxmlformats.org/spreadsheetml/2006/main">
    <t xml:space="preserve">9h 16m</t>
  </si>
  <si xmlns="http://schemas.openxmlformats.org/spreadsheetml/2006/main">
    <t xml:space="preserve">Late In (43m)</t>
  </si>
  <si xmlns="http://schemas.openxmlformats.org/spreadsheetml/2006/main">
    <t xml:space="preserve">7:47 PM</t>
  </si>
  <si xmlns="http://schemas.openxmlformats.org/spreadsheetml/2006/main">
    <t xml:space="preserve">9h 4m</t>
  </si>
  <si xmlns="http://schemas.openxmlformats.org/spreadsheetml/2006/main">
    <t xml:space="preserve">10:58 AM</t>
  </si>
  <si xmlns="http://schemas.openxmlformats.org/spreadsheetml/2006/main">
    <t xml:space="preserve">7:28 PM</t>
  </si>
  <si xmlns="http://schemas.openxmlformats.org/spreadsheetml/2006/main">
    <t xml:space="preserve">8h 30m</t>
  </si>
  <si xmlns="http://schemas.openxmlformats.org/spreadsheetml/2006/main">
    <t xml:space="preserve">Late In (58m)</t>
  </si>
  <si xmlns="http://schemas.openxmlformats.org/spreadsheetml/2006/main">
    <t xml:space="preserve">10:48 AM</t>
  </si>
  <si xmlns="http://schemas.openxmlformats.org/spreadsheetml/2006/main">
    <t xml:space="preserve">7:41 PM</t>
  </si>
  <si xmlns="http://schemas.openxmlformats.org/spreadsheetml/2006/main">
    <t xml:space="preserve">8h 53m</t>
  </si>
  <si xmlns="http://schemas.openxmlformats.org/spreadsheetml/2006/main">
    <t xml:space="preserve">Late In (48m)</t>
  </si>
  <si xmlns="http://schemas.openxmlformats.org/spreadsheetml/2006/main">
    <t xml:space="preserve">10:30 AM</t>
  </si>
  <si xmlns="http://schemas.openxmlformats.org/spreadsheetml/2006/main">
    <t xml:space="preserve">9h 28m</t>
  </si>
  <si xmlns="http://schemas.openxmlformats.org/spreadsheetml/2006/main">
    <t xml:space="preserve">Late In (30m)</t>
  </si>
  <si xmlns="http://schemas.openxmlformats.org/spreadsheetml/2006/main">
    <t xml:space="preserve">10:42 AM</t>
  </si>
  <si xmlns="http://schemas.openxmlformats.org/spreadsheetml/2006/main">
    <t xml:space="preserve">7:50 PM</t>
  </si>
  <si xmlns="http://schemas.openxmlformats.org/spreadsheetml/2006/main">
    <t xml:space="preserve">9h 9m</t>
  </si>
  <si xmlns="http://schemas.openxmlformats.org/spreadsheetml/2006/main">
    <t xml:space="preserve">Late In (42m)</t>
  </si>
  <si xmlns="http://schemas.openxmlformats.org/spreadsheetml/2006/main">
    <t xml:space="preserve">10:55 AM</t>
  </si>
  <si xmlns="http://schemas.openxmlformats.org/spreadsheetml/2006/main">
    <t xml:space="preserve">8:04 PM</t>
  </si>
  <si xmlns="http://schemas.openxmlformats.org/spreadsheetml/2006/main">
    <t xml:space="preserve">Late In (55m)</t>
  </si>
  <si xmlns="http://schemas.openxmlformats.org/spreadsheetml/2006/main">
    <t xml:space="preserve">10:29 AM</t>
  </si>
  <si xmlns="http://schemas.openxmlformats.org/spreadsheetml/2006/main">
    <t xml:space="preserve">Late In (29m)</t>
  </si>
  <si xmlns="http://schemas.openxmlformats.org/spreadsheetml/2006/main">
    <t xml:space="preserve">10:35 AM</t>
  </si>
  <si xmlns="http://schemas.openxmlformats.org/spreadsheetml/2006/main">
    <t xml:space="preserve">8:08 PM</t>
  </si>
  <si xmlns="http://schemas.openxmlformats.org/spreadsheetml/2006/main">
    <t xml:space="preserve">9h 32m</t>
  </si>
  <si xmlns="http://schemas.openxmlformats.org/spreadsheetml/2006/main">
    <t xml:space="preserve">Late In (35m)</t>
  </si>
  <si xmlns="http://schemas.openxmlformats.org/spreadsheetml/2006/main">
    <t xml:space="preserve">10:45 AM</t>
  </si>
  <si xmlns="http://schemas.openxmlformats.org/spreadsheetml/2006/main">
    <t xml:space="preserve">9h 13m</t>
  </si>
  <si xmlns="http://schemas.openxmlformats.org/spreadsheetml/2006/main">
    <t xml:space="preserve">Late In (45m)</t>
  </si>
  <si xmlns="http://schemas.openxmlformats.org/spreadsheetml/2006/main">
    <t xml:space="preserve">10:44 AM</t>
  </si>
  <si xmlns="http://schemas.openxmlformats.org/spreadsheetml/2006/main">
    <t xml:space="preserve">7:57 PM</t>
  </si>
  <si xmlns="http://schemas.openxmlformats.org/spreadsheetml/2006/main">
    <t xml:space="preserve">Late In (44m)</t>
  </si>
  <si xmlns="http://schemas.openxmlformats.org/spreadsheetml/2006/main">
    <t xml:space="preserve">7:52 PM</t>
  </si>
  <si xmlns="http://schemas.openxmlformats.org/spreadsheetml/2006/main">
    <t xml:space="preserve">10:51 AM</t>
  </si>
  <si xmlns="http://schemas.openxmlformats.org/spreadsheetml/2006/main">
    <t xml:space="preserve">7:37 PM</t>
  </si>
  <si xmlns="http://schemas.openxmlformats.org/spreadsheetml/2006/main">
    <t xml:space="preserve">8h 46m</t>
  </si>
  <si xmlns="http://schemas.openxmlformats.org/spreadsheetml/2006/main">
    <t xml:space="preserve">Late In (51m)</t>
  </si>
  <si xmlns="http://schemas.openxmlformats.org/spreadsheetml/2006/main">
    <t xml:space="preserve">10:38 AM</t>
  </si>
  <si xmlns="http://schemas.openxmlformats.org/spreadsheetml/2006/main">
    <t xml:space="preserve">Late In (38m)</t>
  </si>
  <si xmlns="http://schemas.openxmlformats.org/spreadsheetml/2006/main">
    <t xml:space="preserve">Half Day (PL)</t>
  </si>
  <si xmlns="http://schemas.openxmlformats.org/spreadsheetml/2006/main">
    <t xml:space="preserve">1:20 PM</t>
  </si>
  <si xmlns="http://schemas.openxmlformats.org/spreadsheetml/2006/main">
    <t xml:space="preserve">6h 38m</t>
  </si>
  <si xmlns="http://schemas.openxmlformats.org/spreadsheetml/2006/main">
    <t xml:space="preserve">Late In (200m)</t>
  </si>
  <si xmlns="http://schemas.openxmlformats.org/spreadsheetml/2006/main">
    <t xml:space="preserve">197h 29m</t>
  </si>
  <si xmlns="http://schemas.openxmlformats.org/spreadsheetml/2006/main">
    <t xml:space="preserve">DAILY LOGS: ALPESH PARMAR</t>
  </si>
  <si xmlns="http://schemas.openxmlformats.org/spreadsheetml/2006/main">
    <t xml:space="preserve">10:37 AM</t>
  </si>
  <si xmlns="http://schemas.openxmlformats.org/spreadsheetml/2006/main">
    <t xml:space="preserve">7:19 PM</t>
  </si>
  <si xmlns="http://schemas.openxmlformats.org/spreadsheetml/2006/main">
    <t xml:space="preserve">8h 43m</t>
  </si>
  <si xmlns="http://schemas.openxmlformats.org/spreadsheetml/2006/main">
    <t xml:space="preserve">Late In (37m)</t>
  </si>
  <si xmlns="http://schemas.openxmlformats.org/spreadsheetml/2006/main">
    <t xml:space="preserve">10:25 AM</t>
  </si>
  <si xmlns="http://schemas.openxmlformats.org/spreadsheetml/2006/main">
    <t xml:space="preserve">Late In (25m)</t>
  </si>
  <si xmlns="http://schemas.openxmlformats.org/spreadsheetml/2006/main">
    <t xml:space="preserve">10:31 AM</t>
  </si>
  <si xmlns="http://schemas.openxmlformats.org/spreadsheetml/2006/main">
    <t xml:space="preserve">7:20 PM</t>
  </si>
  <si xmlns="http://schemas.openxmlformats.org/spreadsheetml/2006/main">
    <t xml:space="preserve">8h 48m</t>
  </si>
  <si xmlns="http://schemas.openxmlformats.org/spreadsheetml/2006/main">
    <t xml:space="preserve">Late In (31m)</t>
  </si>
  <si xmlns="http://schemas.openxmlformats.org/spreadsheetml/2006/main">
    <t xml:space="preserve">10:23 AM</t>
  </si>
  <si xmlns="http://schemas.openxmlformats.org/spreadsheetml/2006/main">
    <t xml:space="preserve">7:23 PM</t>
  </si>
  <si xmlns="http://schemas.openxmlformats.org/spreadsheetml/2006/main">
    <t xml:space="preserve">Late In (23m)</t>
  </si>
  <si xmlns="http://schemas.openxmlformats.org/spreadsheetml/2006/main">
    <t xml:space="preserve">7:13 PM</t>
  </si>
  <si xmlns="http://schemas.openxmlformats.org/spreadsheetml/2006/main">
    <t xml:space="preserve">8h 44m</t>
  </si>
  <si xmlns="http://schemas.openxmlformats.org/spreadsheetml/2006/main">
    <t xml:space="preserve">10:28 AM</t>
  </si>
  <si xmlns="http://schemas.openxmlformats.org/spreadsheetml/2006/main">
    <t xml:space="preserve">8h 45m</t>
  </si>
  <si xmlns="http://schemas.openxmlformats.org/spreadsheetml/2006/main">
    <t xml:space="preserve">Late In (28m)</t>
  </si>
  <si xmlns="http://schemas.openxmlformats.org/spreadsheetml/2006/main">
    <t xml:space="preserve">10:26 AM</t>
  </si>
  <si xmlns="http://schemas.openxmlformats.org/spreadsheetml/2006/main">
    <t xml:space="preserve">7:26 PM</t>
  </si>
  <si xmlns="http://schemas.openxmlformats.org/spreadsheetml/2006/main">
    <t xml:space="preserve">Late In (26m)</t>
  </si>
  <si xmlns="http://schemas.openxmlformats.org/spreadsheetml/2006/main">
    <t xml:space="preserve">7:35 PM</t>
  </si>
  <si xmlns="http://schemas.openxmlformats.org/spreadsheetml/2006/main">
    <t xml:space="preserve">12:07 PM</t>
  </si>
  <si xmlns="http://schemas.openxmlformats.org/spreadsheetml/2006/main">
    <t xml:space="preserve">4:37 PM</t>
  </si>
  <si xmlns="http://schemas.openxmlformats.org/spreadsheetml/2006/main">
    <t xml:space="preserve">4h 30m</t>
  </si>
  <si xmlns="http://schemas.openxmlformats.org/spreadsheetml/2006/main">
    <t xml:space="preserve">Late In (127m), Early Out (142m)</t>
  </si>
  <si xmlns="http://schemas.openxmlformats.org/spreadsheetml/2006/main">
    <t xml:space="preserve">9h 5m</t>
  </si>
  <si xmlns="http://schemas.openxmlformats.org/spreadsheetml/2006/main">
    <t xml:space="preserve">10:32 AM</t>
  </si>
  <si xmlns="http://schemas.openxmlformats.org/spreadsheetml/2006/main">
    <t xml:space="preserve">7:32 PM</t>
  </si>
  <si xmlns="http://schemas.openxmlformats.org/spreadsheetml/2006/main">
    <t xml:space="preserve">Late In (32m)</t>
  </si>
  <si xmlns="http://schemas.openxmlformats.org/spreadsheetml/2006/main">
    <t xml:space="preserve">10:39 AM</t>
  </si>
  <si xmlns="http://schemas.openxmlformats.org/spreadsheetml/2006/main">
    <t xml:space="preserve">7:39 PM</t>
  </si>
  <si xmlns="http://schemas.openxmlformats.org/spreadsheetml/2006/main">
    <t xml:space="preserve">Late In (39m)</t>
  </si>
  <si xmlns="http://schemas.openxmlformats.org/spreadsheetml/2006/main">
    <t xml:space="preserve">10:34 AM</t>
  </si>
  <si xmlns="http://schemas.openxmlformats.org/spreadsheetml/2006/main">
    <t xml:space="preserve">7:34 PM</t>
  </si>
  <si xmlns="http://schemas.openxmlformats.org/spreadsheetml/2006/main">
    <t xml:space="preserve">9h 1m</t>
  </si>
  <si xmlns="http://schemas.openxmlformats.org/spreadsheetml/2006/main">
    <t xml:space="preserve">Late In (34m)</t>
  </si>
  <si xmlns="http://schemas.openxmlformats.org/spreadsheetml/2006/main">
    <t xml:space="preserve">8h 57m</t>
  </si>
  <si xmlns="http://schemas.openxmlformats.org/spreadsheetml/2006/main">
    <t xml:space="preserve">10:33 AM</t>
  </si>
  <si xmlns="http://schemas.openxmlformats.org/spreadsheetml/2006/main">
    <t xml:space="preserve">8h 50m</t>
  </si>
  <si xmlns="http://schemas.openxmlformats.org/spreadsheetml/2006/main">
    <t xml:space="preserve">Late In (33m)</t>
  </si>
  <si xmlns="http://schemas.openxmlformats.org/spreadsheetml/2006/main">
    <t xml:space="preserve">3:00 PM</t>
  </si>
  <si xmlns="http://schemas.openxmlformats.org/spreadsheetml/2006/main">
    <t xml:space="preserve">Late In (30m), Early Out (239m)</t>
  </si>
  <si xmlns="http://schemas.openxmlformats.org/spreadsheetml/2006/main">
    <t xml:space="preserve">9h 2m</t>
  </si>
  <si xmlns="http://schemas.openxmlformats.org/spreadsheetml/2006/main">
    <t xml:space="preserve">179h 6m</t>
  </si>
  <si xmlns="http://schemas.openxmlformats.org/spreadsheetml/2006/main">
    <t xml:space="preserve">DAILY LOGS: AMBILY</t>
  </si>
  <si xmlns="http://schemas.openxmlformats.org/spreadsheetml/2006/main">
    <t xml:space="preserve">216h 0m</t>
  </si>
  <si xmlns="http://schemas.openxmlformats.org/spreadsheetml/2006/main">
    <t xml:space="preserve">DAILY LOGS: DIPAK VAGHELA</t>
  </si>
  <si xmlns="http://schemas.openxmlformats.org/spreadsheetml/2006/main">
    <t xml:space="preserve">5:55 PM</t>
  </si>
  <si xmlns="http://schemas.openxmlformats.org/spreadsheetml/2006/main">
    <t xml:space="preserve">8h 22m</t>
  </si>
  <si xmlns="http://schemas.openxmlformats.org/spreadsheetml/2006/main">
    <t xml:space="preserve">Early Out (64m)</t>
  </si>
  <si xmlns="http://schemas.openxmlformats.org/spreadsheetml/2006/main">
    <t xml:space="preserve">9:34 AM</t>
  </si>
  <si xmlns="http://schemas.openxmlformats.org/spreadsheetml/2006/main">
    <t xml:space="preserve">6:56 PM</t>
  </si>
  <si xmlns="http://schemas.openxmlformats.org/spreadsheetml/2006/main">
    <t xml:space="preserve">9h 22m</t>
  </si>
  <si xmlns="http://schemas.openxmlformats.org/spreadsheetml/2006/main">
    <t xml:space="preserve">6:55 PM</t>
  </si>
  <si xmlns="http://schemas.openxmlformats.org/spreadsheetml/2006/main">
    <t xml:space="preserve">9h 21m</t>
  </si>
  <si xmlns="http://schemas.openxmlformats.org/spreadsheetml/2006/main">
    <t xml:space="preserve">6:57 PM</t>
  </si>
  <si xmlns="http://schemas.openxmlformats.org/spreadsheetml/2006/main">
    <t xml:space="preserve">9h 23m</t>
  </si>
  <si xmlns="http://schemas.openxmlformats.org/spreadsheetml/2006/main">
    <t xml:space="preserve">6:58 PM</t>
  </si>
  <si xmlns="http://schemas.openxmlformats.org/spreadsheetml/2006/main">
    <t xml:space="preserve">9h 25m</t>
  </si>
  <si xmlns="http://schemas.openxmlformats.org/spreadsheetml/2006/main">
    <t xml:space="preserve">9:45 AM</t>
  </si>
  <si xmlns="http://schemas.openxmlformats.org/spreadsheetml/2006/main">
    <t xml:space="preserve">9h 10m</t>
  </si>
  <si xmlns="http://schemas.openxmlformats.org/spreadsheetml/2006/main">
    <t xml:space="preserve">1:58 PM</t>
  </si>
  <si xmlns="http://schemas.openxmlformats.org/spreadsheetml/2006/main">
    <t xml:space="preserve">4h 57m</t>
  </si>
  <si xmlns="http://schemas.openxmlformats.org/spreadsheetml/2006/main">
    <t xml:space="preserve">Late In (238m)</t>
  </si>
  <si xmlns="http://schemas.openxmlformats.org/spreadsheetml/2006/main">
    <t xml:space="preserve">9:42 AM</t>
  </si>
  <si xmlns="http://schemas.openxmlformats.org/spreadsheetml/2006/main">
    <t xml:space="preserve">9h 14m</t>
  </si>
  <si xmlns="http://schemas.openxmlformats.org/spreadsheetml/2006/main">
    <t xml:space="preserve">9h 34m</t>
  </si>
  <si xmlns="http://schemas.openxmlformats.org/spreadsheetml/2006/main">
    <t xml:space="preserve">1:38 PM</t>
  </si>
  <si xmlns="http://schemas.openxmlformats.org/spreadsheetml/2006/main">
    <t xml:space="preserve">6:59 PM</t>
  </si>
  <si xmlns="http://schemas.openxmlformats.org/spreadsheetml/2006/main">
    <t xml:space="preserve">5h 21m</t>
  </si>
  <si xmlns="http://schemas.openxmlformats.org/spreadsheetml/2006/main">
    <t xml:space="preserve">Late In (218m)</t>
  </si>
  <si xmlns="http://schemas.openxmlformats.org/spreadsheetml/2006/main">
    <t xml:space="preserve">9h 40m</t>
  </si>
  <si xmlns="http://schemas.openxmlformats.org/spreadsheetml/2006/main">
    <t xml:space="preserve">9:23 AM</t>
  </si>
  <si xmlns="http://schemas.openxmlformats.org/spreadsheetml/2006/main">
    <t xml:space="preserve">7:14 PM</t>
  </si>
  <si xmlns="http://schemas.openxmlformats.org/spreadsheetml/2006/main">
    <t xml:space="preserve">9h 51m</t>
  </si>
  <si xmlns="http://schemas.openxmlformats.org/spreadsheetml/2006/main">
    <t xml:space="preserve">9:47 AM</t>
  </si>
  <si xmlns="http://schemas.openxmlformats.org/spreadsheetml/2006/main">
    <t xml:space="preserve">7:25 PM</t>
  </si>
  <si xmlns="http://schemas.openxmlformats.org/spreadsheetml/2006/main">
    <t xml:space="preserve">9h 38m</t>
  </si>
  <si xmlns="http://schemas.openxmlformats.org/spreadsheetml/2006/main">
    <t xml:space="preserve">9:32 AM</t>
  </si>
  <si xmlns="http://schemas.openxmlformats.org/spreadsheetml/2006/main">
    <t xml:space="preserve">2:03 PM</t>
  </si>
  <si xmlns="http://schemas.openxmlformats.org/spreadsheetml/2006/main">
    <t xml:space="preserve">4h 31m</t>
  </si>
  <si xmlns="http://schemas.openxmlformats.org/spreadsheetml/2006/main">
    <t xml:space="preserve">Early Out (296m)</t>
  </si>
  <si xmlns="http://schemas.openxmlformats.org/spreadsheetml/2006/main">
    <t xml:space="preserve">9:22 AM</t>
  </si>
  <si xmlns="http://schemas.openxmlformats.org/spreadsheetml/2006/main">
    <t xml:space="preserve">1:59 PM</t>
  </si>
  <si xmlns="http://schemas.openxmlformats.org/spreadsheetml/2006/main">
    <t xml:space="preserve">4h 58m</t>
  </si>
  <si xmlns="http://schemas.openxmlformats.org/spreadsheetml/2006/main">
    <t xml:space="preserve">Late In (239m)</t>
  </si>
  <si xmlns="http://schemas.openxmlformats.org/spreadsheetml/2006/main">
    <t xml:space="preserve">9:59 AM</t>
  </si>
  <si xmlns="http://schemas.openxmlformats.org/spreadsheetml/2006/main">
    <t xml:space="preserve">8:14 PM</t>
  </si>
  <si xmlns="http://schemas.openxmlformats.org/spreadsheetml/2006/main">
    <t xml:space="preserve">10h 14m</t>
  </si>
  <si xmlns="http://schemas.openxmlformats.org/spreadsheetml/2006/main">
    <t xml:space="preserve">2:00 PM</t>
  </si>
  <si xmlns="http://schemas.openxmlformats.org/spreadsheetml/2006/main">
    <t xml:space="preserve">4h 27m</t>
  </si>
  <si xmlns="http://schemas.openxmlformats.org/spreadsheetml/2006/main">
    <t xml:space="preserve">Early Out (299m)</t>
  </si>
  <si xmlns="http://schemas.openxmlformats.org/spreadsheetml/2006/main">
    <t xml:space="preserve">6:54 PM</t>
  </si>
  <si xmlns="http://schemas.openxmlformats.org/spreadsheetml/2006/main">
    <t xml:space="preserve">193h 50m</t>
  </si>
  <si xmlns="http://schemas.openxmlformats.org/spreadsheetml/2006/main">
    <t xml:space="preserve">DAILY LOGS: HIRANRAJ R</t>
  </si>
  <si xmlns="http://schemas.openxmlformats.org/spreadsheetml/2006/main">
    <t xml:space="preserve">10:08 AM</t>
  </si>
  <si xmlns="http://schemas.openxmlformats.org/spreadsheetml/2006/main">
    <t xml:space="preserve">7:04 PM</t>
  </si>
  <si xmlns="http://schemas.openxmlformats.org/spreadsheetml/2006/main">
    <t xml:space="preserve">10:17 AM</t>
  </si>
  <si xmlns="http://schemas.openxmlformats.org/spreadsheetml/2006/main">
    <t xml:space="preserve">Late In (17m)</t>
  </si>
  <si xmlns="http://schemas.openxmlformats.org/spreadsheetml/2006/main">
    <t xml:space="preserve">7:09 PM</t>
  </si>
  <si xmlns="http://schemas.openxmlformats.org/spreadsheetml/2006/main">
    <t xml:space="preserve">8h 39m</t>
  </si>
  <si xmlns="http://schemas.openxmlformats.org/spreadsheetml/2006/main">
    <t xml:space="preserve">11:08 AM</t>
  </si>
  <si xmlns="http://schemas.openxmlformats.org/spreadsheetml/2006/main">
    <t xml:space="preserve">Late In (68m)</t>
  </si>
  <si xmlns="http://schemas.openxmlformats.org/spreadsheetml/2006/main">
    <t xml:space="preserve">8h 35m</t>
  </si>
  <si xmlns="http://schemas.openxmlformats.org/spreadsheetml/2006/main">
    <t xml:space="preserve">9h 3m</t>
  </si>
  <si xmlns="http://schemas.openxmlformats.org/spreadsheetml/2006/main">
    <t xml:space="preserve">11:04 AM</t>
  </si>
  <si xmlns="http://schemas.openxmlformats.org/spreadsheetml/2006/main">
    <t xml:space="preserve">8:56 PM</t>
  </si>
  <si xmlns="http://schemas.openxmlformats.org/spreadsheetml/2006/main">
    <t xml:space="preserve">9h 52m</t>
  </si>
  <si xmlns="http://schemas.openxmlformats.org/spreadsheetml/2006/main">
    <t xml:space="preserve">Late In (64m)</t>
  </si>
  <si xmlns="http://schemas.openxmlformats.org/spreadsheetml/2006/main">
    <t xml:space="preserve">10:59 AM</t>
  </si>
  <si xmlns="http://schemas.openxmlformats.org/spreadsheetml/2006/main">
    <t xml:space="preserve">9:55 PM</t>
  </si>
  <si xmlns="http://schemas.openxmlformats.org/spreadsheetml/2006/main">
    <t xml:space="preserve">10h 55m</t>
  </si>
  <si xmlns="http://schemas.openxmlformats.org/spreadsheetml/2006/main">
    <t xml:space="preserve">Late In (59m)</t>
  </si>
  <si xmlns="http://schemas.openxmlformats.org/spreadsheetml/2006/main">
    <t xml:space="preserve">7:18 PM</t>
  </si>
  <si xmlns="http://schemas.openxmlformats.org/spreadsheetml/2006/main">
    <t xml:space="preserve">8h 31m</t>
  </si>
  <si xmlns="http://schemas.openxmlformats.org/spreadsheetml/2006/main">
    <t xml:space="preserve">11:01 AM</t>
  </si>
  <si xmlns="http://schemas.openxmlformats.org/spreadsheetml/2006/main">
    <t xml:space="preserve">8:23 PM</t>
  </si>
  <si xmlns="http://schemas.openxmlformats.org/spreadsheetml/2006/main">
    <t xml:space="preserve">Late In (61m)</t>
  </si>
  <si xmlns="http://schemas.openxmlformats.org/spreadsheetml/2006/main">
    <t xml:space="preserve">7:21 PM</t>
  </si>
  <si xmlns="http://schemas.openxmlformats.org/spreadsheetml/2006/main">
    <t xml:space="preserve">7:15 PM</t>
  </si>
  <si xmlns="http://schemas.openxmlformats.org/spreadsheetml/2006/main">
    <t xml:space="preserve">7:49 PM</t>
  </si>
  <si xmlns="http://schemas.openxmlformats.org/spreadsheetml/2006/main">
    <t xml:space="preserve">199h 18m</t>
  </si>
  <si xmlns="http://schemas.openxmlformats.org/spreadsheetml/2006/main">
    <t xml:space="preserve">DAILY LOGS: KARAN MISHRA</t>
  </si>
  <si xmlns="http://schemas.openxmlformats.org/spreadsheetml/2006/main">
    <t xml:space="preserve">10:21 AM</t>
  </si>
  <si xmlns="http://schemas.openxmlformats.org/spreadsheetml/2006/main">
    <t xml:space="preserve">8:38 PM</t>
  </si>
  <si xmlns="http://schemas.openxmlformats.org/spreadsheetml/2006/main">
    <t xml:space="preserve">10h 17m</t>
  </si>
  <si xmlns="http://schemas.openxmlformats.org/spreadsheetml/2006/main">
    <t xml:space="preserve">Late In (21m)</t>
  </si>
  <si xmlns="http://schemas.openxmlformats.org/spreadsheetml/2006/main">
    <t xml:space="preserve">8:16 PM</t>
  </si>
  <si xmlns="http://schemas.openxmlformats.org/spreadsheetml/2006/main">
    <t xml:space="preserve">10:19 AM</t>
  </si>
  <si xmlns="http://schemas.openxmlformats.org/spreadsheetml/2006/main">
    <t xml:space="preserve">7:12 PM</t>
  </si>
  <si xmlns="http://schemas.openxmlformats.org/spreadsheetml/2006/main">
    <t xml:space="preserve">Late In (19m)</t>
  </si>
  <si xmlns="http://schemas.openxmlformats.org/spreadsheetml/2006/main">
    <t xml:space="preserve">10:20 AM</t>
  </si>
  <si xmlns="http://schemas.openxmlformats.org/spreadsheetml/2006/main">
    <t xml:space="preserve">Late In (20m)</t>
  </si>
  <si xmlns="http://schemas.openxmlformats.org/spreadsheetml/2006/main">
    <t xml:space="preserve">7:26 AM</t>
  </si>
  <si xmlns="http://schemas.openxmlformats.org/spreadsheetml/2006/main">
    <t xml:space="preserve">10:50 AM</t>
  </si>
  <si xmlns="http://schemas.openxmlformats.org/spreadsheetml/2006/main">
    <t xml:space="preserve">Late In (50m)</t>
  </si>
  <si xmlns="http://schemas.openxmlformats.org/spreadsheetml/2006/main">
    <t xml:space="preserve">10:04 AM</t>
  </si>
  <si xmlns="http://schemas.openxmlformats.org/spreadsheetml/2006/main">
    <t xml:space="preserve">10:05 AM</t>
  </si>
  <si xmlns="http://schemas.openxmlformats.org/spreadsheetml/2006/main">
    <t xml:space="preserve">7:27 PM</t>
  </si>
  <si xmlns="http://schemas.openxmlformats.org/spreadsheetml/2006/main">
    <t xml:space="preserve">10:11 AM</t>
  </si>
  <si xmlns="http://schemas.openxmlformats.org/spreadsheetml/2006/main">
    <t xml:space="preserve">10:57 AM</t>
  </si>
  <si xmlns="http://schemas.openxmlformats.org/spreadsheetml/2006/main">
    <t xml:space="preserve">7:33 PM</t>
  </si>
  <si xmlns="http://schemas.openxmlformats.org/spreadsheetml/2006/main">
    <t xml:space="preserve">8h 36m</t>
  </si>
  <si xmlns="http://schemas.openxmlformats.org/spreadsheetml/2006/main">
    <t xml:space="preserve">Late In (57m)</t>
  </si>
  <si xmlns="http://schemas.openxmlformats.org/spreadsheetml/2006/main">
    <t xml:space="preserve">11:05 AM</t>
  </si>
  <si xmlns="http://schemas.openxmlformats.org/spreadsheetml/2006/main">
    <t xml:space="preserve">8:06 PM</t>
  </si>
  <si xmlns="http://schemas.openxmlformats.org/spreadsheetml/2006/main">
    <t xml:space="preserve">Late In (65m)</t>
  </si>
  <si xmlns="http://schemas.openxmlformats.org/spreadsheetml/2006/main">
    <t xml:space="preserve">10:02 AM</t>
  </si>
  <si xmlns="http://schemas.openxmlformats.org/spreadsheetml/2006/main">
    <t xml:space="preserve">7:11 PM</t>
  </si>
  <si xmlns="http://schemas.openxmlformats.org/spreadsheetml/2006/main">
    <t xml:space="preserve">7:05 PM</t>
  </si>
  <si xmlns="http://schemas.openxmlformats.org/spreadsheetml/2006/main">
    <t xml:space="preserve">10:07 AM</t>
  </si>
  <si xmlns="http://schemas.openxmlformats.org/spreadsheetml/2006/main">
    <t xml:space="preserve">7:07 PM</t>
  </si>
  <si xmlns="http://schemas.openxmlformats.org/spreadsheetml/2006/main">
    <t xml:space="preserve">10:15 AM</t>
  </si>
  <si xmlns="http://schemas.openxmlformats.org/spreadsheetml/2006/main">
    <t xml:space="preserve">Late In (15m)</t>
  </si>
  <si xmlns="http://schemas.openxmlformats.org/spreadsheetml/2006/main">
    <t xml:space="preserve">10:18 AM</t>
  </si>
  <si xmlns="http://schemas.openxmlformats.org/spreadsheetml/2006/main">
    <t xml:space="preserve">Late In (18m)</t>
  </si>
  <si xmlns="http://schemas.openxmlformats.org/spreadsheetml/2006/main">
    <t xml:space="preserve">199h 47m</t>
  </si>
  <si xmlns="http://schemas.openxmlformats.org/spreadsheetml/2006/main">
    <t xml:space="preserve">DAILY LOGS: RAHUL SOLANKI</t>
  </si>
  <si xmlns="http://schemas.openxmlformats.org/spreadsheetml/2006/main">
    <t xml:space="preserve">10:01 AM</t>
  </si>
  <si xmlns="http://schemas.openxmlformats.org/spreadsheetml/2006/main">
    <t xml:space="preserve">7:01 PM</t>
  </si>
  <si xmlns="http://schemas.openxmlformats.org/spreadsheetml/2006/main">
    <t xml:space="preserve">9:41 AM</t>
  </si>
  <si xmlns="http://schemas.openxmlformats.org/spreadsheetml/2006/main">
    <t xml:space="preserve">7:02 PM</t>
  </si>
  <si xmlns="http://schemas.openxmlformats.org/spreadsheetml/2006/main">
    <t xml:space="preserve">9:58 AM</t>
  </si>
  <si xmlns="http://schemas.openxmlformats.org/spreadsheetml/2006/main">
    <t xml:space="preserve">9:38 AM</t>
  </si>
  <si xmlns="http://schemas.openxmlformats.org/spreadsheetml/2006/main">
    <t xml:space="preserve">7:06 PM</t>
  </si>
  <si xmlns="http://schemas.openxmlformats.org/spreadsheetml/2006/main">
    <t xml:space="preserve">9:57 AM</t>
  </si>
  <si xmlns="http://schemas.openxmlformats.org/spreadsheetml/2006/main">
    <t xml:space="preserve">9:46 AM</t>
  </si>
  <si xmlns="http://schemas.openxmlformats.org/spreadsheetml/2006/main">
    <t xml:space="preserve">10:24 AM</t>
  </si>
  <si xmlns="http://schemas.openxmlformats.org/spreadsheetml/2006/main">
    <t xml:space="preserve">8h 37m</t>
  </si>
  <si xmlns="http://schemas.openxmlformats.org/spreadsheetml/2006/main">
    <t xml:space="preserve">Late In (24m)</t>
  </si>
  <si xmlns="http://schemas.openxmlformats.org/spreadsheetml/2006/main">
    <t xml:space="preserve">7:03 PM</t>
  </si>
  <si xmlns="http://schemas.openxmlformats.org/spreadsheetml/2006/main">
    <t xml:space="preserve">9h 19m</t>
  </si>
  <si xmlns="http://schemas.openxmlformats.org/spreadsheetml/2006/main">
    <t xml:space="preserve">9:55 AM</t>
  </si>
  <si xmlns="http://schemas.openxmlformats.org/spreadsheetml/2006/main">
    <t xml:space="preserve">7:08 PM</t>
  </si>
  <si xmlns="http://schemas.openxmlformats.org/spreadsheetml/2006/main">
    <t xml:space="preserve">208h 53m</t>
  </si>
  <si xmlns="http://schemas.openxmlformats.org/spreadsheetml/2006/main">
    <t xml:space="preserve">DAILY LOGS: RENUKA SONAVANE</t>
  </si>
  <si xmlns="http://schemas.openxmlformats.org/spreadsheetml/2006/main">
    <t xml:space="preserve">9:54 AM</t>
  </si>
  <si xmlns="http://schemas.openxmlformats.org/spreadsheetml/2006/main">
    <t xml:space="preserve">7:17 PM</t>
  </si>
  <si xmlns="http://schemas.openxmlformats.org/spreadsheetml/2006/main">
    <t xml:space="preserve">9:52 AM</t>
  </si>
  <si xmlns="http://schemas.openxmlformats.org/spreadsheetml/2006/main">
    <t xml:space="preserve">7:16 PM</t>
  </si>
  <si xmlns="http://schemas.openxmlformats.org/spreadsheetml/2006/main">
    <t xml:space="preserve">9:53 AM</t>
  </si>
  <si xmlns="http://schemas.openxmlformats.org/spreadsheetml/2006/main">
    <t xml:space="preserve">9h 41m</t>
  </si>
  <si xmlns="http://schemas.openxmlformats.org/spreadsheetml/2006/main">
    <t xml:space="preserve">9h 15m</t>
  </si>
  <si xmlns="http://schemas.openxmlformats.org/spreadsheetml/2006/main">
    <t xml:space="preserve">9:26 AM</t>
  </si>
  <si xmlns="http://schemas.openxmlformats.org/spreadsheetml/2006/main">
    <t xml:space="preserve">9:56 AM</t>
  </si>
  <si xmlns="http://schemas.openxmlformats.org/spreadsheetml/2006/main">
    <t xml:space="preserve">9h 11m</t>
  </si>
  <si xmlns="http://schemas.openxmlformats.org/spreadsheetml/2006/main">
    <t xml:space="preserve">10:03 AM</t>
  </si>
  <si xmlns="http://schemas.openxmlformats.org/spreadsheetml/2006/main">
    <t xml:space="preserve">8:15 PM</t>
  </si>
  <si xmlns="http://schemas.openxmlformats.org/spreadsheetml/2006/main">
    <t xml:space="preserve">10h 12m</t>
  </si>
  <si xmlns="http://schemas.openxmlformats.org/spreadsheetml/2006/main">
    <t xml:space="preserve">9h 18m</t>
  </si>
  <si xmlns="http://schemas.openxmlformats.org/spreadsheetml/2006/main">
    <t xml:space="preserve">215h 28m</t>
  </si>
  <si xmlns="http://schemas.openxmlformats.org/spreadsheetml/2006/main">
    <t xml:space="preserve">NOVUSHA CONSULTING SERVICES INDIA LLP — ATTENDANCE &amp; LEAVE REGISTER</t>
  </si>
  <si xmlns="http://schemas.openxmlformats.org/spreadsheetml/2006/main">
    <t xml:space="preserve">Period: 01 Sep 2026 to 30 Sep 2026   |   Generated on: 16-Oct-2026 14:53   |   Staff Count: 13</t>
  </si>
  <si xmlns="http://schemas.openxmlformats.org/spreadsheetml/2006/main">
    <t xml:space="preserve">ANUBHAV SINGH</t>
  </si>
  <si xmlns="http://schemas.openxmlformats.org/spreadsheetml/2006/main">
    <t xml:space="preserve">ATUL NAGOSE</t>
  </si>
  <si xmlns="http://schemas.openxmlformats.org/spreadsheetml/2006/main">
    <t xml:space="preserve">JAGDISH PUROHIT</t>
  </si>
  <si xmlns="http://schemas.openxmlformats.org/spreadsheetml/2006/main">
    <t xml:space="preserve">KINJAL KHATRI</t>
  </si>
  <si xmlns="http://schemas.openxmlformats.org/spreadsheetml/2006/main">
    <t xml:space="preserve">KRUPALI BUSA</t>
  </si>
  <si xmlns="http://schemas.openxmlformats.org/spreadsheetml/2006/main">
    <t xml:space="preserve">NIRALI SHAH</t>
  </si>
  <si xmlns="http://schemas.openxmlformats.org/spreadsheetml/2006/main">
    <t xml:space="preserve">PRADEEP KUMAR SINGH</t>
  </si>
  <si xmlns="http://schemas.openxmlformats.org/spreadsheetml/2006/main">
    <t xml:space="preserve">PUNIT PANDEY</t>
  </si>
  <si xmlns="http://schemas.openxmlformats.org/spreadsheetml/2006/main">
    <t xml:space="preserve">RAUF DAYMA</t>
  </si>
  <si xmlns="http://schemas.openxmlformats.org/spreadsheetml/2006/main">
    <t xml:space="preserve">RIYA SAINI</t>
  </si>
  <si xmlns="http://schemas.openxmlformats.org/spreadsheetml/2006/main">
    <t xml:space="preserve">SAIF ANSARI</t>
  </si>
  <si xmlns="http://schemas.openxmlformats.org/spreadsheetml/2006/main">
    <t xml:space="preserve">8h 54m</t>
  </si>
  <si xmlns="http://schemas.openxmlformats.org/spreadsheetml/2006/main">
    <t xml:space="preserve">SHIPRA TRIPATHI</t>
  </si>
  <si xmlns="http://schemas.openxmlformats.org/spreadsheetml/2006/main">
    <t xml:space="preserve">YASH GUPTA</t>
  </si>
  <si xmlns="http://schemas.openxmlformats.org/spreadsheetml/2006/main">
    <t xml:space="preserve">DAILY LOGS: ANUBHAV SINGH</t>
  </si>
  <si xmlns="http://schemas.openxmlformats.org/spreadsheetml/2006/main">
    <t xml:space="preserve">6:53 PM</t>
  </si>
  <si xmlns="http://schemas.openxmlformats.org/spreadsheetml/2006/main">
    <t xml:space="preserve">9:51 AM</t>
  </si>
  <si xmlns="http://schemas.openxmlformats.org/spreadsheetml/2006/main">
    <t xml:space="preserve">9:35 AM</t>
  </si>
  <si xmlns="http://schemas.openxmlformats.org/spreadsheetml/2006/main">
    <t xml:space="preserve">6:48 PM</t>
  </si>
  <si xmlns="http://schemas.openxmlformats.org/spreadsheetml/2006/main">
    <t xml:space="preserve">9:39 AM</t>
  </si>
  <si xmlns="http://schemas.openxmlformats.org/spreadsheetml/2006/main">
    <t xml:space="preserve">6:47 PM</t>
  </si>
  <si xmlns="http://schemas.openxmlformats.org/spreadsheetml/2006/main">
    <t xml:space="preserve">7:48 PM</t>
  </si>
  <si xmlns="http://schemas.openxmlformats.org/spreadsheetml/2006/main">
    <t xml:space="preserve">9h 57m</t>
  </si>
  <si xmlns="http://schemas.openxmlformats.org/spreadsheetml/2006/main">
    <t xml:space="preserve">9:44 AM</t>
  </si>
  <si xmlns="http://schemas.openxmlformats.org/spreadsheetml/2006/main">
    <t xml:space="preserve">6:46 PM</t>
  </si>
  <si xmlns="http://schemas.openxmlformats.org/spreadsheetml/2006/main">
    <t xml:space="preserve">9:37 AM</t>
  </si>
  <si xmlns="http://schemas.openxmlformats.org/spreadsheetml/2006/main">
    <t xml:space="preserve">6:38 PM</t>
  </si>
  <si xmlns="http://schemas.openxmlformats.org/spreadsheetml/2006/main">
    <t xml:space="preserve">Early Out (21m)</t>
  </si>
  <si xmlns="http://schemas.openxmlformats.org/spreadsheetml/2006/main">
    <t xml:space="preserve">9:48 AM</t>
  </si>
  <si xmlns="http://schemas.openxmlformats.org/spreadsheetml/2006/main">
    <t xml:space="preserve">6:51 PM</t>
  </si>
  <si xmlns="http://schemas.openxmlformats.org/spreadsheetml/2006/main">
    <t xml:space="preserve">6:50 PM</t>
  </si>
  <si xmlns="http://schemas.openxmlformats.org/spreadsheetml/2006/main">
    <t xml:space="preserve">201h 13m</t>
  </si>
  <si xmlns="http://schemas.openxmlformats.org/spreadsheetml/2006/main">
    <t xml:space="preserve">DAILY LOGS: ATUL NAGOSE</t>
  </si>
  <si xmlns="http://schemas.openxmlformats.org/spreadsheetml/2006/main">
    <t xml:space="preserve">12:10 PM</t>
  </si>
  <si xmlns="http://schemas.openxmlformats.org/spreadsheetml/2006/main">
    <t xml:space="preserve">8:46 PM</t>
  </si>
  <si xmlns="http://schemas.openxmlformats.org/spreadsheetml/2006/main">
    <t xml:space="preserve">Late In (130m)</t>
  </si>
  <si xmlns="http://schemas.openxmlformats.org/spreadsheetml/2006/main">
    <t xml:space="preserve">11:37 AM</t>
  </si>
  <si xmlns="http://schemas.openxmlformats.org/spreadsheetml/2006/main">
    <t xml:space="preserve">8:39 PM</t>
  </si>
  <si xmlns="http://schemas.openxmlformats.org/spreadsheetml/2006/main">
    <t xml:space="preserve">Late In (97m)</t>
  </si>
  <si xmlns="http://schemas.openxmlformats.org/spreadsheetml/2006/main">
    <t xml:space="preserve">11:56 AM</t>
  </si>
  <si xmlns="http://schemas.openxmlformats.org/spreadsheetml/2006/main">
    <t xml:space="preserve">8:35 PM</t>
  </si>
  <si xmlns="http://schemas.openxmlformats.org/spreadsheetml/2006/main">
    <t xml:space="preserve">Late In (116m)</t>
  </si>
  <si xmlns="http://schemas.openxmlformats.org/spreadsheetml/2006/main">
    <t xml:space="preserve">11:50 AM</t>
  </si>
  <si xmlns="http://schemas.openxmlformats.org/spreadsheetml/2006/main">
    <t xml:space="preserve">8:40 PM</t>
  </si>
  <si xmlns="http://schemas.openxmlformats.org/spreadsheetml/2006/main">
    <t xml:space="preserve">Late In (110m)</t>
  </si>
  <si xmlns="http://schemas.openxmlformats.org/spreadsheetml/2006/main">
    <t xml:space="preserve">12:03 PM</t>
  </si>
  <si xmlns="http://schemas.openxmlformats.org/spreadsheetml/2006/main">
    <t xml:space="preserve">8:42 PM</t>
  </si>
  <si xmlns="http://schemas.openxmlformats.org/spreadsheetml/2006/main">
    <t xml:space="preserve">Late In (123m)</t>
  </si>
  <si xmlns="http://schemas.openxmlformats.org/spreadsheetml/2006/main">
    <t xml:space="preserve">11:07 AM</t>
  </si>
  <si xmlns="http://schemas.openxmlformats.org/spreadsheetml/2006/main">
    <t xml:space="preserve">8:41 PM</t>
  </si>
  <si xmlns="http://schemas.openxmlformats.org/spreadsheetml/2006/main">
    <t xml:space="preserve">Late In (67m)</t>
  </si>
  <si xmlns="http://schemas.openxmlformats.org/spreadsheetml/2006/main">
    <t xml:space="preserve">12:01 PM</t>
  </si>
  <si xmlns="http://schemas.openxmlformats.org/spreadsheetml/2006/main">
    <t xml:space="preserve">8:36 PM</t>
  </si>
  <si xmlns="http://schemas.openxmlformats.org/spreadsheetml/2006/main">
    <t xml:space="preserve">Late In (121m)</t>
  </si>
  <si xmlns="http://schemas.openxmlformats.org/spreadsheetml/2006/main">
    <t xml:space="preserve">11:32 AM</t>
  </si>
  <si xmlns="http://schemas.openxmlformats.org/spreadsheetml/2006/main">
    <t xml:space="preserve">Late In (92m)</t>
  </si>
  <si xmlns="http://schemas.openxmlformats.org/spreadsheetml/2006/main">
    <t xml:space="preserve">8:17 PM</t>
  </si>
  <si xmlns="http://schemas.openxmlformats.org/spreadsheetml/2006/main">
    <t xml:space="preserve">9h 29m</t>
  </si>
  <si xmlns="http://schemas.openxmlformats.org/spreadsheetml/2006/main">
    <t xml:space="preserve">11:41 AM</t>
  </si>
  <si xmlns="http://schemas.openxmlformats.org/spreadsheetml/2006/main">
    <t xml:space="preserve">9:17 PM</t>
  </si>
  <si xmlns="http://schemas.openxmlformats.org/spreadsheetml/2006/main">
    <t xml:space="preserve">9h 36m</t>
  </si>
  <si xmlns="http://schemas.openxmlformats.org/spreadsheetml/2006/main">
    <t xml:space="preserve">Late In (101m)</t>
  </si>
  <si xmlns="http://schemas.openxmlformats.org/spreadsheetml/2006/main">
    <t xml:space="preserve">11:09 AM</t>
  </si>
  <si xmlns="http://schemas.openxmlformats.org/spreadsheetml/2006/main">
    <t xml:space="preserve">9h 31m</t>
  </si>
  <si xmlns="http://schemas.openxmlformats.org/spreadsheetml/2006/main">
    <t xml:space="preserve">Late In (69m)</t>
  </si>
  <si xmlns="http://schemas.openxmlformats.org/spreadsheetml/2006/main">
    <t xml:space="preserve">11:16 AM</t>
  </si>
  <si xmlns="http://schemas.openxmlformats.org/spreadsheetml/2006/main">
    <t xml:space="preserve">Late In (76m)</t>
  </si>
  <si xmlns="http://schemas.openxmlformats.org/spreadsheetml/2006/main">
    <t xml:space="preserve">12:09 PM</t>
  </si>
  <si xmlns="http://schemas.openxmlformats.org/spreadsheetml/2006/main">
    <t xml:space="preserve">8:43 PM</t>
  </si>
  <si xmlns="http://schemas.openxmlformats.org/spreadsheetml/2006/main">
    <t xml:space="preserve">8h 34m</t>
  </si>
  <si xmlns="http://schemas.openxmlformats.org/spreadsheetml/2006/main">
    <t xml:space="preserve">Late In (129m)</t>
  </si>
  <si xmlns="http://schemas.openxmlformats.org/spreadsheetml/2006/main">
    <t xml:space="preserve">12:00 PM</t>
  </si>
  <si xmlns="http://schemas.openxmlformats.org/spreadsheetml/2006/main">
    <t xml:space="preserve">8:45 PM</t>
  </si>
  <si xmlns="http://schemas.openxmlformats.org/spreadsheetml/2006/main">
    <t xml:space="preserve">Late In (120m)</t>
  </si>
  <si xmlns="http://schemas.openxmlformats.org/spreadsheetml/2006/main">
    <t xml:space="preserve">12:02 PM</t>
  </si>
  <si xmlns="http://schemas.openxmlformats.org/spreadsheetml/2006/main">
    <t xml:space="preserve">8h 33m</t>
  </si>
  <si xmlns="http://schemas.openxmlformats.org/spreadsheetml/2006/main">
    <t xml:space="preserve">Late In (122m)</t>
  </si>
  <si xmlns="http://schemas.openxmlformats.org/spreadsheetml/2006/main">
    <t xml:space="preserve">12:08 PM</t>
  </si>
  <si xmlns="http://schemas.openxmlformats.org/spreadsheetml/2006/main">
    <t xml:space="preserve">8h 32m</t>
  </si>
  <si xmlns="http://schemas.openxmlformats.org/spreadsheetml/2006/main">
    <t xml:space="preserve">Late In (128m)</t>
  </si>
  <si xmlns="http://schemas.openxmlformats.org/spreadsheetml/2006/main">
    <t xml:space="preserve">11:57 AM</t>
  </si>
  <si xmlns="http://schemas.openxmlformats.org/spreadsheetml/2006/main">
    <t xml:space="preserve">9:03 PM</t>
  </si>
  <si xmlns="http://schemas.openxmlformats.org/spreadsheetml/2006/main">
    <t xml:space="preserve">Late In (117m)</t>
  </si>
  <si xmlns="http://schemas.openxmlformats.org/spreadsheetml/2006/main">
    <t xml:space="preserve">187h 57m</t>
  </si>
  <si xmlns="http://schemas.openxmlformats.org/spreadsheetml/2006/main">
    <t xml:space="preserve">DAILY LOGS: JAGDISH PUROHIT</t>
  </si>
  <si xmlns="http://schemas.openxmlformats.org/spreadsheetml/2006/main">
    <t xml:space="preserve">9:50 AM</t>
  </si>
  <si xmlns="http://schemas.openxmlformats.org/spreadsheetml/2006/main">
    <t xml:space="preserve">6:31 PM</t>
  </si>
  <si xmlns="http://schemas.openxmlformats.org/spreadsheetml/2006/main">
    <t xml:space="preserve">8h 40m</t>
  </si>
  <si xmlns="http://schemas.openxmlformats.org/spreadsheetml/2006/main">
    <t xml:space="preserve">Early Out (28m)</t>
  </si>
  <si xmlns="http://schemas.openxmlformats.org/spreadsheetml/2006/main">
    <t xml:space="preserve">12:53 PM</t>
  </si>
  <si xmlns="http://schemas.openxmlformats.org/spreadsheetml/2006/main">
    <t xml:space="preserve">6:42 PM</t>
  </si>
  <si xmlns="http://schemas.openxmlformats.org/spreadsheetml/2006/main">
    <t xml:space="preserve">5h 49m</t>
  </si>
  <si xmlns="http://schemas.openxmlformats.org/spreadsheetml/2006/main">
    <t xml:space="preserve">Late In (173m), Early Out (18m)</t>
  </si>
  <si xmlns="http://schemas.openxmlformats.org/spreadsheetml/2006/main">
    <t xml:space="preserve">9:43 AM</t>
  </si>
  <si xmlns="http://schemas.openxmlformats.org/spreadsheetml/2006/main">
    <t xml:space="preserve">105h 26m</t>
  </si>
  <si xmlns="http://schemas.openxmlformats.org/spreadsheetml/2006/main">
    <t xml:space="preserve">DAILY LOGS: KINJAL KHATRI</t>
  </si>
  <si xmlns="http://schemas.openxmlformats.org/spreadsheetml/2006/main">
    <t xml:space="preserve">8h 49m</t>
  </si>
  <si xmlns="http://schemas.openxmlformats.org/spreadsheetml/2006/main">
    <t xml:space="preserve">10:16 AM</t>
  </si>
  <si xmlns="http://schemas.openxmlformats.org/spreadsheetml/2006/main">
    <t xml:space="preserve">8h 18m</t>
  </si>
  <si xmlns="http://schemas.openxmlformats.org/spreadsheetml/2006/main">
    <t xml:space="preserve">Late In (16m)</t>
  </si>
  <si xmlns="http://schemas.openxmlformats.org/spreadsheetml/2006/main">
    <t xml:space="preserve">10:14 AM</t>
  </si>
  <si xmlns="http://schemas.openxmlformats.org/spreadsheetml/2006/main">
    <t xml:space="preserve">7:22 PM</t>
  </si>
  <si xmlns="http://schemas.openxmlformats.org/spreadsheetml/2006/main">
    <t xml:space="preserve">8:51 PM</t>
  </si>
  <si xmlns="http://schemas.openxmlformats.org/spreadsheetml/2006/main">
    <t xml:space="preserve">199h 0m</t>
  </si>
  <si xmlns="http://schemas.openxmlformats.org/spreadsheetml/2006/main">
    <t xml:space="preserve">DAILY LOGS: KRUPALI BUSA</t>
  </si>
  <si xmlns="http://schemas.openxmlformats.org/spreadsheetml/2006/main">
    <t xml:space="preserve">6:40 PM</t>
  </si>
  <si xmlns="http://schemas.openxmlformats.org/spreadsheetml/2006/main">
    <t xml:space="preserve">Early Out (19m)</t>
  </si>
  <si xmlns="http://schemas.openxmlformats.org/spreadsheetml/2006/main">
    <t xml:space="preserve">6:32 PM</t>
  </si>
  <si xmlns="http://schemas.openxmlformats.org/spreadsheetml/2006/main">
    <t xml:space="preserve">Early Out (27m)</t>
  </si>
  <si xmlns="http://schemas.openxmlformats.org/spreadsheetml/2006/main">
    <t xml:space="preserve">9:20 AM</t>
  </si>
  <si xmlns="http://schemas.openxmlformats.org/spreadsheetml/2006/main">
    <t xml:space="preserve">9:36 AM</t>
  </si>
  <si xmlns="http://schemas.openxmlformats.org/spreadsheetml/2006/main">
    <t xml:space="preserve">6:45 PM</t>
  </si>
  <si xmlns="http://schemas.openxmlformats.org/spreadsheetml/2006/main">
    <t xml:space="preserve">6:03 PM</t>
  </si>
  <si xmlns="http://schemas.openxmlformats.org/spreadsheetml/2006/main">
    <t xml:space="preserve">8h 13m</t>
  </si>
  <si xmlns="http://schemas.openxmlformats.org/spreadsheetml/2006/main">
    <t xml:space="preserve">Early Out (57m)</t>
  </si>
  <si xmlns="http://schemas.openxmlformats.org/spreadsheetml/2006/main">
    <t xml:space="preserve">9:17 AM</t>
  </si>
  <si xmlns="http://schemas.openxmlformats.org/spreadsheetml/2006/main">
    <t xml:space="preserve">6:35 PM</t>
  </si>
  <si xmlns="http://schemas.openxmlformats.org/spreadsheetml/2006/main">
    <t xml:space="preserve">Early Out (25m)</t>
  </si>
  <si xmlns="http://schemas.openxmlformats.org/spreadsheetml/2006/main">
    <t xml:space="preserve">6:37 PM</t>
  </si>
  <si xmlns="http://schemas.openxmlformats.org/spreadsheetml/2006/main">
    <t xml:space="preserve">Early Out (23m)</t>
  </si>
  <si xmlns="http://schemas.openxmlformats.org/spreadsheetml/2006/main">
    <t xml:space="preserve">9:07 AM</t>
  </si>
  <si xmlns="http://schemas.openxmlformats.org/spreadsheetml/2006/main">
    <t xml:space="preserve">6:01 PM</t>
  </si>
  <si xmlns="http://schemas.openxmlformats.org/spreadsheetml/2006/main">
    <t xml:space="preserve">Early Out (58m)</t>
  </si>
  <si xmlns="http://schemas.openxmlformats.org/spreadsheetml/2006/main">
    <t xml:space="preserve">198h 45m</t>
  </si>
  <si xmlns="http://schemas.openxmlformats.org/spreadsheetml/2006/main">
    <t xml:space="preserve">DAILY LOGS: NIRALI SHAH</t>
  </si>
  <si xmlns="http://schemas.openxmlformats.org/spreadsheetml/2006/main">
    <t xml:space="preserve">DAILY LOGS: PRADEEP KUMAR SINGH</t>
  </si>
  <si xmlns="http://schemas.openxmlformats.org/spreadsheetml/2006/main">
    <t xml:space="preserve">6:28 PM</t>
  </si>
  <si xmlns="http://schemas.openxmlformats.org/spreadsheetml/2006/main">
    <t xml:space="preserve">7h 45m</t>
  </si>
  <si xmlns="http://schemas.openxmlformats.org/spreadsheetml/2006/main">
    <t xml:space="preserve">Late In (43m), Early Out (32m)</t>
  </si>
  <si xmlns="http://schemas.openxmlformats.org/spreadsheetml/2006/main">
    <t xml:space="preserve">10:27 AM</t>
  </si>
  <si xmlns="http://schemas.openxmlformats.org/spreadsheetml/2006/main">
    <t xml:space="preserve">Late In (27m)</t>
  </si>
  <si xmlns="http://schemas.openxmlformats.org/spreadsheetml/2006/main">
    <t xml:space="preserve">6:15 PM</t>
  </si>
  <si xmlns="http://schemas.openxmlformats.org/spreadsheetml/2006/main">
    <t xml:space="preserve">Early Out (44m)</t>
  </si>
  <si xmlns="http://schemas.openxmlformats.org/spreadsheetml/2006/main">
    <t xml:space="preserve">9:12 AM</t>
  </si>
  <si xmlns="http://schemas.openxmlformats.org/spreadsheetml/2006/main">
    <t xml:space="preserve">6:18 PM</t>
  </si>
  <si xmlns="http://schemas.openxmlformats.org/spreadsheetml/2006/main">
    <t xml:space="preserve">Early Out (41m)</t>
  </si>
  <si xmlns="http://schemas.openxmlformats.org/spreadsheetml/2006/main">
    <t xml:space="preserve">9:14 AM</t>
  </si>
  <si xmlns="http://schemas.openxmlformats.org/spreadsheetml/2006/main">
    <t xml:space="preserve">6:44 PM</t>
  </si>
  <si xmlns="http://schemas.openxmlformats.org/spreadsheetml/2006/main">
    <t xml:space="preserve">Early Out (15m)</t>
  </si>
  <si xmlns="http://schemas.openxmlformats.org/spreadsheetml/2006/main">
    <t xml:space="preserve">8:21 AM</t>
  </si>
  <si xmlns="http://schemas.openxmlformats.org/spreadsheetml/2006/main">
    <t xml:space="preserve">5:22 PM</t>
  </si>
  <si xmlns="http://schemas.openxmlformats.org/spreadsheetml/2006/main">
    <t xml:space="preserve">Early Out (97m)</t>
  </si>
  <si xmlns="http://schemas.openxmlformats.org/spreadsheetml/2006/main">
    <t xml:space="preserve">7:30 PM</t>
  </si>
  <si xmlns="http://schemas.openxmlformats.org/spreadsheetml/2006/main">
    <t xml:space="preserve">9:25 AM</t>
  </si>
  <si xmlns="http://schemas.openxmlformats.org/spreadsheetml/2006/main">
    <t xml:space="preserve">7:44 PM</t>
  </si>
  <si xmlns="http://schemas.openxmlformats.org/spreadsheetml/2006/main">
    <t xml:space="preserve">9h 26m</t>
  </si>
  <si xmlns="http://schemas.openxmlformats.org/spreadsheetml/2006/main">
    <t xml:space="preserve">10:12 AM</t>
  </si>
  <si xmlns="http://schemas.openxmlformats.org/spreadsheetml/2006/main">
    <t xml:space="preserve">8:00 AM</t>
  </si>
  <si xmlns="http://schemas.openxmlformats.org/spreadsheetml/2006/main">
    <t xml:space="preserve">10h 30m</t>
  </si>
  <si xmlns="http://schemas.openxmlformats.org/spreadsheetml/2006/main">
    <t xml:space="preserve">10:13 AM</t>
  </si>
  <si xmlns="http://schemas.openxmlformats.org/spreadsheetml/2006/main">
    <t xml:space="preserve">9h 59m</t>
  </si>
  <si xmlns="http://schemas.openxmlformats.org/spreadsheetml/2006/main">
    <t xml:space="preserve">214h 19m</t>
  </si>
  <si xmlns="http://schemas.openxmlformats.org/spreadsheetml/2006/main">
    <t xml:space="preserve">DAILY LOGS: PUNIT PANDEY</t>
  </si>
  <si xmlns="http://schemas.openxmlformats.org/spreadsheetml/2006/main">
    <t xml:space="preserve">8h 19m</t>
  </si>
  <si xmlns="http://schemas.openxmlformats.org/spreadsheetml/2006/main">
    <t xml:space="preserve">9h 39m</t>
  </si>
  <si xmlns="http://schemas.openxmlformats.org/spreadsheetml/2006/main">
    <t xml:space="preserve">8h 20m</t>
  </si>
  <si xmlns="http://schemas.openxmlformats.org/spreadsheetml/2006/main">
    <t xml:space="preserve">8h 41m</t>
  </si>
  <si xmlns="http://schemas.openxmlformats.org/spreadsheetml/2006/main">
    <t xml:space="preserve">8h 25m</t>
  </si>
  <si xmlns="http://schemas.openxmlformats.org/spreadsheetml/2006/main">
    <t xml:space="preserve">10:06 AM</t>
  </si>
  <si xmlns="http://schemas.openxmlformats.org/spreadsheetml/2006/main">
    <t xml:space="preserve">8h 55m</t>
  </si>
  <si xmlns="http://schemas.openxmlformats.org/spreadsheetml/2006/main">
    <t xml:space="preserve">9h 49m</t>
  </si>
  <si xmlns="http://schemas.openxmlformats.org/spreadsheetml/2006/main">
    <t xml:space="preserve">8h 42m</t>
  </si>
  <si xmlns="http://schemas.openxmlformats.org/spreadsheetml/2006/main">
    <t xml:space="preserve">10:34 PM</t>
  </si>
  <si xmlns="http://schemas.openxmlformats.org/spreadsheetml/2006/main">
    <t xml:space="preserve">12h 34m</t>
  </si>
  <si xmlns="http://schemas.openxmlformats.org/spreadsheetml/2006/main">
    <t xml:space="preserve">210h 48m</t>
  </si>
  <si xmlns="http://schemas.openxmlformats.org/spreadsheetml/2006/main">
    <t xml:space="preserve">DAILY LOGS: RAUF DAYMA</t>
  </si>
  <si xmlns="http://schemas.openxmlformats.org/spreadsheetml/2006/main">
    <t xml:space="preserve">8:39 AM</t>
  </si>
  <si xmlns="http://schemas.openxmlformats.org/spreadsheetml/2006/main">
    <t xml:space="preserve">6:06 PM</t>
  </si>
  <si xmlns="http://schemas.openxmlformats.org/spreadsheetml/2006/main">
    <t xml:space="preserve">Early Out (53m)</t>
  </si>
  <si xmlns="http://schemas.openxmlformats.org/spreadsheetml/2006/main">
    <t xml:space="preserve">5:33 PM</t>
  </si>
  <si xmlns="http://schemas.openxmlformats.org/spreadsheetml/2006/main">
    <t xml:space="preserve">Early Out (86m)</t>
  </si>
  <si xmlns="http://schemas.openxmlformats.org/spreadsheetml/2006/main">
    <t xml:space="preserve">9:09 PM</t>
  </si>
  <si xmlns="http://schemas.openxmlformats.org/spreadsheetml/2006/main">
    <t xml:space="preserve">11h 2m</t>
  </si>
  <si xmlns="http://schemas.openxmlformats.org/spreadsheetml/2006/main">
    <t xml:space="preserve">5:07 PM</t>
  </si>
  <si xmlns="http://schemas.openxmlformats.org/spreadsheetml/2006/main">
    <t xml:space="preserve">Early Out (112m)</t>
  </si>
  <si xmlns="http://schemas.openxmlformats.org/spreadsheetml/2006/main">
    <t xml:space="preserve">11:26 AM</t>
  </si>
  <si xmlns="http://schemas.openxmlformats.org/spreadsheetml/2006/main">
    <t xml:space="preserve">8h 1m</t>
  </si>
  <si xmlns="http://schemas.openxmlformats.org/spreadsheetml/2006/main">
    <t xml:space="preserve">Late In (86m)</t>
  </si>
  <si xmlns="http://schemas.openxmlformats.org/spreadsheetml/2006/main">
    <t xml:space="preserve">8:23 AM</t>
  </si>
  <si xmlns="http://schemas.openxmlformats.org/spreadsheetml/2006/main">
    <t xml:space="preserve">10h 57m</t>
  </si>
  <si xmlns="http://schemas.openxmlformats.org/spreadsheetml/2006/main">
    <t xml:space="preserve">8:29 AM</t>
  </si>
  <si xmlns="http://schemas.openxmlformats.org/spreadsheetml/2006/main">
    <t xml:space="preserve">5:53 PM</t>
  </si>
  <si xmlns="http://schemas.openxmlformats.org/spreadsheetml/2006/main">
    <t xml:space="preserve">Early Out (66m)</t>
  </si>
  <si xmlns="http://schemas.openxmlformats.org/spreadsheetml/2006/main">
    <t xml:space="preserve">193h 14m</t>
  </si>
  <si xmlns="http://schemas.openxmlformats.org/spreadsheetml/2006/main">
    <t xml:space="preserve">DAILY LOGS: RIYA SAINI</t>
  </si>
  <si xmlns="http://schemas.openxmlformats.org/spreadsheetml/2006/main">
    <t xml:space="preserve">Standard Shift 10:00–19:00</t>
  </si>
  <si xmlns="http://schemas.openxmlformats.org/spreadsheetml/2006/main">
    <t xml:space="preserve">DAILY LOGS: SAIF ANSARI</t>
  </si>
  <si xmlns="http://schemas.openxmlformats.org/spreadsheetml/2006/main">
    <t xml:space="preserve">SFPL SHIFT 10-7 10:00–19:00</t>
  </si>
  <si xmlns="http://schemas.openxmlformats.org/spreadsheetml/2006/main">
    <t xml:space="preserve">Late In (2m)</t>
  </si>
  <si xmlns="http://schemas.openxmlformats.org/spreadsheetml/2006/main">
    <t xml:space="preserve">Late In (1m)</t>
  </si>
  <si xmlns="http://schemas.openxmlformats.org/spreadsheetml/2006/main">
    <t xml:space="preserve">Late In (1m), Early Out (24m)</t>
  </si>
  <si xmlns="http://schemas.openxmlformats.org/spreadsheetml/2006/main">
    <t xml:space="preserve">6:49 PM</t>
  </si>
  <si xmlns="http://schemas.openxmlformats.org/spreadsheetml/2006/main">
    <t xml:space="preserve">Late In (0m), Early Out (10m)</t>
  </si>
  <si xmlns="http://schemas.openxmlformats.org/spreadsheetml/2006/main">
    <t xml:space="preserve">Early Out (10m)</t>
  </si>
  <si xmlns="http://schemas.openxmlformats.org/spreadsheetml/2006/main">
    <t xml:space="preserve">Late In (7m), Early Out (6m)</t>
  </si>
  <si xmlns="http://schemas.openxmlformats.org/spreadsheetml/2006/main">
    <t xml:space="preserve">Early Out (14m)</t>
  </si>
  <si xmlns="http://schemas.openxmlformats.org/spreadsheetml/2006/main">
    <t xml:space="preserve">8h 47m</t>
  </si>
  <si xmlns="http://schemas.openxmlformats.org/spreadsheetml/2006/main">
    <t xml:space="preserve">Early Out (13m)</t>
  </si>
  <si xmlns="http://schemas.openxmlformats.org/spreadsheetml/2006/main">
    <t xml:space="preserve">8h 23m</t>
  </si>
  <si xmlns="http://schemas.openxmlformats.org/spreadsheetml/2006/main">
    <t xml:space="preserve">Late In (17m), Early Out (19m)</t>
  </si>
  <si xmlns="http://schemas.openxmlformats.org/spreadsheetml/2006/main">
    <t xml:space="preserve">Early Out (8m)</t>
  </si>
  <si xmlns="http://schemas.openxmlformats.org/spreadsheetml/2006/main">
    <t xml:space="preserve">6:29 PM</t>
  </si>
  <si xmlns="http://schemas.openxmlformats.org/spreadsheetml/2006/main">
    <t xml:space="preserve">9:29 AM</t>
  </si>
  <si xmlns="http://schemas.openxmlformats.org/spreadsheetml/2006/main">
    <t xml:space="preserve">6:22 PM</t>
  </si>
  <si xmlns="http://schemas.openxmlformats.org/spreadsheetml/2006/main">
    <t xml:space="preserve">Early Out (37m)</t>
  </si>
  <si xmlns="http://schemas.openxmlformats.org/spreadsheetml/2006/main">
    <t xml:space="preserve">6:33 PM</t>
  </si>
  <si xmlns="http://schemas.openxmlformats.org/spreadsheetml/2006/main">
    <t xml:space="preserve">Early Out (26m)</t>
  </si>
  <si xmlns="http://schemas.openxmlformats.org/spreadsheetml/2006/main">
    <t xml:space="preserve">8:46 AM</t>
  </si>
  <si xmlns="http://schemas.openxmlformats.org/spreadsheetml/2006/main">
    <t xml:space="preserve">6:21 PM</t>
  </si>
  <si xmlns="http://schemas.openxmlformats.org/spreadsheetml/2006/main">
    <t xml:space="preserve">Early Out (38m)</t>
  </si>
  <si xmlns="http://schemas.openxmlformats.org/spreadsheetml/2006/main">
    <t xml:space="preserve">6:34 PM</t>
  </si>
  <si xmlns="http://schemas.openxmlformats.org/spreadsheetml/2006/main">
    <t xml:space="preserve">6:25 PM</t>
  </si>
  <si xmlns="http://schemas.openxmlformats.org/spreadsheetml/2006/main">
    <t xml:space="preserve">Early Out (34m)</t>
  </si>
  <si xmlns="http://schemas.openxmlformats.org/spreadsheetml/2006/main">
    <t xml:space="preserve">6:39 PM</t>
  </si>
  <si xmlns="http://schemas.openxmlformats.org/spreadsheetml/2006/main">
    <t xml:space="preserve">Early Out (20m)</t>
  </si>
  <si xmlns="http://schemas.openxmlformats.org/spreadsheetml/2006/main">
    <t xml:space="preserve">195h 24m</t>
  </si>
  <si xmlns="http://schemas.openxmlformats.org/spreadsheetml/2006/main">
    <t xml:space="preserve">DAILY LOGS: SHIPRA TRIPATHI</t>
  </si>
  <si xmlns="http://schemas.openxmlformats.org/spreadsheetml/2006/main">
    <t xml:space="preserve">10:10 AM</t>
  </si>
  <si xmlns="http://schemas.openxmlformats.org/spreadsheetml/2006/main">
    <t xml:space="preserve">7:31 PM</t>
  </si>
  <si xmlns="http://schemas.openxmlformats.org/spreadsheetml/2006/main">
    <t xml:space="preserve">11:15 PM</t>
  </si>
  <si xmlns="http://schemas.openxmlformats.org/spreadsheetml/2006/main">
    <t xml:space="preserve">13h 10m</t>
  </si>
  <si xmlns="http://schemas.openxmlformats.org/spreadsheetml/2006/main">
    <t xml:space="preserve">10:09 AM</t>
  </si>
  <si xmlns="http://schemas.openxmlformats.org/spreadsheetml/2006/main">
    <t xml:space="preserve">5h 26m</t>
  </si>
  <si xmlns="http://schemas.openxmlformats.org/spreadsheetml/2006/main">
    <t xml:space="preserve">7:54 PM</t>
  </si>
  <si xmlns="http://schemas.openxmlformats.org/spreadsheetml/2006/main">
    <t xml:space="preserve">191h 1m</t>
  </si>
  <si xmlns="http://schemas.openxmlformats.org/spreadsheetml/2006/main">
    <t xml:space="preserve">DAILY LOGS: YASH GUPTA</t>
  </si>
  <si xmlns="http://schemas.openxmlformats.org/spreadsheetml/2006/main">
    <t xml:space="preserve">10:22 AM</t>
  </si>
  <si xmlns="http://schemas.openxmlformats.org/spreadsheetml/2006/main">
    <t xml:space="preserve">Late In (22m)</t>
  </si>
  <si xmlns="http://schemas.openxmlformats.org/spreadsheetml/2006/main">
    <t xml:space="preserve">8h 52m</t>
  </si>
  <si xmlns="http://schemas.openxmlformats.org/spreadsheetml/2006/main">
    <t xml:space="preserve">9h 53m</t>
  </si>
  <si xmlns="http://schemas.openxmlformats.org/spreadsheetml/2006/main">
    <t xml:space="preserve">8:09 PM</t>
  </si>
  <si xmlns="http://schemas.openxmlformats.org/spreadsheetml/2006/main">
    <t xml:space="preserve">11:48 AM</t>
  </si>
  <si xmlns="http://schemas.openxmlformats.org/spreadsheetml/2006/main">
    <t xml:space="preserve">7h 25m</t>
  </si>
  <si xmlns="http://schemas.openxmlformats.org/spreadsheetml/2006/main">
    <t xml:space="preserve">Late In (108m)</t>
  </si>
  <si xmlns="http://schemas.openxmlformats.org/spreadsheetml/2006/main">
    <t xml:space="preserve">9h 45m</t>
  </si>
  <si xmlns="http://schemas.openxmlformats.org/spreadsheetml/2006/main">
    <t xml:space="preserve">160h 16m</t>
  </si>
  <si xmlns="http://schemas.openxmlformats.org/spreadsheetml/2006/main">
    <t xml:space="preserve">PARAMOUNT PROPACK PRIVATE LIMITED — ATTENDANCE &amp; LEAVE REGISTER</t>
  </si>
  <si xmlns="http://schemas.openxmlformats.org/spreadsheetml/2006/main">
    <t xml:space="preserve">KRISHNAPAL PUVAR</t>
  </si>
  <si xmlns="http://schemas.openxmlformats.org/spreadsheetml/2006/main">
    <t xml:space="preserve">PRATIK SAKRECHA</t>
  </si>
  <si xmlns="http://schemas.openxmlformats.org/spreadsheetml/2006/main">
    <t xml:space="preserve">DAILY LOGS: KRISHNAPAL PUVAR</t>
  </si>
  <si xmlns="http://schemas.openxmlformats.org/spreadsheetml/2006/main">
    <t xml:space="preserve">DAILY LOGS: PRATIK SAKRECHA</t>
  </si>
  <si xmlns="http://schemas.openxmlformats.org/spreadsheetml/2006/main">
    <t xml:space="preserve">9h 20m</t>
  </si>
  <si xmlns="http://schemas.openxmlformats.org/spreadsheetml/2006/main">
    <t xml:space="preserve">9:06 AM</t>
  </si>
  <si xmlns="http://schemas.openxmlformats.org/spreadsheetml/2006/main">
    <t xml:space="preserve">5:59 PM</t>
  </si>
  <si xmlns="http://schemas.openxmlformats.org/spreadsheetml/2006/main">
    <t xml:space="preserve">6:23 PM</t>
  </si>
  <si xmlns="http://schemas.openxmlformats.org/spreadsheetml/2006/main">
    <t xml:space="preserve">Early Out (36m)</t>
  </si>
  <si xmlns="http://schemas.openxmlformats.org/spreadsheetml/2006/main">
    <t xml:space="preserve">9:03 AM</t>
  </si>
  <si xmlns="http://schemas.openxmlformats.org/spreadsheetml/2006/main">
    <t xml:space="preserve">Early Out (31m)</t>
  </si>
  <si xmlns="http://schemas.openxmlformats.org/spreadsheetml/2006/main">
    <t xml:space="preserve">6:10 PM</t>
  </si>
  <si xmlns="http://schemas.openxmlformats.org/spreadsheetml/2006/main">
    <t xml:space="preserve">Early Out (49m)</t>
  </si>
  <si xmlns="http://schemas.openxmlformats.org/spreadsheetml/2006/main">
    <t xml:space="preserve">6:11 PM</t>
  </si>
  <si xmlns="http://schemas.openxmlformats.org/spreadsheetml/2006/main">
    <t xml:space="preserve">Early Out (48m)</t>
  </si>
  <si xmlns="http://schemas.openxmlformats.org/spreadsheetml/2006/main">
    <t xml:space="preserve">Early Out (39m)</t>
  </si>
  <si xmlns="http://schemas.openxmlformats.org/spreadsheetml/2006/main">
    <t xml:space="preserve">Early Out (50m)</t>
  </si>
  <si xmlns="http://schemas.openxmlformats.org/spreadsheetml/2006/main">
    <t xml:space="preserve">9:11 AM</t>
  </si>
  <si xmlns="http://schemas.openxmlformats.org/spreadsheetml/2006/main">
    <t xml:space="preserve">9:16 AM</t>
  </si>
  <si xmlns="http://schemas.openxmlformats.org/spreadsheetml/2006/main">
    <t xml:space="preserve">9:05 AM</t>
  </si>
  <si xmlns="http://schemas.openxmlformats.org/spreadsheetml/2006/main">
    <t xml:space="preserve">211h 10m</t>
  </si>
  <si xmlns="http://schemas.openxmlformats.org/spreadsheetml/2006/main">
    <t xml:space="preserve">SANSAR TRADELINK — ATTENDANCE &amp; LEAVE REGISTER</t>
  </si>
  <si xmlns="http://schemas.openxmlformats.org/spreadsheetml/2006/main">
    <t xml:space="preserve">Period: 01 Sep 2026 to 30 Sep 2026   |   Generated on: 16-Oct-2026 14:53   |   Staff Count: 11</t>
  </si>
  <si xmlns="http://schemas.openxmlformats.org/spreadsheetml/2006/main">
    <t xml:space="preserve">AKASH PARMAR</t>
  </si>
  <si xmlns="http://schemas.openxmlformats.org/spreadsheetml/2006/main">
    <t xml:space="preserve">BHOOMI MISTRY</t>
  </si>
  <si xmlns="http://schemas.openxmlformats.org/spreadsheetml/2006/main">
    <t xml:space="preserve">DEEPIKA  MAKWANA</t>
  </si>
  <si xmlns="http://schemas.openxmlformats.org/spreadsheetml/2006/main">
    <t xml:space="preserve">DIXITA SEVRA</t>
  </si>
  <si xmlns="http://schemas.openxmlformats.org/spreadsheetml/2006/main">
    <t xml:space="preserve">HIMANSHU SINGH</t>
  </si>
  <si xmlns="http://schemas.openxmlformats.org/spreadsheetml/2006/main">
    <t xml:space="preserve">JAY KACHA</t>
  </si>
  <si xmlns="http://schemas.openxmlformats.org/spreadsheetml/2006/main">
    <t xml:space="preserve">JEEVAN DRAVID</t>
  </si>
  <si xmlns="http://schemas.openxmlformats.org/spreadsheetml/2006/main">
    <t xml:space="preserve">JIMMY  MAKWANA</t>
  </si>
  <si xmlns="http://schemas.openxmlformats.org/spreadsheetml/2006/main">
    <t xml:space="preserve">9h 42m</t>
  </si>
  <si xmlns="http://schemas.openxmlformats.org/spreadsheetml/2006/main">
    <t xml:space="preserve">MANOJ ADIDRAVID</t>
  </si>
  <si xmlns="http://schemas.openxmlformats.org/spreadsheetml/2006/main">
    <t xml:space="preserve">PARTH SOLANKI</t>
  </si>
  <si xmlns="http://schemas.openxmlformats.org/spreadsheetml/2006/main">
    <t xml:space="preserve">SRUTHI NAIR</t>
  </si>
  <si xmlns="http://schemas.openxmlformats.org/spreadsheetml/2006/main">
    <t xml:space="preserve">DAILY LOGS: AKASH PARMAR</t>
  </si>
  <si xmlns="http://schemas.openxmlformats.org/spreadsheetml/2006/main">
    <t xml:space="preserve">8:27 AM</t>
  </si>
  <si xmlns="http://schemas.openxmlformats.org/spreadsheetml/2006/main">
    <t xml:space="preserve">5:34 PM</t>
  </si>
  <si xmlns="http://schemas.openxmlformats.org/spreadsheetml/2006/main">
    <t xml:space="preserve">Early Out (85m)</t>
  </si>
  <si xmlns="http://schemas.openxmlformats.org/spreadsheetml/2006/main">
    <t xml:space="preserve">8:30 AM</t>
  </si>
  <si xmlns="http://schemas.openxmlformats.org/spreadsheetml/2006/main">
    <t xml:space="preserve">5:25 PM</t>
  </si>
  <si xmlns="http://schemas.openxmlformats.org/spreadsheetml/2006/main">
    <t xml:space="preserve">Early Out (94m)</t>
  </si>
  <si xmlns="http://schemas.openxmlformats.org/spreadsheetml/2006/main">
    <t xml:space="preserve">8:28 AM</t>
  </si>
  <si xmlns="http://schemas.openxmlformats.org/spreadsheetml/2006/main">
    <t xml:space="preserve">8:31 AM</t>
  </si>
  <si xmlns="http://schemas.openxmlformats.org/spreadsheetml/2006/main">
    <t xml:space="preserve">5:37 PM</t>
  </si>
  <si xmlns="http://schemas.openxmlformats.org/spreadsheetml/2006/main">
    <t xml:space="preserve">Early Out (82m)</t>
  </si>
  <si xmlns="http://schemas.openxmlformats.org/spreadsheetml/2006/main">
    <t xml:space="preserve">5:31 PM</t>
  </si>
  <si xmlns="http://schemas.openxmlformats.org/spreadsheetml/2006/main">
    <t xml:space="preserve">Early Out (88m)</t>
  </si>
  <si xmlns="http://schemas.openxmlformats.org/spreadsheetml/2006/main">
    <t xml:space="preserve">8:34 AM</t>
  </si>
  <si xmlns="http://schemas.openxmlformats.org/spreadsheetml/2006/main">
    <t xml:space="preserve">5:35 PM</t>
  </si>
  <si xmlns="http://schemas.openxmlformats.org/spreadsheetml/2006/main">
    <t xml:space="preserve">Early Out (84m)</t>
  </si>
  <si xmlns="http://schemas.openxmlformats.org/spreadsheetml/2006/main">
    <t xml:space="preserve">5:50 PM</t>
  </si>
  <si xmlns="http://schemas.openxmlformats.org/spreadsheetml/2006/main">
    <t xml:space="preserve">Early Out (69m)</t>
  </si>
  <si xmlns="http://schemas.openxmlformats.org/spreadsheetml/2006/main">
    <t xml:space="preserve">10h 11m</t>
  </si>
  <si xmlns="http://schemas.openxmlformats.org/spreadsheetml/2006/main">
    <t xml:space="preserve">Early Out (17m)</t>
  </si>
  <si xmlns="http://schemas.openxmlformats.org/spreadsheetml/2006/main">
    <t xml:space="preserve">4:07 PM</t>
  </si>
  <si xmlns="http://schemas.openxmlformats.org/spreadsheetml/2006/main">
    <t xml:space="preserve">7h 39m</t>
  </si>
  <si xmlns="http://schemas.openxmlformats.org/spreadsheetml/2006/main">
    <t xml:space="preserve">Early Out (173m)</t>
  </si>
  <si xmlns="http://schemas.openxmlformats.org/spreadsheetml/2006/main">
    <t xml:space="preserve">5:36 PM</t>
  </si>
  <si xmlns="http://schemas.openxmlformats.org/spreadsheetml/2006/main">
    <t xml:space="preserve">Early Out (83m)</t>
  </si>
  <si xmlns="http://schemas.openxmlformats.org/spreadsheetml/2006/main">
    <t xml:space="preserve">5:30 PM</t>
  </si>
  <si xmlns="http://schemas.openxmlformats.org/spreadsheetml/2006/main">
    <t xml:space="preserve">Early Out (89m)</t>
  </si>
  <si xmlns="http://schemas.openxmlformats.org/spreadsheetml/2006/main">
    <t xml:space="preserve">6:02 PM</t>
  </si>
  <si xmlns="http://schemas.openxmlformats.org/spreadsheetml/2006/main">
    <t xml:space="preserve">8:25 AM</t>
  </si>
  <si xmlns="http://schemas.openxmlformats.org/spreadsheetml/2006/main">
    <t xml:space="preserve">5:24 PM</t>
  </si>
  <si xmlns="http://schemas.openxmlformats.org/spreadsheetml/2006/main">
    <t xml:space="preserve">Early Out (95m)</t>
  </si>
  <si xmlns="http://schemas.openxmlformats.org/spreadsheetml/2006/main">
    <t xml:space="preserve">8:24 AM</t>
  </si>
  <si xmlns="http://schemas.openxmlformats.org/spreadsheetml/2006/main">
    <t xml:space="preserve">5:27 PM</t>
  </si>
  <si xmlns="http://schemas.openxmlformats.org/spreadsheetml/2006/main">
    <t xml:space="preserve">Early Out (92m)</t>
  </si>
  <si xmlns="http://schemas.openxmlformats.org/spreadsheetml/2006/main">
    <t xml:space="preserve">200h 22m</t>
  </si>
  <si xmlns="http://schemas.openxmlformats.org/spreadsheetml/2006/main">
    <t xml:space="preserve">DAILY LOGS: BHOOMI MISTRY</t>
  </si>
  <si xmlns="http://schemas.openxmlformats.org/spreadsheetml/2006/main">
    <t xml:space="preserve">9h 35m</t>
  </si>
  <si xmlns="http://schemas.openxmlformats.org/spreadsheetml/2006/main">
    <t xml:space="preserve">199h 58m</t>
  </si>
  <si xmlns="http://schemas.openxmlformats.org/spreadsheetml/2006/main">
    <t xml:space="preserve">DAILY LOGS: DEEPIKA  MAKWANA</t>
  </si>
  <si xmlns="http://schemas.openxmlformats.org/spreadsheetml/2006/main">
    <t xml:space="preserve">2:30 PM</t>
  </si>
  <si xmlns="http://schemas.openxmlformats.org/spreadsheetml/2006/main">
    <t xml:space="preserve">4h 1m</t>
  </si>
  <si xmlns="http://schemas.openxmlformats.org/spreadsheetml/2006/main">
    <t xml:space="preserve">Late In (29m), Early Out (270m)</t>
  </si>
  <si xmlns="http://schemas.openxmlformats.org/spreadsheetml/2006/main">
    <t xml:space="preserve">7:15 AM</t>
  </si>
  <si xmlns="http://schemas.openxmlformats.org/spreadsheetml/2006/main">
    <t xml:space="preserve">7:00 AM</t>
  </si>
  <si xmlns="http://schemas.openxmlformats.org/spreadsheetml/2006/main">
    <t xml:space="preserve">7:05 AM</t>
  </si>
  <si xmlns="http://schemas.openxmlformats.org/spreadsheetml/2006/main">
    <t xml:space="preserve">7:22 AM</t>
  </si>
  <si xmlns="http://schemas.openxmlformats.org/spreadsheetml/2006/main">
    <t xml:space="preserve">174h 4m</t>
  </si>
  <si xmlns="http://schemas.openxmlformats.org/spreadsheetml/2006/main">
    <t xml:space="preserve">DAILY LOGS: DIXITA SEVRA</t>
  </si>
  <si xmlns="http://schemas.openxmlformats.org/spreadsheetml/2006/main">
    <t xml:space="preserve">11:36 AM</t>
  </si>
  <si xmlns="http://schemas.openxmlformats.org/spreadsheetml/2006/main">
    <t xml:space="preserve">Late In (96m)</t>
  </si>
  <si xmlns="http://schemas.openxmlformats.org/spreadsheetml/2006/main">
    <t xml:space="preserve">9h 44m</t>
  </si>
  <si xmlns="http://schemas.openxmlformats.org/spreadsheetml/2006/main">
    <t xml:space="preserve">8:49 PM</t>
  </si>
  <si xmlns="http://schemas.openxmlformats.org/spreadsheetml/2006/main">
    <t xml:space="preserve">10h 37m</t>
  </si>
  <si xmlns="http://schemas.openxmlformats.org/spreadsheetml/2006/main">
    <t xml:space="preserve">1:54 PM</t>
  </si>
  <si xmlns="http://schemas.openxmlformats.org/spreadsheetml/2006/main">
    <t xml:space="preserve">5h 16m</t>
  </si>
  <si xmlns="http://schemas.openxmlformats.org/spreadsheetml/2006/main">
    <t xml:space="preserve">Late In (234m)</t>
  </si>
  <si xmlns="http://schemas.openxmlformats.org/spreadsheetml/2006/main">
    <t xml:space="preserve">8:32 PM</t>
  </si>
  <si xmlns="http://schemas.openxmlformats.org/spreadsheetml/2006/main">
    <t xml:space="preserve">10h 19m</t>
  </si>
  <si xmlns="http://schemas.openxmlformats.org/spreadsheetml/2006/main">
    <t xml:space="preserve">7:53 PM</t>
  </si>
  <si xmlns="http://schemas.openxmlformats.org/spreadsheetml/2006/main">
    <t xml:space="preserve">8:07 PM</t>
  </si>
  <si xmlns="http://schemas.openxmlformats.org/spreadsheetml/2006/main">
    <t xml:space="preserve">7:55 PM</t>
  </si>
  <si xmlns="http://schemas.openxmlformats.org/spreadsheetml/2006/main">
    <t xml:space="preserve">8:20 PM</t>
  </si>
  <si xmlns="http://schemas.openxmlformats.org/spreadsheetml/2006/main">
    <t xml:space="preserve">9h 47m</t>
  </si>
  <si xmlns="http://schemas.openxmlformats.org/spreadsheetml/2006/main">
    <t xml:space="preserve">180h 14m</t>
  </si>
  <si xmlns="http://schemas.openxmlformats.org/spreadsheetml/2006/main">
    <t xml:space="preserve">DAILY LOGS: HIMANSHU SINGH</t>
  </si>
  <si xmlns="http://schemas.openxmlformats.org/spreadsheetml/2006/main">
    <t xml:space="preserve">10:56 AM</t>
  </si>
  <si xmlns="http://schemas.openxmlformats.org/spreadsheetml/2006/main">
    <t xml:space="preserve">Late In (56m)</t>
  </si>
  <si xmlns="http://schemas.openxmlformats.org/spreadsheetml/2006/main">
    <t xml:space="preserve">7:42 PM</t>
  </si>
  <si xmlns="http://schemas.openxmlformats.org/spreadsheetml/2006/main">
    <t xml:space="preserve">8h 29m</t>
  </si>
  <si xmlns="http://schemas.openxmlformats.org/spreadsheetml/2006/main">
    <t xml:space="preserve">8:10 PM</t>
  </si>
  <si xmlns="http://schemas.openxmlformats.org/spreadsheetml/2006/main">
    <t xml:space="preserve">10h 7m</t>
  </si>
  <si xmlns="http://schemas.openxmlformats.org/spreadsheetml/2006/main">
    <t xml:space="preserve">7:29 PM</t>
  </si>
  <si xmlns="http://schemas.openxmlformats.org/spreadsheetml/2006/main">
    <t xml:space="preserve">9h 37m</t>
  </si>
  <si xmlns="http://schemas.openxmlformats.org/spreadsheetml/2006/main">
    <t xml:space="preserve">10h 27m</t>
  </si>
  <si xmlns="http://schemas.openxmlformats.org/spreadsheetml/2006/main">
    <t xml:space="preserve">Half Day</t>
  </si>
  <si xmlns="http://schemas.openxmlformats.org/spreadsheetml/2006/main">
    <t xml:space="preserve">2:25 PM</t>
  </si>
  <si xmlns="http://schemas.openxmlformats.org/spreadsheetml/2006/main">
    <t xml:space="preserve">4h 0m</t>
  </si>
  <si xmlns="http://schemas.openxmlformats.org/spreadsheetml/2006/main">
    <t xml:space="preserve">Late In (25m), Early Out (275m)</t>
  </si>
  <si xmlns="http://schemas.openxmlformats.org/spreadsheetml/2006/main">
    <t xml:space="preserve">210h 25m</t>
  </si>
  <si xmlns="http://schemas.openxmlformats.org/spreadsheetml/2006/main">
    <t xml:space="preserve">DAILY LOGS: JAY KACHA</t>
  </si>
  <si xmlns="http://schemas.openxmlformats.org/spreadsheetml/2006/main">
    <t xml:space="preserve">209h 20m</t>
  </si>
  <si xmlns="http://schemas.openxmlformats.org/spreadsheetml/2006/main">
    <t xml:space="preserve">DAILY LOGS: JEEVAN DRAVID</t>
  </si>
  <si xmlns="http://schemas.openxmlformats.org/spreadsheetml/2006/main">
    <t xml:space="preserve">8:01 PM</t>
  </si>
  <si xmlns="http://schemas.openxmlformats.org/spreadsheetml/2006/main">
    <t xml:space="preserve">8h 21m</t>
  </si>
  <si xmlns="http://schemas.openxmlformats.org/spreadsheetml/2006/main">
    <t xml:space="preserve">9:49 AM</t>
  </si>
  <si xmlns="http://schemas.openxmlformats.org/spreadsheetml/2006/main">
    <t xml:space="preserve">204h 45m</t>
  </si>
  <si xmlns="http://schemas.openxmlformats.org/spreadsheetml/2006/main">
    <t xml:space="preserve">DAILY LOGS: JIMMY  MAKWANA</t>
  </si>
  <si xmlns="http://schemas.openxmlformats.org/spreadsheetml/2006/main">
    <t xml:space="preserve">10:10 PM</t>
  </si>
  <si xmlns="http://schemas.openxmlformats.org/spreadsheetml/2006/main">
    <t xml:space="preserve">11h 54m</t>
  </si>
  <si xmlns="http://schemas.openxmlformats.org/spreadsheetml/2006/main">
    <t xml:space="preserve">9:28 PM</t>
  </si>
  <si xmlns="http://schemas.openxmlformats.org/spreadsheetml/2006/main">
    <t xml:space="preserve">11h 3m</t>
  </si>
  <si xmlns="http://schemas.openxmlformats.org/spreadsheetml/2006/main">
    <t xml:space="preserve">9:57 PM</t>
  </si>
  <si xmlns="http://schemas.openxmlformats.org/spreadsheetml/2006/main">
    <t xml:space="preserve">11h 47m</t>
  </si>
  <si xmlns="http://schemas.openxmlformats.org/spreadsheetml/2006/main">
    <t xml:space="preserve">9:20 PM</t>
  </si>
  <si xmlns="http://schemas.openxmlformats.org/spreadsheetml/2006/main">
    <t xml:space="preserve">214h 30m</t>
  </si>
  <si xmlns="http://schemas.openxmlformats.org/spreadsheetml/2006/main">
    <t xml:space="preserve">DAILY LOGS: MANOJ ADIDRAVID</t>
  </si>
  <si xmlns="http://schemas.openxmlformats.org/spreadsheetml/2006/main">
    <t xml:space="preserve">5h 5m</t>
  </si>
  <si xmlns="http://schemas.openxmlformats.org/spreadsheetml/2006/main">
    <t xml:space="preserve">Early Out (240m)</t>
  </si>
  <si xmlns="http://schemas.openxmlformats.org/spreadsheetml/2006/main">
    <t xml:space="preserve">9h 55m</t>
  </si>
  <si xmlns="http://schemas.openxmlformats.org/spreadsheetml/2006/main">
    <t xml:space="preserve">2:55 PM</t>
  </si>
  <si xmlns="http://schemas.openxmlformats.org/spreadsheetml/2006/main">
    <t xml:space="preserve">4h 55m</t>
  </si>
  <si xmlns="http://schemas.openxmlformats.org/spreadsheetml/2006/main">
    <t xml:space="preserve">Early Out (245m)</t>
  </si>
  <si xmlns="http://schemas.openxmlformats.org/spreadsheetml/2006/main">
    <t xml:space="preserve">202h 11m</t>
  </si>
  <si xmlns="http://schemas.openxmlformats.org/spreadsheetml/2006/main">
    <t xml:space="preserve">DAILY LOGS: PARTH SOLANKI</t>
  </si>
  <si xmlns="http://schemas.openxmlformats.org/spreadsheetml/2006/main">
    <t xml:space="preserve">9h 56m</t>
  </si>
  <si xmlns="http://schemas.openxmlformats.org/spreadsheetml/2006/main">
    <t xml:space="preserve">Early Out (22m)</t>
  </si>
  <si xmlns="http://schemas.openxmlformats.org/spreadsheetml/2006/main">
    <t xml:space="preserve">174h 44m</t>
  </si>
  <si xmlns="http://schemas.openxmlformats.org/spreadsheetml/2006/main">
    <t xml:space="preserve">DAILY LOGS: SRUTHI NAIR</t>
  </si>
  <si xmlns="http://schemas.openxmlformats.org/spreadsheetml/2006/main">
    <t xml:space="preserve">177h 0m</t>
  </si>
  <si xmlns="http://schemas.openxmlformats.org/spreadsheetml/2006/main">
    <t xml:space="preserve">SR CONTAINER CARRIERS — ATTENDANCE &amp; LEAVE REGISTER</t>
  </si>
  <si xmlns="http://schemas.openxmlformats.org/spreadsheetml/2006/main">
    <t xml:space="preserve">Period: 01 Sep 2026 to 30 Sep 2026   |   Generated on: 16-Oct-2026 14:53   |   Staff Count: 19</t>
  </si>
  <si xmlns="http://schemas.openxmlformats.org/spreadsheetml/2006/main">
    <t xml:space="preserve">ADARSH SINGH</t>
  </si>
  <si xmlns="http://schemas.openxmlformats.org/spreadsheetml/2006/main">
    <t xml:space="preserve">AFTAB BELIM</t>
  </si>
  <si xmlns="http://schemas.openxmlformats.org/spreadsheetml/2006/main">
    <t xml:space="preserve">AJAY SINGH</t>
  </si>
  <si xmlns="http://schemas.openxmlformats.org/spreadsheetml/2006/main">
    <t xml:space="preserve">AVINASH  PANDEY</t>
  </si>
  <si xmlns="http://schemas.openxmlformats.org/spreadsheetml/2006/main">
    <t xml:space="preserve">9h 54m</t>
  </si>
  <si xmlns="http://schemas.openxmlformats.org/spreadsheetml/2006/main">
    <t xml:space="preserve">AYAN CHAUHAN</t>
  </si>
  <si xmlns="http://schemas.openxmlformats.org/spreadsheetml/2006/main">
    <t xml:space="preserve">DASAK SHAH</t>
  </si>
  <si xmlns="http://schemas.openxmlformats.org/spreadsheetml/2006/main">
    <t xml:space="preserve">DEEPAK SINGH</t>
  </si>
  <si xmlns="http://schemas.openxmlformats.org/spreadsheetml/2006/main">
    <t xml:space="preserve">JAYMIN PARMAR</t>
  </si>
  <si xmlns="http://schemas.openxmlformats.org/spreadsheetml/2006/main">
    <t xml:space="preserve">11h 12m</t>
  </si>
  <si xmlns="http://schemas.openxmlformats.org/spreadsheetml/2006/main">
    <t xml:space="preserve">JISHNU T</t>
  </si>
  <si xmlns="http://schemas.openxmlformats.org/spreadsheetml/2006/main">
    <t xml:space="preserve">KULDEEP RAWAT</t>
  </si>
  <si xmlns="http://schemas.openxmlformats.org/spreadsheetml/2006/main">
    <t xml:space="preserve">LIBIN V.</t>
  </si>
  <si xmlns="http://schemas.openxmlformats.org/spreadsheetml/2006/main">
    <t xml:space="preserve">MOHIT SINGH</t>
  </si>
  <si xmlns="http://schemas.openxmlformats.org/spreadsheetml/2006/main">
    <t xml:space="preserve">PAHAD SINGH</t>
  </si>
  <si xmlns="http://schemas.openxmlformats.org/spreadsheetml/2006/main">
    <t xml:space="preserve">PARAG MALI</t>
  </si>
  <si xmlns="http://schemas.openxmlformats.org/spreadsheetml/2006/main">
    <t xml:space="preserve">PARTH SHETH</t>
  </si>
  <si xmlns="http://schemas.openxmlformats.org/spreadsheetml/2006/main">
    <t xml:space="preserve">SANTOSH BARMAN</t>
  </si>
  <si xmlns="http://schemas.openxmlformats.org/spreadsheetml/2006/main">
    <t xml:space="preserve">SREEKUMAR NAIR</t>
  </si>
  <si xmlns="http://schemas.openxmlformats.org/spreadsheetml/2006/main">
    <t xml:space="preserve">10h 42m</t>
  </si>
  <si xmlns="http://schemas.openxmlformats.org/spreadsheetml/2006/main">
    <t xml:space="preserve">SUNIL THAKUR</t>
  </si>
  <si xmlns="http://schemas.openxmlformats.org/spreadsheetml/2006/main">
    <t xml:space="preserve">10h 54m</t>
  </si>
  <si xmlns="http://schemas.openxmlformats.org/spreadsheetml/2006/main">
    <t xml:space="preserve">VIKAS CHANDRA</t>
  </si>
  <si xmlns="http://schemas.openxmlformats.org/spreadsheetml/2006/main">
    <t xml:space="preserve">DAILY LOGS: ADARSH SINGH</t>
  </si>
  <si xmlns="http://schemas.openxmlformats.org/spreadsheetml/2006/main">
    <t xml:space="preserve">SRCC 4 AM to 2 PM 04:00–14:00</t>
  </si>
  <si xmlns="http://schemas.openxmlformats.org/spreadsheetml/2006/main">
    <t xml:space="preserve">Late In (292m)</t>
  </si>
  <si xmlns="http://schemas.openxmlformats.org/spreadsheetml/2006/main">
    <t xml:space="preserve">4:58 AM</t>
  </si>
  <si xmlns="http://schemas.openxmlformats.org/spreadsheetml/2006/main">
    <t xml:space="preserve">2:34 PM</t>
  </si>
  <si xmlns="http://schemas.openxmlformats.org/spreadsheetml/2006/main">
    <t xml:space="preserve">4:30 AM</t>
  </si>
  <si xmlns="http://schemas.openxmlformats.org/spreadsheetml/2006/main">
    <t xml:space="preserve">2:20 PM</t>
  </si>
  <si xmlns="http://schemas.openxmlformats.org/spreadsheetml/2006/main">
    <t xml:space="preserve">9h 50m</t>
  </si>
  <si xmlns="http://schemas.openxmlformats.org/spreadsheetml/2006/main">
    <t xml:space="preserve">9:08 AM</t>
  </si>
  <si xmlns="http://schemas.openxmlformats.org/spreadsheetml/2006/main">
    <t xml:space="preserve">Late In (308m)</t>
  </si>
  <si xmlns="http://schemas.openxmlformats.org/spreadsheetml/2006/main">
    <t xml:space="preserve">Late In (315m)</t>
  </si>
  <si xmlns="http://schemas.openxmlformats.org/spreadsheetml/2006/main">
    <t xml:space="preserve">6:13 AM</t>
  </si>
  <si xmlns="http://schemas.openxmlformats.org/spreadsheetml/2006/main">
    <t xml:space="preserve">3:01 PM</t>
  </si>
  <si xmlns="http://schemas.openxmlformats.org/spreadsheetml/2006/main">
    <t xml:space="preserve">Late In (133m)</t>
  </si>
  <si xmlns="http://schemas.openxmlformats.org/spreadsheetml/2006/main">
    <t xml:space="preserve">5:52 AM</t>
  </si>
  <si xmlns="http://schemas.openxmlformats.org/spreadsheetml/2006/main">
    <t xml:space="preserve">10h 36m</t>
  </si>
  <si xmlns="http://schemas.openxmlformats.org/spreadsheetml/2006/main">
    <t xml:space="preserve">Late In (112m)</t>
  </si>
  <si xmlns="http://schemas.openxmlformats.org/spreadsheetml/2006/main">
    <t xml:space="preserve">3:40 AM</t>
  </si>
  <si xmlns="http://schemas.openxmlformats.org/spreadsheetml/2006/main">
    <t xml:space="preserve">2:10 PM</t>
  </si>
  <si xmlns="http://schemas.openxmlformats.org/spreadsheetml/2006/main">
    <t xml:space="preserve">1:19 PM</t>
  </si>
  <si xmlns="http://schemas.openxmlformats.org/spreadsheetml/2006/main">
    <t xml:space="preserve">Late In (559m)</t>
  </si>
  <si xmlns="http://schemas.openxmlformats.org/spreadsheetml/2006/main">
    <t xml:space="preserve">6:54 AM</t>
  </si>
  <si xmlns="http://schemas.openxmlformats.org/spreadsheetml/2006/main">
    <t xml:space="preserve">Late In (174m)</t>
  </si>
  <si xmlns="http://schemas.openxmlformats.org/spreadsheetml/2006/main">
    <t xml:space="preserve">7:55 AM</t>
  </si>
  <si xmlns="http://schemas.openxmlformats.org/spreadsheetml/2006/main">
    <t xml:space="preserve">Late In (235m)</t>
  </si>
  <si xmlns="http://schemas.openxmlformats.org/spreadsheetml/2006/main">
    <t xml:space="preserve">5:28 AM</t>
  </si>
  <si xmlns="http://schemas.openxmlformats.org/spreadsheetml/2006/main">
    <t xml:space="preserve">Late In (88m)</t>
  </si>
  <si xmlns="http://schemas.openxmlformats.org/spreadsheetml/2006/main">
    <t xml:space="preserve">11:30 AM</t>
  </si>
  <si xmlns="http://schemas.openxmlformats.org/spreadsheetml/2006/main">
    <t xml:space="preserve">0h 2m</t>
  </si>
  <si xmlns="http://schemas.openxmlformats.org/spreadsheetml/2006/main">
    <t xml:space="preserve">Late In (450m), Early Out (148m)</t>
  </si>
  <si xmlns="http://schemas.openxmlformats.org/spreadsheetml/2006/main">
    <t xml:space="preserve">6:41 AM</t>
  </si>
  <si xmlns="http://schemas.openxmlformats.org/spreadsheetml/2006/main">
    <t xml:space="preserve">Late In (161m)</t>
  </si>
  <si xmlns="http://schemas.openxmlformats.org/spreadsheetml/2006/main">
    <t xml:space="preserve">3:34 AM</t>
  </si>
  <si xmlns="http://schemas.openxmlformats.org/spreadsheetml/2006/main">
    <t xml:space="preserve">2:08 PM</t>
  </si>
  <si xmlns="http://schemas.openxmlformats.org/spreadsheetml/2006/main">
    <t xml:space="preserve">10h 33m</t>
  </si>
  <si xmlns="http://schemas.openxmlformats.org/spreadsheetml/2006/main">
    <t xml:space="preserve">3:30 AM</t>
  </si>
  <si xmlns="http://schemas.openxmlformats.org/spreadsheetml/2006/main">
    <t xml:space="preserve">8:17 AM</t>
  </si>
  <si xmlns="http://schemas.openxmlformats.org/spreadsheetml/2006/main">
    <t xml:space="preserve">3:54 PM</t>
  </si>
  <si xmlns="http://schemas.openxmlformats.org/spreadsheetml/2006/main">
    <t xml:space="preserve">7h 37m</t>
  </si>
  <si xmlns="http://schemas.openxmlformats.org/spreadsheetml/2006/main">
    <t xml:space="preserve">Late In (257m)</t>
  </si>
  <si xmlns="http://schemas.openxmlformats.org/spreadsheetml/2006/main">
    <t xml:space="preserve">7:03 AM</t>
  </si>
  <si xmlns="http://schemas.openxmlformats.org/spreadsheetml/2006/main">
    <t xml:space="preserve">Late In (183m)</t>
  </si>
  <si xmlns="http://schemas.openxmlformats.org/spreadsheetml/2006/main">
    <t xml:space="preserve">4:42 AM</t>
  </si>
  <si xmlns="http://schemas.openxmlformats.org/spreadsheetml/2006/main">
    <t xml:space="preserve">6:19 AM</t>
  </si>
  <si xmlns="http://schemas.openxmlformats.org/spreadsheetml/2006/main">
    <t xml:space="preserve">4:06 PM</t>
  </si>
  <si xmlns="http://schemas.openxmlformats.org/spreadsheetml/2006/main">
    <t xml:space="preserve">Late In (139m)</t>
  </si>
  <si xmlns="http://schemas.openxmlformats.org/spreadsheetml/2006/main">
    <t xml:space="preserve">85h 31m</t>
  </si>
  <si xmlns="http://schemas.openxmlformats.org/spreadsheetml/2006/main">
    <t xml:space="preserve">DAILY LOGS: AFTAB BELIM</t>
  </si>
  <si xmlns="http://schemas.openxmlformats.org/spreadsheetml/2006/main">
    <t xml:space="preserve">9:30 PM</t>
  </si>
  <si xmlns="http://schemas.openxmlformats.org/spreadsheetml/2006/main">
    <t xml:space="preserve">7h 0m</t>
  </si>
  <si xmlns="http://schemas.openxmlformats.org/spreadsheetml/2006/main">
    <t xml:space="preserve">Late In (690m)</t>
  </si>
  <si xmlns="http://schemas.openxmlformats.org/spreadsheetml/2006/main">
    <t xml:space="preserve">Late In (5m)</t>
  </si>
  <si xmlns="http://schemas.openxmlformats.org/spreadsheetml/2006/main">
    <t xml:space="preserve">11:12 AM</t>
  </si>
  <si xmlns="http://schemas.openxmlformats.org/spreadsheetml/2006/main">
    <t xml:space="preserve">Late In (72m)</t>
  </si>
  <si xmlns="http://schemas.openxmlformats.org/spreadsheetml/2006/main">
    <t xml:space="preserve">10:49 AM</t>
  </si>
  <si xmlns="http://schemas.openxmlformats.org/spreadsheetml/2006/main">
    <t xml:space="preserve">Late In (49m)</t>
  </si>
  <si xmlns="http://schemas.openxmlformats.org/spreadsheetml/2006/main">
    <t xml:space="preserve">106h 16m</t>
  </si>
  <si xmlns="http://schemas.openxmlformats.org/spreadsheetml/2006/main">
    <t xml:space="preserve">DAILY LOGS: AJAY SINGH</t>
  </si>
  <si xmlns="http://schemas.openxmlformats.org/spreadsheetml/2006/main">
    <t xml:space="preserve">SRCC 2PM-11PM 14:00–23:00</t>
  </si>
  <si xmlns="http://schemas.openxmlformats.org/spreadsheetml/2006/main">
    <t xml:space="preserve">2:09 PM</t>
  </si>
  <si xmlns="http://schemas.openxmlformats.org/spreadsheetml/2006/main">
    <t xml:space="preserve">11:39 PM</t>
  </si>
  <si xmlns="http://schemas.openxmlformats.org/spreadsheetml/2006/main">
    <t xml:space="preserve">11:08 PM</t>
  </si>
  <si xmlns="http://schemas.openxmlformats.org/spreadsheetml/2006/main">
    <t xml:space="preserve">2:06 PM</t>
  </si>
  <si xmlns="http://schemas.openxmlformats.org/spreadsheetml/2006/main">
    <t xml:space="preserve">11:41 PM</t>
  </si>
  <si xmlns="http://schemas.openxmlformats.org/spreadsheetml/2006/main">
    <t xml:space="preserve">12:30 AM</t>
  </si>
  <si xmlns="http://schemas.openxmlformats.org/spreadsheetml/2006/main">
    <t xml:space="preserve">8h 0m</t>
  </si>
  <si xmlns="http://schemas.openxmlformats.org/spreadsheetml/2006/main">
    <t xml:space="preserve">2:02 PM</t>
  </si>
  <si xmlns="http://schemas.openxmlformats.org/spreadsheetml/2006/main">
    <t xml:space="preserve">11:10 PM</t>
  </si>
  <si xmlns="http://schemas.openxmlformats.org/spreadsheetml/2006/main">
    <t xml:space="preserve">2:14 PM</t>
  </si>
  <si xmlns="http://schemas.openxmlformats.org/spreadsheetml/2006/main">
    <t xml:space="preserve">11:56 PM</t>
  </si>
  <si xmlns="http://schemas.openxmlformats.org/spreadsheetml/2006/main">
    <t xml:space="preserve">2:13 PM</t>
  </si>
  <si xmlns="http://schemas.openxmlformats.org/spreadsheetml/2006/main">
    <t xml:space="preserve">11:57 PM</t>
  </si>
  <si xmlns="http://schemas.openxmlformats.org/spreadsheetml/2006/main">
    <t xml:space="preserve">11:20 PM</t>
  </si>
  <si xmlns="http://schemas.openxmlformats.org/spreadsheetml/2006/main">
    <t xml:space="preserve">11:14 PM</t>
  </si>
  <si xmlns="http://schemas.openxmlformats.org/spreadsheetml/2006/main">
    <t xml:space="preserve">2:56 PM</t>
  </si>
  <si xmlns="http://schemas.openxmlformats.org/spreadsheetml/2006/main">
    <t xml:space="preserve">2:32 PM</t>
  </si>
  <si xmlns="http://schemas.openxmlformats.org/spreadsheetml/2006/main">
    <t xml:space="preserve">2:11 PM</t>
  </si>
  <si xmlns="http://schemas.openxmlformats.org/spreadsheetml/2006/main">
    <t xml:space="preserve">1:53 PM</t>
  </si>
  <si xmlns="http://schemas.openxmlformats.org/spreadsheetml/2006/main">
    <t xml:space="preserve">11:33 PM</t>
  </si>
  <si xmlns="http://schemas.openxmlformats.org/spreadsheetml/2006/main">
    <t xml:space="preserve">11:37 PM</t>
  </si>
  <si xmlns="http://schemas.openxmlformats.org/spreadsheetml/2006/main">
    <t xml:space="preserve">2:19 PM</t>
  </si>
  <si xmlns="http://schemas.openxmlformats.org/spreadsheetml/2006/main">
    <t xml:space="preserve">11:30 PM</t>
  </si>
  <si xmlns="http://schemas.openxmlformats.org/spreadsheetml/2006/main">
    <t xml:space="preserve">11:45 PM</t>
  </si>
  <si xmlns="http://schemas.openxmlformats.org/spreadsheetml/2006/main">
    <t xml:space="preserve">1:51 PM</t>
  </si>
  <si xmlns="http://schemas.openxmlformats.org/spreadsheetml/2006/main">
    <t xml:space="preserve">10:51 PM</t>
  </si>
  <si xmlns="http://schemas.openxmlformats.org/spreadsheetml/2006/main">
    <t xml:space="preserve">2:26 PM</t>
  </si>
  <si xmlns="http://schemas.openxmlformats.org/spreadsheetml/2006/main">
    <t xml:space="preserve">2:31 PM</t>
  </si>
  <si xmlns="http://schemas.openxmlformats.org/spreadsheetml/2006/main">
    <t xml:space="preserve">11:35 PM</t>
  </si>
  <si xmlns="http://schemas.openxmlformats.org/spreadsheetml/2006/main">
    <t xml:space="preserve">11:42 PM</t>
  </si>
  <si xmlns="http://schemas.openxmlformats.org/spreadsheetml/2006/main">
    <t xml:space="preserve">6:30 AM</t>
  </si>
  <si xmlns="http://schemas.openxmlformats.org/spreadsheetml/2006/main">
    <t xml:space="preserve">11h 16m</t>
  </si>
  <si xmlns="http://schemas.openxmlformats.org/spreadsheetml/2006/main">
    <t xml:space="preserve">Late In (314m)</t>
  </si>
  <si xmlns="http://schemas.openxmlformats.org/spreadsheetml/2006/main">
    <t xml:space="preserve">2:29 PM</t>
  </si>
  <si xmlns="http://schemas.openxmlformats.org/spreadsheetml/2006/main">
    <t xml:space="preserve">11:46 PM</t>
  </si>
  <si xmlns="http://schemas.openxmlformats.org/spreadsheetml/2006/main">
    <t xml:space="preserve">2:15 PM</t>
  </si>
  <si xmlns="http://schemas.openxmlformats.org/spreadsheetml/2006/main">
    <t xml:space="preserve">232h 57m</t>
  </si>
  <si xmlns="http://schemas.openxmlformats.org/spreadsheetml/2006/main">
    <t xml:space="preserve">DAILY LOGS: AVINASH  PANDEY</t>
  </si>
  <si xmlns="http://schemas.openxmlformats.org/spreadsheetml/2006/main">
    <t xml:space="preserve">9:59 PM</t>
  </si>
  <si xmlns="http://schemas.openxmlformats.org/spreadsheetml/2006/main">
    <t xml:space="preserve">11h 27m</t>
  </si>
  <si xmlns="http://schemas.openxmlformats.org/spreadsheetml/2006/main">
    <t xml:space="preserve">11:18 AM</t>
  </si>
  <si xmlns="http://schemas.openxmlformats.org/spreadsheetml/2006/main">
    <t xml:space="preserve">9:44 PM</t>
  </si>
  <si xmlns="http://schemas.openxmlformats.org/spreadsheetml/2006/main">
    <t xml:space="preserve">10h 25m</t>
  </si>
  <si xmlns="http://schemas.openxmlformats.org/spreadsheetml/2006/main">
    <t xml:space="preserve">Late In (78m)</t>
  </si>
  <si xmlns="http://schemas.openxmlformats.org/spreadsheetml/2006/main">
    <t xml:space="preserve">12:56 PM</t>
  </si>
  <si xmlns="http://schemas.openxmlformats.org/spreadsheetml/2006/main">
    <t xml:space="preserve">Late In (176m)</t>
  </si>
  <si xmlns="http://schemas.openxmlformats.org/spreadsheetml/2006/main">
    <t xml:space="preserve">12:11 PM</t>
  </si>
  <si xmlns="http://schemas.openxmlformats.org/spreadsheetml/2006/main">
    <t xml:space="preserve">Late In (131m)</t>
  </si>
  <si xmlns="http://schemas.openxmlformats.org/spreadsheetml/2006/main">
    <t xml:space="preserve">9:39 PM</t>
  </si>
  <si xmlns="http://schemas.openxmlformats.org/spreadsheetml/2006/main">
    <t xml:space="preserve">11:17 AM</t>
  </si>
  <si xmlns="http://schemas.openxmlformats.org/spreadsheetml/2006/main">
    <t xml:space="preserve">9:33 PM</t>
  </si>
  <si xmlns="http://schemas.openxmlformats.org/spreadsheetml/2006/main">
    <t xml:space="preserve">10h 16m</t>
  </si>
  <si xmlns="http://schemas.openxmlformats.org/spreadsheetml/2006/main">
    <t xml:space="preserve">Late In (77m)</t>
  </si>
  <si xmlns="http://schemas.openxmlformats.org/spreadsheetml/2006/main">
    <t xml:space="preserve">9:45 PM</t>
  </si>
  <si xmlns="http://schemas.openxmlformats.org/spreadsheetml/2006/main">
    <t xml:space="preserve">10h 41m</t>
  </si>
  <si xmlns="http://schemas.openxmlformats.org/spreadsheetml/2006/main">
    <t xml:space="preserve">11:52 AM</t>
  </si>
  <si xmlns="http://schemas.openxmlformats.org/spreadsheetml/2006/main">
    <t xml:space="preserve">11:45 AM</t>
  </si>
  <si xmlns="http://schemas.openxmlformats.org/spreadsheetml/2006/main">
    <t xml:space="preserve">8:57 PM</t>
  </si>
  <si xmlns="http://schemas.openxmlformats.org/spreadsheetml/2006/main">
    <t xml:space="preserve">Late In (105m)</t>
  </si>
  <si xmlns="http://schemas.openxmlformats.org/spreadsheetml/2006/main">
    <t xml:space="preserve">11:19 AM</t>
  </si>
  <si xmlns="http://schemas.openxmlformats.org/spreadsheetml/2006/main">
    <t xml:space="preserve">Late In (79m)</t>
  </si>
  <si xmlns="http://schemas.openxmlformats.org/spreadsheetml/2006/main">
    <t xml:space="preserve">9:23 PM</t>
  </si>
  <si xmlns="http://schemas.openxmlformats.org/spreadsheetml/2006/main">
    <t xml:space="preserve">10:32 PM</t>
  </si>
  <si xmlns="http://schemas.openxmlformats.org/spreadsheetml/2006/main">
    <t xml:space="preserve">11h 34m</t>
  </si>
  <si xmlns="http://schemas.openxmlformats.org/spreadsheetml/2006/main">
    <t xml:space="preserve">10h 6m</t>
  </si>
  <si xmlns="http://schemas.openxmlformats.org/spreadsheetml/2006/main">
    <t xml:space="preserve">11:20 AM</t>
  </si>
  <si xmlns="http://schemas.openxmlformats.org/spreadsheetml/2006/main">
    <t xml:space="preserve">Late In (80m)</t>
  </si>
  <si xmlns="http://schemas.openxmlformats.org/spreadsheetml/2006/main">
    <t xml:space="preserve">9:25 PM</t>
  </si>
  <si xmlns="http://schemas.openxmlformats.org/spreadsheetml/2006/main">
    <t xml:space="preserve">10:00 PM</t>
  </si>
  <si xmlns="http://schemas.openxmlformats.org/spreadsheetml/2006/main">
    <t xml:space="preserve">11h 22m</t>
  </si>
  <si xmlns="http://schemas.openxmlformats.org/spreadsheetml/2006/main">
    <t xml:space="preserve">218h 50m</t>
  </si>
  <si xmlns="http://schemas.openxmlformats.org/spreadsheetml/2006/main">
    <t xml:space="preserve">DAILY LOGS: AYAN CHAUHAN</t>
  </si>
  <si xmlns="http://schemas.openxmlformats.org/spreadsheetml/2006/main">
    <t xml:space="preserve">8h 3m</t>
  </si>
  <si xmlns="http://schemas.openxmlformats.org/spreadsheetml/2006/main">
    <t xml:space="preserve">Late In (29m), Early Out (26m)</t>
  </si>
  <si xmlns="http://schemas.openxmlformats.org/spreadsheetml/2006/main">
    <t xml:space="preserve">8:13 PM</t>
  </si>
  <si xmlns="http://schemas.openxmlformats.org/spreadsheetml/2006/main">
    <t xml:space="preserve">11:38 AM</t>
  </si>
  <si xmlns="http://schemas.openxmlformats.org/spreadsheetml/2006/main">
    <t xml:space="preserve">8h 26m</t>
  </si>
  <si xmlns="http://schemas.openxmlformats.org/spreadsheetml/2006/main">
    <t xml:space="preserve">Late In (98m)</t>
  </si>
  <si xmlns="http://schemas.openxmlformats.org/spreadsheetml/2006/main">
    <t xml:space="preserve">8:25 PM</t>
  </si>
  <si xmlns="http://schemas.openxmlformats.org/spreadsheetml/2006/main">
    <t xml:space="preserve">8:12 PM</t>
  </si>
  <si xmlns="http://schemas.openxmlformats.org/spreadsheetml/2006/main">
    <t xml:space="preserve">209h 18m</t>
  </si>
  <si xmlns="http://schemas.openxmlformats.org/spreadsheetml/2006/main">
    <t xml:space="preserve">DAILY LOGS: DASAK SHAH</t>
  </si>
  <si xmlns="http://schemas.openxmlformats.org/spreadsheetml/2006/main">
    <t xml:space="preserve">11:03 AM</t>
  </si>
  <si xmlns="http://schemas.openxmlformats.org/spreadsheetml/2006/main">
    <t xml:space="preserve">Late In (63m)</t>
  </si>
  <si xmlns="http://schemas.openxmlformats.org/spreadsheetml/2006/main">
    <t xml:space="preserve">8:11 PM</t>
  </si>
  <si xmlns="http://schemas.openxmlformats.org/spreadsheetml/2006/main">
    <t xml:space="preserve">0h 20m</t>
  </si>
  <si xmlns="http://schemas.openxmlformats.org/spreadsheetml/2006/main">
    <t xml:space="preserve">Late In (113m)</t>
  </si>
  <si xmlns="http://schemas.openxmlformats.org/spreadsheetml/2006/main">
    <t xml:space="preserve">8:52 PM</t>
  </si>
  <si xmlns="http://schemas.openxmlformats.org/spreadsheetml/2006/main">
    <t xml:space="preserve">10h 9m</t>
  </si>
  <si xmlns="http://schemas.openxmlformats.org/spreadsheetml/2006/main">
    <t xml:space="preserve">6:16 PM</t>
  </si>
  <si xmlns="http://schemas.openxmlformats.org/spreadsheetml/2006/main">
    <t xml:space="preserve">8h 16m</t>
  </si>
  <si xmlns="http://schemas.openxmlformats.org/spreadsheetml/2006/main">
    <t xml:space="preserve">Early Out (43m)</t>
  </si>
  <si xmlns="http://schemas.openxmlformats.org/spreadsheetml/2006/main">
    <t xml:space="preserve">Late In (56m), Early Out (39m)</t>
  </si>
  <si xmlns="http://schemas.openxmlformats.org/spreadsheetml/2006/main">
    <t xml:space="preserve">11:42 AM</t>
  </si>
  <si xmlns="http://schemas.openxmlformats.org/spreadsheetml/2006/main">
    <t xml:space="preserve">6h 29m</t>
  </si>
  <si xmlns="http://schemas.openxmlformats.org/spreadsheetml/2006/main">
    <t xml:space="preserve">Late In (102m), Early Out (49m)</t>
  </si>
  <si xmlns="http://schemas.openxmlformats.org/spreadsheetml/2006/main">
    <t xml:space="preserve">10:54 AM</t>
  </si>
  <si xmlns="http://schemas.openxmlformats.org/spreadsheetml/2006/main">
    <t xml:space="preserve">10:39 PM</t>
  </si>
  <si xmlns="http://schemas.openxmlformats.org/spreadsheetml/2006/main">
    <t xml:space="preserve">11h 45m</t>
  </si>
  <si xmlns="http://schemas.openxmlformats.org/spreadsheetml/2006/main">
    <t xml:space="preserve">Late In (54m)</t>
  </si>
  <si xmlns="http://schemas.openxmlformats.org/spreadsheetml/2006/main">
    <t xml:space="preserve">12:35 PM</t>
  </si>
  <si xmlns="http://schemas.openxmlformats.org/spreadsheetml/2006/main">
    <t xml:space="preserve">7h 35m</t>
  </si>
  <si xmlns="http://schemas.openxmlformats.org/spreadsheetml/2006/main">
    <t xml:space="preserve">Late In (155m)</t>
  </si>
  <si xmlns="http://schemas.openxmlformats.org/spreadsheetml/2006/main">
    <t xml:space="preserve">9:00 PM</t>
  </si>
  <si xmlns="http://schemas.openxmlformats.org/spreadsheetml/2006/main">
    <t xml:space="preserve">10h 48m</t>
  </si>
  <si xmlns="http://schemas.openxmlformats.org/spreadsheetml/2006/main">
    <t xml:space="preserve">9:14 PM</t>
  </si>
  <si xmlns="http://schemas.openxmlformats.org/spreadsheetml/2006/main">
    <t xml:space="preserve">10h 34m</t>
  </si>
  <si xmlns="http://schemas.openxmlformats.org/spreadsheetml/2006/main">
    <t xml:space="preserve">8:31 PM</t>
  </si>
  <si xmlns="http://schemas.openxmlformats.org/spreadsheetml/2006/main">
    <t xml:space="preserve">10h 23m</t>
  </si>
  <si xmlns="http://schemas.openxmlformats.org/spreadsheetml/2006/main">
    <t xml:space="preserve">9:12 PM</t>
  </si>
  <si xmlns="http://schemas.openxmlformats.org/spreadsheetml/2006/main">
    <t xml:space="preserve">10:06 PM</t>
  </si>
  <si xmlns="http://schemas.openxmlformats.org/spreadsheetml/2006/main">
    <t xml:space="preserve">2:28 PM</t>
  </si>
  <si xmlns="http://schemas.openxmlformats.org/spreadsheetml/2006/main">
    <t xml:space="preserve">7h 31m</t>
  </si>
  <si xmlns="http://schemas.openxmlformats.org/spreadsheetml/2006/main">
    <t xml:space="preserve">Late In (268m)</t>
  </si>
  <si xmlns="http://schemas.openxmlformats.org/spreadsheetml/2006/main">
    <t xml:space="preserve">8:37 PM</t>
  </si>
  <si xmlns="http://schemas.openxmlformats.org/spreadsheetml/2006/main">
    <t xml:space="preserve">8:19 PM</t>
  </si>
  <si xmlns="http://schemas.openxmlformats.org/spreadsheetml/2006/main">
    <t xml:space="preserve">178h 55m</t>
  </si>
  <si xmlns="http://schemas.openxmlformats.org/spreadsheetml/2006/main">
    <t xml:space="preserve">DAILY LOGS: DEEPAK SINGH</t>
  </si>
  <si xmlns="http://schemas.openxmlformats.org/spreadsheetml/2006/main">
    <t xml:space="preserve">12:47 PM</t>
  </si>
  <si xmlns="http://schemas.openxmlformats.org/spreadsheetml/2006/main">
    <t xml:space="preserve">7h 5m</t>
  </si>
  <si xmlns="http://schemas.openxmlformats.org/spreadsheetml/2006/main">
    <t xml:space="preserve">Late In (167m)</t>
  </si>
  <si xmlns="http://schemas.openxmlformats.org/spreadsheetml/2006/main">
    <t xml:space="preserve">8:47 PM</t>
  </si>
  <si xmlns="http://schemas.openxmlformats.org/spreadsheetml/2006/main">
    <t xml:space="preserve">1:33 PM</t>
  </si>
  <si xmlns="http://schemas.openxmlformats.org/spreadsheetml/2006/main">
    <t xml:space="preserve">5h 58m</t>
  </si>
  <si xmlns="http://schemas.openxmlformats.org/spreadsheetml/2006/main">
    <t xml:space="preserve">Late In (213m)</t>
  </si>
  <si xmlns="http://schemas.openxmlformats.org/spreadsheetml/2006/main">
    <t xml:space="preserve">104h 4m</t>
  </si>
  <si xmlns="http://schemas.openxmlformats.org/spreadsheetml/2006/main">
    <t xml:space="preserve">DAILY LOGS: JAYMIN PARMAR</t>
  </si>
  <si xmlns="http://schemas.openxmlformats.org/spreadsheetml/2006/main">
    <t xml:space="preserve">Operation  Shift 15:00–07:00</t>
  </si>
  <si xmlns="http://schemas.openxmlformats.org/spreadsheetml/2006/main">
    <t xml:space="preserve">Late In (300m)</t>
  </si>
  <si xmlns="http://schemas.openxmlformats.org/spreadsheetml/2006/main">
    <t xml:space="preserve">Late In (299m)</t>
  </si>
  <si xmlns="http://schemas.openxmlformats.org/spreadsheetml/2006/main">
    <t xml:space="preserve">6:11 AM</t>
  </si>
  <si xmlns="http://schemas.openxmlformats.org/spreadsheetml/2006/main">
    <t xml:space="preserve">11h 15m</t>
  </si>
  <si xmlns="http://schemas.openxmlformats.org/spreadsheetml/2006/main">
    <t xml:space="preserve">Late In (236m), Early Out (48m)</t>
  </si>
  <si xmlns="http://schemas.openxmlformats.org/spreadsheetml/2006/main">
    <t xml:space="preserve">Late In (228m)</t>
  </si>
  <si xmlns="http://schemas.openxmlformats.org/spreadsheetml/2006/main">
    <t xml:space="preserve">7:32 AM</t>
  </si>
  <si xmlns="http://schemas.openxmlformats.org/spreadsheetml/2006/main">
    <t xml:space="preserve">11h 58m</t>
  </si>
  <si xmlns="http://schemas.openxmlformats.org/spreadsheetml/2006/main">
    <t xml:space="preserve">Late In (274m)</t>
  </si>
  <si xmlns="http://schemas.openxmlformats.org/spreadsheetml/2006/main">
    <t xml:space="preserve">4:52 AM</t>
  </si>
  <si xmlns="http://schemas.openxmlformats.org/spreadsheetml/2006/main">
    <t xml:space="preserve">10h 10m</t>
  </si>
  <si xmlns="http://schemas.openxmlformats.org/spreadsheetml/2006/main">
    <t xml:space="preserve">Late In (222m), Early Out (127m)</t>
  </si>
  <si xmlns="http://schemas.openxmlformats.org/spreadsheetml/2006/main">
    <t xml:space="preserve">Late In (251m)</t>
  </si>
  <si xmlns="http://schemas.openxmlformats.org/spreadsheetml/2006/main">
    <t xml:space="preserve">Late In (259m)</t>
  </si>
  <si xmlns="http://schemas.openxmlformats.org/spreadsheetml/2006/main">
    <t xml:space="preserve">7:04 AM</t>
  </si>
  <si xmlns="http://schemas.openxmlformats.org/spreadsheetml/2006/main">
    <t xml:space="preserve">11h 49m</t>
  </si>
  <si xmlns="http://schemas.openxmlformats.org/spreadsheetml/2006/main">
    <t xml:space="preserve">Late In (255m)</t>
  </si>
  <si xmlns="http://schemas.openxmlformats.org/spreadsheetml/2006/main">
    <t xml:space="preserve">11h 41m</t>
  </si>
  <si xmlns="http://schemas.openxmlformats.org/spreadsheetml/2006/main">
    <t xml:space="preserve">7:56 AM</t>
  </si>
  <si xmlns="http://schemas.openxmlformats.org/spreadsheetml/2006/main">
    <t xml:space="preserve">12h 1m</t>
  </si>
  <si xmlns="http://schemas.openxmlformats.org/spreadsheetml/2006/main">
    <t xml:space="preserve">Late In (295m)</t>
  </si>
  <si xmlns="http://schemas.openxmlformats.org/spreadsheetml/2006/main">
    <t xml:space="preserve">Late In (267m)</t>
  </si>
  <si xmlns="http://schemas.openxmlformats.org/spreadsheetml/2006/main">
    <t xml:space="preserve">Late In (312m)</t>
  </si>
  <si xmlns="http://schemas.openxmlformats.org/spreadsheetml/2006/main">
    <t xml:space="preserve">8:09 AM</t>
  </si>
  <si xmlns="http://schemas.openxmlformats.org/spreadsheetml/2006/main">
    <t xml:space="preserve">11h 46m</t>
  </si>
  <si xmlns="http://schemas.openxmlformats.org/spreadsheetml/2006/main">
    <t xml:space="preserve">Late In (323m)</t>
  </si>
  <si xmlns="http://schemas.openxmlformats.org/spreadsheetml/2006/main">
    <t xml:space="preserve">7:06 AM</t>
  </si>
  <si xmlns="http://schemas.openxmlformats.org/spreadsheetml/2006/main">
    <t xml:space="preserve">12h 0m</t>
  </si>
  <si xmlns="http://schemas.openxmlformats.org/spreadsheetml/2006/main">
    <t xml:space="preserve">Late In (246m)</t>
  </si>
  <si xmlns="http://schemas.openxmlformats.org/spreadsheetml/2006/main">
    <t xml:space="preserve">Late In (173m)</t>
  </si>
  <si xmlns="http://schemas.openxmlformats.org/spreadsheetml/2006/main">
    <t xml:space="preserve">Late In (302m)</t>
  </si>
  <si xmlns="http://schemas.openxmlformats.org/spreadsheetml/2006/main">
    <t xml:space="preserve">Late In (258m)</t>
  </si>
  <si xmlns="http://schemas.openxmlformats.org/spreadsheetml/2006/main">
    <t xml:space="preserve">Late In (272m)</t>
  </si>
  <si xmlns="http://schemas.openxmlformats.org/spreadsheetml/2006/main">
    <t xml:space="preserve">6:36 AM</t>
  </si>
  <si xmlns="http://schemas.openxmlformats.org/spreadsheetml/2006/main">
    <t xml:space="preserve">11h 9m</t>
  </si>
  <si xmlns="http://schemas.openxmlformats.org/spreadsheetml/2006/main">
    <t xml:space="preserve">Late In (267m), Early Out (23m)</t>
  </si>
  <si xmlns="http://schemas.openxmlformats.org/spreadsheetml/2006/main">
    <t xml:space="preserve">Late In (283m)</t>
  </si>
  <si xmlns="http://schemas.openxmlformats.org/spreadsheetml/2006/main">
    <t xml:space="preserve">6:14 AM</t>
  </si>
  <si xmlns="http://schemas.openxmlformats.org/spreadsheetml/2006/main">
    <t xml:space="preserve">Late In (285m), Early Out (45m)</t>
  </si>
  <si xmlns="http://schemas.openxmlformats.org/spreadsheetml/2006/main">
    <t xml:space="preserve">3:21 PM</t>
  </si>
  <si xmlns="http://schemas.openxmlformats.org/spreadsheetml/2006/main">
    <t xml:space="preserve">Late In (21m), Early Out (554m)</t>
  </si>
  <si xmlns="http://schemas.openxmlformats.org/spreadsheetml/2006/main">
    <t xml:space="preserve">1:02 PM</t>
  </si>
  <si xmlns="http://schemas.openxmlformats.org/spreadsheetml/2006/main">
    <t xml:space="preserve">Early Out (554m)</t>
  </si>
  <si xmlns="http://schemas.openxmlformats.org/spreadsheetml/2006/main">
    <t xml:space="preserve">123h 0m</t>
  </si>
  <si xmlns="http://schemas.openxmlformats.org/spreadsheetml/2006/main">
    <t xml:space="preserve">DAILY LOGS: JISHNU T</t>
  </si>
  <si xmlns="http://schemas.openxmlformats.org/spreadsheetml/2006/main">
    <t xml:space="preserve">11h 19m</t>
  </si>
  <si xmlns="http://schemas.openxmlformats.org/spreadsheetml/2006/main">
    <t xml:space="preserve">11:10 AM</t>
  </si>
  <si xmlns="http://schemas.openxmlformats.org/spreadsheetml/2006/main">
    <t xml:space="preserve">Late In (70m)</t>
  </si>
  <si xmlns="http://schemas.openxmlformats.org/spreadsheetml/2006/main">
    <t xml:space="preserve">21h 4m</t>
  </si>
  <si xmlns="http://schemas.openxmlformats.org/spreadsheetml/2006/main">
    <t xml:space="preserve">DAILY LOGS: KULDEEP RAWAT</t>
  </si>
  <si xmlns="http://schemas.openxmlformats.org/spreadsheetml/2006/main">
    <t xml:space="preserve">2:12 PM</t>
  </si>
  <si xmlns="http://schemas.openxmlformats.org/spreadsheetml/2006/main">
    <t xml:space="preserve">Late In (252m)</t>
  </si>
  <si xmlns="http://schemas.openxmlformats.org/spreadsheetml/2006/main">
    <t xml:space="preserve">11h 30m</t>
  </si>
  <si xmlns="http://schemas.openxmlformats.org/spreadsheetml/2006/main">
    <t xml:space="preserve">9:40 PM</t>
  </si>
  <si xmlns="http://schemas.openxmlformats.org/spreadsheetml/2006/main">
    <t xml:space="preserve">11h 51m</t>
  </si>
  <si xmlns="http://schemas.openxmlformats.org/spreadsheetml/2006/main">
    <t xml:space="preserve">11h 48m</t>
  </si>
  <si xmlns="http://schemas.openxmlformats.org/spreadsheetml/2006/main">
    <t xml:space="preserve">12:19 PM</t>
  </si>
  <si xmlns="http://schemas.openxmlformats.org/spreadsheetml/2006/main">
    <t xml:space="preserve">0h 8m</t>
  </si>
  <si xmlns="http://schemas.openxmlformats.org/spreadsheetml/2006/main">
    <t xml:space="preserve">Early Out (519m)</t>
  </si>
  <si xmlns="http://schemas.openxmlformats.org/spreadsheetml/2006/main">
    <t xml:space="preserve">5:03 PM</t>
  </si>
  <si xmlns="http://schemas.openxmlformats.org/spreadsheetml/2006/main">
    <t xml:space="preserve">Late In (423m)</t>
  </si>
  <si xmlns="http://schemas.openxmlformats.org/spreadsheetml/2006/main">
    <t xml:space="preserve">45h 17m</t>
  </si>
  <si xmlns="http://schemas.openxmlformats.org/spreadsheetml/2006/main">
    <t xml:space="preserve">DAILY LOGS: LIBIN V.</t>
  </si>
  <si xmlns="http://schemas.openxmlformats.org/spreadsheetml/2006/main">
    <t xml:space="preserve">8:59 PM</t>
  </si>
  <si xmlns="http://schemas.openxmlformats.org/spreadsheetml/2006/main">
    <t xml:space="preserve">8:34 PM</t>
  </si>
  <si xmlns="http://schemas.openxmlformats.org/spreadsheetml/2006/main">
    <t xml:space="preserve">9:13 PM</t>
  </si>
  <si xmlns="http://schemas.openxmlformats.org/spreadsheetml/2006/main">
    <t xml:space="preserve">10h 45m</t>
  </si>
  <si xmlns="http://schemas.openxmlformats.org/spreadsheetml/2006/main">
    <t xml:space="preserve">9:16 PM</t>
  </si>
  <si xmlns="http://schemas.openxmlformats.org/spreadsheetml/2006/main">
    <t xml:space="preserve">10h 8m</t>
  </si>
  <si xmlns="http://schemas.openxmlformats.org/spreadsheetml/2006/main">
    <t xml:space="preserve">8:33 PM</t>
  </si>
  <si xmlns="http://schemas.openxmlformats.org/spreadsheetml/2006/main">
    <t xml:space="preserve">10h 20m</t>
  </si>
  <si xmlns="http://schemas.openxmlformats.org/spreadsheetml/2006/main">
    <t xml:space="preserve">8:22 PM</t>
  </si>
  <si xmlns="http://schemas.openxmlformats.org/spreadsheetml/2006/main">
    <t xml:space="preserve">8:54 PM</t>
  </si>
  <si xmlns="http://schemas.openxmlformats.org/spreadsheetml/2006/main">
    <t xml:space="preserve">230h 9m</t>
  </si>
  <si xmlns="http://schemas.openxmlformats.org/spreadsheetml/2006/main">
    <t xml:space="preserve">DAILY LOGS: MOHIT SINGH</t>
  </si>
  <si xmlns="http://schemas.openxmlformats.org/spreadsheetml/2006/main">
    <t xml:space="preserve">207h 0m</t>
  </si>
  <si xmlns="http://schemas.openxmlformats.org/spreadsheetml/2006/main">
    <t xml:space="preserve">DAILY LOGS: PAHAD SINGH</t>
  </si>
  <si xmlns="http://schemas.openxmlformats.org/spreadsheetml/2006/main">
    <t xml:space="preserve">11:02 AM</t>
  </si>
  <si xmlns="http://schemas.openxmlformats.org/spreadsheetml/2006/main">
    <t xml:space="preserve">Late In (62m)</t>
  </si>
  <si xmlns="http://schemas.openxmlformats.org/spreadsheetml/2006/main">
    <t xml:space="preserve">12:06 PM</t>
  </si>
  <si xmlns="http://schemas.openxmlformats.org/spreadsheetml/2006/main">
    <t xml:space="preserve">Late In (126m)</t>
  </si>
  <si xmlns="http://schemas.openxmlformats.org/spreadsheetml/2006/main">
    <t xml:space="preserve">10h 2m</t>
  </si>
  <si xmlns="http://schemas.openxmlformats.org/spreadsheetml/2006/main">
    <t xml:space="preserve">9:27 PM</t>
  </si>
  <si xmlns="http://schemas.openxmlformats.org/spreadsheetml/2006/main">
    <t xml:space="preserve">3:16 PM</t>
  </si>
  <si xmlns="http://schemas.openxmlformats.org/spreadsheetml/2006/main">
    <t xml:space="preserve">Early Out (224m)</t>
  </si>
  <si xmlns="http://schemas.openxmlformats.org/spreadsheetml/2006/main">
    <t xml:space="preserve">187h 13m</t>
  </si>
  <si xmlns="http://schemas.openxmlformats.org/spreadsheetml/2006/main">
    <t xml:space="preserve">DAILY LOGS: PARAG MALI</t>
  </si>
  <si xmlns="http://schemas.openxmlformats.org/spreadsheetml/2006/main">
    <t xml:space="preserve">8:44 PM</t>
  </si>
  <si xmlns="http://schemas.openxmlformats.org/spreadsheetml/2006/main">
    <t xml:space="preserve">9:26 PM</t>
  </si>
  <si xmlns="http://schemas.openxmlformats.org/spreadsheetml/2006/main">
    <t xml:space="preserve">11h 39m</t>
  </si>
  <si xmlns="http://schemas.openxmlformats.org/spreadsheetml/2006/main">
    <t xml:space="preserve">8:50 PM</t>
  </si>
  <si xmlns="http://schemas.openxmlformats.org/spreadsheetml/2006/main">
    <t xml:space="preserve">11h 5m</t>
  </si>
  <si xmlns="http://schemas.openxmlformats.org/spreadsheetml/2006/main">
    <t xml:space="preserve">11h 4m</t>
  </si>
  <si xmlns="http://schemas.openxmlformats.org/spreadsheetml/2006/main">
    <t xml:space="preserve">10h 44m</t>
  </si>
  <si xmlns="http://schemas.openxmlformats.org/spreadsheetml/2006/main">
    <t xml:space="preserve">8:30 PM</t>
  </si>
  <si xmlns="http://schemas.openxmlformats.org/spreadsheetml/2006/main">
    <t xml:space="preserve">10h 39m</t>
  </si>
  <si xmlns="http://schemas.openxmlformats.org/spreadsheetml/2006/main">
    <t xml:space="preserve">11h 23m</t>
  </si>
  <si xmlns="http://schemas.openxmlformats.org/spreadsheetml/2006/main">
    <t xml:space="preserve">9:18 PM</t>
  </si>
  <si xmlns="http://schemas.openxmlformats.org/spreadsheetml/2006/main">
    <t xml:space="preserve">11h 29m</t>
  </si>
  <si xmlns="http://schemas.openxmlformats.org/spreadsheetml/2006/main">
    <t xml:space="preserve">11h 32m</t>
  </si>
  <si xmlns="http://schemas.openxmlformats.org/spreadsheetml/2006/main">
    <t xml:space="preserve">9:02 PM</t>
  </si>
  <si xmlns="http://schemas.openxmlformats.org/spreadsheetml/2006/main">
    <t xml:space="preserve">11h 13m</t>
  </si>
  <si xmlns="http://schemas.openxmlformats.org/spreadsheetml/2006/main">
    <t xml:space="preserve">193h 1m</t>
  </si>
  <si xmlns="http://schemas.openxmlformats.org/spreadsheetml/2006/main">
    <t xml:space="preserve">DAILY LOGS: PARTH SHETH</t>
  </si>
  <si xmlns="http://schemas.openxmlformats.org/spreadsheetml/2006/main">
    <t xml:space="preserve">4h 38m</t>
  </si>
  <si xmlns="http://schemas.openxmlformats.org/spreadsheetml/2006/main">
    <t xml:space="preserve">Late In (37m), Early Out (223m)</t>
  </si>
  <si xmlns="http://schemas.openxmlformats.org/spreadsheetml/2006/main">
    <t xml:space="preserve">11:28 AM</t>
  </si>
  <si xmlns="http://schemas.openxmlformats.org/spreadsheetml/2006/main">
    <t xml:space="preserve">8h 2m</t>
  </si>
  <si xmlns="http://schemas.openxmlformats.org/spreadsheetml/2006/main">
    <t xml:space="preserve">11:13 AM</t>
  </si>
  <si xmlns="http://schemas.openxmlformats.org/spreadsheetml/2006/main">
    <t xml:space="preserve">Late In (73m)</t>
  </si>
  <si xmlns="http://schemas.openxmlformats.org/spreadsheetml/2006/main">
    <t xml:space="preserve">8:05 PM</t>
  </si>
  <si xmlns="http://schemas.openxmlformats.org/spreadsheetml/2006/main">
    <t xml:space="preserve">166h 47m</t>
  </si>
  <si xmlns="http://schemas.openxmlformats.org/spreadsheetml/2006/main">
    <t xml:space="preserve">DAILY LOGS: SANTOSH BARMAN</t>
  </si>
  <si xmlns="http://schemas.openxmlformats.org/spreadsheetml/2006/main">
    <t xml:space="preserve">7:34 AM</t>
  </si>
  <si xmlns="http://schemas.openxmlformats.org/spreadsheetml/2006/main">
    <t xml:space="preserve">Late In (289m)</t>
  </si>
  <si xmlns="http://schemas.openxmlformats.org/spreadsheetml/2006/main">
    <t xml:space="preserve">6:40 AM</t>
  </si>
  <si xmlns="http://schemas.openxmlformats.org/spreadsheetml/2006/main">
    <t xml:space="preserve">Late In (269m)</t>
  </si>
  <si xmlns="http://schemas.openxmlformats.org/spreadsheetml/2006/main">
    <t xml:space="preserve">Late In (277m)</t>
  </si>
  <si xmlns="http://schemas.openxmlformats.org/spreadsheetml/2006/main">
    <t xml:space="preserve">5:41 AM</t>
  </si>
  <si xmlns="http://schemas.openxmlformats.org/spreadsheetml/2006/main">
    <t xml:space="preserve">Late In (282m)</t>
  </si>
  <si xmlns="http://schemas.openxmlformats.org/spreadsheetml/2006/main">
    <t xml:space="preserve">5:34 AM</t>
  </si>
  <si xmlns="http://schemas.openxmlformats.org/spreadsheetml/2006/main">
    <t xml:space="preserve">Late In (291m), Early Out (85m)</t>
  </si>
  <si xmlns="http://schemas.openxmlformats.org/spreadsheetml/2006/main">
    <t xml:space="preserve">5:59 AM</t>
  </si>
  <si xmlns="http://schemas.openxmlformats.org/spreadsheetml/2006/main">
    <t xml:space="preserve">Late In (261m), Early Out (60m)</t>
  </si>
  <si xmlns="http://schemas.openxmlformats.org/spreadsheetml/2006/main">
    <t xml:space="preserve">6:32 AM</t>
  </si>
  <si xmlns="http://schemas.openxmlformats.org/spreadsheetml/2006/main">
    <t xml:space="preserve">10h 59m</t>
  </si>
  <si xmlns="http://schemas.openxmlformats.org/spreadsheetml/2006/main">
    <t xml:space="preserve">Late In (273m), Early Out (27m)</t>
  </si>
  <si xmlns="http://schemas.openxmlformats.org/spreadsheetml/2006/main">
    <t xml:space="preserve">4:33 AM</t>
  </si>
  <si xmlns="http://schemas.openxmlformats.org/spreadsheetml/2006/main">
    <t xml:space="preserve">Late In (262m), Early Out (146m)</t>
  </si>
  <si xmlns="http://schemas.openxmlformats.org/spreadsheetml/2006/main">
    <t xml:space="preserve">4:38 AM</t>
  </si>
  <si xmlns="http://schemas.openxmlformats.org/spreadsheetml/2006/main">
    <t xml:space="preserve">9h 58m</t>
  </si>
  <si xmlns="http://schemas.openxmlformats.org/spreadsheetml/2006/main">
    <t xml:space="preserve">Late In (271m), Early Out (91m)</t>
  </si>
  <si xmlns="http://schemas.openxmlformats.org/spreadsheetml/2006/main">
    <t xml:space="preserve">Late In (269m), Early Out (141m)</t>
  </si>
  <si xmlns="http://schemas.openxmlformats.org/spreadsheetml/2006/main">
    <t xml:space="preserve">4:57 AM</t>
  </si>
  <si xmlns="http://schemas.openxmlformats.org/spreadsheetml/2006/main">
    <t xml:space="preserve">Late In (281m), Early Out (122m)</t>
  </si>
  <si xmlns="http://schemas.openxmlformats.org/spreadsheetml/2006/main">
    <t xml:space="preserve">6:03 AM</t>
  </si>
  <si xmlns="http://schemas.openxmlformats.org/spreadsheetml/2006/main">
    <t xml:space="preserve">Late In (269m), Early Out (56m)</t>
  </si>
  <si xmlns="http://schemas.openxmlformats.org/spreadsheetml/2006/main">
    <t xml:space="preserve">6:57 AM</t>
  </si>
  <si xmlns="http://schemas.openxmlformats.org/spreadsheetml/2006/main">
    <t xml:space="preserve">5:29 AM</t>
  </si>
  <si xmlns="http://schemas.openxmlformats.org/spreadsheetml/2006/main">
    <t xml:space="preserve">Late In (267m), Early Out (90m)</t>
  </si>
  <si xmlns="http://schemas.openxmlformats.org/spreadsheetml/2006/main">
    <t xml:space="preserve">5:23 AM</t>
  </si>
  <si xmlns="http://schemas.openxmlformats.org/spreadsheetml/2006/main">
    <t xml:space="preserve">10h 1m</t>
  </si>
  <si xmlns="http://schemas.openxmlformats.org/spreadsheetml/2006/main">
    <t xml:space="preserve">Late In (263m), Early Out (96m)</t>
  </si>
  <si xmlns="http://schemas.openxmlformats.org/spreadsheetml/2006/main">
    <t xml:space="preserve">5:13 AM</t>
  </si>
  <si xmlns="http://schemas.openxmlformats.org/spreadsheetml/2006/main">
    <t xml:space="preserve">Late In (263m), Early Out (106m)</t>
  </si>
  <si xmlns="http://schemas.openxmlformats.org/spreadsheetml/2006/main">
    <t xml:space="preserve">6:34 AM</t>
  </si>
  <si xmlns="http://schemas.openxmlformats.org/spreadsheetml/2006/main">
    <t xml:space="preserve">11h 0m</t>
  </si>
  <si xmlns="http://schemas.openxmlformats.org/spreadsheetml/2006/main">
    <t xml:space="preserve">Late In (275m), Early Out (25m)</t>
  </si>
  <si xmlns="http://schemas.openxmlformats.org/spreadsheetml/2006/main">
    <t xml:space="preserve">6:37 AM</t>
  </si>
  <si xmlns="http://schemas.openxmlformats.org/spreadsheetml/2006/main">
    <t xml:space="preserve">Late In (275m), Early Out (22m)</t>
  </si>
  <si xmlns="http://schemas.openxmlformats.org/spreadsheetml/2006/main">
    <t xml:space="preserve">Late In (270m)</t>
  </si>
  <si xmlns="http://schemas.openxmlformats.org/spreadsheetml/2006/main">
    <t xml:space="preserve">5:39 AM</t>
  </si>
  <si xmlns="http://schemas.openxmlformats.org/spreadsheetml/2006/main">
    <t xml:space="preserve">Late In (269m), Early Out (80m)</t>
  </si>
  <si xmlns="http://schemas.openxmlformats.org/spreadsheetml/2006/main">
    <t xml:space="preserve">6:56 AM</t>
  </si>
  <si xmlns="http://schemas.openxmlformats.org/spreadsheetml/2006/main">
    <t xml:space="preserve">11h 28m</t>
  </si>
  <si xmlns="http://schemas.openxmlformats.org/spreadsheetml/2006/main">
    <t xml:space="preserve">5:00 AM</t>
  </si>
  <si xmlns="http://schemas.openxmlformats.org/spreadsheetml/2006/main">
    <t xml:space="preserve">10h 22m</t>
  </si>
  <si xmlns="http://schemas.openxmlformats.org/spreadsheetml/2006/main">
    <t xml:space="preserve">Late In (218m), Early Out (119m)</t>
  </si>
  <si xmlns="http://schemas.openxmlformats.org/spreadsheetml/2006/main">
    <t xml:space="preserve">238h 9m</t>
  </si>
  <si xmlns="http://schemas.openxmlformats.org/spreadsheetml/2006/main">
    <t xml:space="preserve">DAILY LOGS: SREEKUMAR NAIR</t>
  </si>
  <si xmlns="http://schemas.openxmlformats.org/spreadsheetml/2006/main">
    <t xml:space="preserve">11:50 PM</t>
  </si>
  <si xmlns="http://schemas.openxmlformats.org/spreadsheetml/2006/main">
    <t xml:space="preserve">11h 43m</t>
  </si>
  <si xmlns="http://schemas.openxmlformats.org/spreadsheetml/2006/main">
    <t xml:space="preserve">Late In (127m)</t>
  </si>
  <si xmlns="http://schemas.openxmlformats.org/spreadsheetml/2006/main">
    <t xml:space="preserve">12:49 PM</t>
  </si>
  <si xmlns="http://schemas.openxmlformats.org/spreadsheetml/2006/main">
    <t xml:space="preserve">10:19 PM</t>
  </si>
  <si xmlns="http://schemas.openxmlformats.org/spreadsheetml/2006/main">
    <t xml:space="preserve">Late In (169m)</t>
  </si>
  <si xmlns="http://schemas.openxmlformats.org/spreadsheetml/2006/main">
    <t xml:space="preserve">9:50 PM</t>
  </si>
  <si xmlns="http://schemas.openxmlformats.org/spreadsheetml/2006/main">
    <t xml:space="preserve">1:26 PM</t>
  </si>
  <si xmlns="http://schemas.openxmlformats.org/spreadsheetml/2006/main">
    <t xml:space="preserve">10:54 PM</t>
  </si>
  <si xmlns="http://schemas.openxmlformats.org/spreadsheetml/2006/main">
    <t xml:space="preserve">Late In (206m)</t>
  </si>
  <si xmlns="http://schemas.openxmlformats.org/spreadsheetml/2006/main">
    <t xml:space="preserve">10:25 PM</t>
  </si>
  <si xmlns="http://schemas.openxmlformats.org/spreadsheetml/2006/main">
    <t xml:space="preserve">10:52 PM</t>
  </si>
  <si xmlns="http://schemas.openxmlformats.org/spreadsheetml/2006/main">
    <t xml:space="preserve">12h 4m</t>
  </si>
  <si xmlns="http://schemas.openxmlformats.org/spreadsheetml/2006/main">
    <t xml:space="preserve">10:30 PM</t>
  </si>
  <si xmlns="http://schemas.openxmlformats.org/spreadsheetml/2006/main">
    <t xml:space="preserve">11:31 AM</t>
  </si>
  <si xmlns="http://schemas.openxmlformats.org/spreadsheetml/2006/main">
    <t xml:space="preserve">10:12 PM</t>
  </si>
  <si xmlns="http://schemas.openxmlformats.org/spreadsheetml/2006/main">
    <t xml:space="preserve">Late In (91m)</t>
  </si>
  <si xmlns="http://schemas.openxmlformats.org/spreadsheetml/2006/main">
    <t xml:space="preserve">11:25 PM</t>
  </si>
  <si xmlns="http://schemas.openxmlformats.org/spreadsheetml/2006/main">
    <t xml:space="preserve">12h 26m</t>
  </si>
  <si xmlns="http://schemas.openxmlformats.org/spreadsheetml/2006/main">
    <t xml:space="preserve">1:52 PM</t>
  </si>
  <si xmlns="http://schemas.openxmlformats.org/spreadsheetml/2006/main">
    <t xml:space="preserve">11:59 PM</t>
  </si>
  <si xmlns="http://schemas.openxmlformats.org/spreadsheetml/2006/main">
    <t xml:space="preserve">Late In (232m)</t>
  </si>
  <si xmlns="http://schemas.openxmlformats.org/spreadsheetml/2006/main">
    <t xml:space="preserve">11:58 AM</t>
  </si>
  <si xmlns="http://schemas.openxmlformats.org/spreadsheetml/2006/main">
    <t xml:space="preserve">Late In (118m)</t>
  </si>
  <si xmlns="http://schemas.openxmlformats.org/spreadsheetml/2006/main">
    <t xml:space="preserve">12:37 PM</t>
  </si>
  <si xmlns="http://schemas.openxmlformats.org/spreadsheetml/2006/main">
    <t xml:space="preserve">11:36 PM</t>
  </si>
  <si xmlns="http://schemas.openxmlformats.org/spreadsheetml/2006/main">
    <t xml:space="preserve">Late In (157m)</t>
  </si>
  <si xmlns="http://schemas.openxmlformats.org/spreadsheetml/2006/main">
    <t xml:space="preserve">10:16 PM</t>
  </si>
  <si xmlns="http://schemas.openxmlformats.org/spreadsheetml/2006/main">
    <t xml:space="preserve">11h 21m</t>
  </si>
  <si xmlns="http://schemas.openxmlformats.org/spreadsheetml/2006/main">
    <t xml:space="preserve">1:00 PM</t>
  </si>
  <si xmlns="http://schemas.openxmlformats.org/spreadsheetml/2006/main">
    <t xml:space="preserve">10:48 PM</t>
  </si>
  <si xmlns="http://schemas.openxmlformats.org/spreadsheetml/2006/main">
    <t xml:space="preserve">Late In (180m)</t>
  </si>
  <si xmlns="http://schemas.openxmlformats.org/spreadsheetml/2006/main">
    <t xml:space="preserve">2:07 PM</t>
  </si>
  <si xmlns="http://schemas.openxmlformats.org/spreadsheetml/2006/main">
    <t xml:space="preserve">11:40 PM</t>
  </si>
  <si xmlns="http://schemas.openxmlformats.org/spreadsheetml/2006/main">
    <t xml:space="preserve">Late In (247m)</t>
  </si>
  <si xmlns="http://schemas.openxmlformats.org/spreadsheetml/2006/main">
    <t xml:space="preserve">11:39 AM</t>
  </si>
  <si xmlns="http://schemas.openxmlformats.org/spreadsheetml/2006/main">
    <t xml:space="preserve">Late In (99m)</t>
  </si>
  <si xmlns="http://schemas.openxmlformats.org/spreadsheetml/2006/main">
    <t xml:space="preserve">11:15 AM</t>
  </si>
  <si xmlns="http://schemas.openxmlformats.org/spreadsheetml/2006/main">
    <t xml:space="preserve">Late In (75m)</t>
  </si>
  <si xmlns="http://schemas.openxmlformats.org/spreadsheetml/2006/main">
    <t xml:space="preserve">11:14 AM</t>
  </si>
  <si xmlns="http://schemas.openxmlformats.org/spreadsheetml/2006/main">
    <t xml:space="preserve">9:52 PM</t>
  </si>
  <si xmlns="http://schemas.openxmlformats.org/spreadsheetml/2006/main">
    <t xml:space="preserve">Late In (74m)</t>
  </si>
  <si xmlns="http://schemas.openxmlformats.org/spreadsheetml/2006/main">
    <t xml:space="preserve">1:40 PM</t>
  </si>
  <si xmlns="http://schemas.openxmlformats.org/spreadsheetml/2006/main">
    <t xml:space="preserve">Late In (220m)</t>
  </si>
  <si xmlns="http://schemas.openxmlformats.org/spreadsheetml/2006/main">
    <t xml:space="preserve">11:54 AM</t>
  </si>
  <si xmlns="http://schemas.openxmlformats.org/spreadsheetml/2006/main">
    <t xml:space="preserve">10:03 PM</t>
  </si>
  <si xmlns="http://schemas.openxmlformats.org/spreadsheetml/2006/main">
    <t xml:space="preserve">Late In (114m)</t>
  </si>
  <si xmlns="http://schemas.openxmlformats.org/spreadsheetml/2006/main">
    <t xml:space="preserve">12:33 PM</t>
  </si>
  <si xmlns="http://schemas.openxmlformats.org/spreadsheetml/2006/main">
    <t xml:space="preserve">Late In (153m)</t>
  </si>
  <si xmlns="http://schemas.openxmlformats.org/spreadsheetml/2006/main">
    <t xml:space="preserve">256h 30m</t>
  </si>
  <si xmlns="http://schemas.openxmlformats.org/spreadsheetml/2006/main">
    <t xml:space="preserve">DAILY LOGS: SUNIL THAKUR</t>
  </si>
  <si xmlns="http://schemas.openxmlformats.org/spreadsheetml/2006/main">
    <t xml:space="preserve">9:58 PM</t>
  </si>
  <si xmlns="http://schemas.openxmlformats.org/spreadsheetml/2006/main">
    <t xml:space="preserve">11h 11m</t>
  </si>
  <si xmlns="http://schemas.openxmlformats.org/spreadsheetml/2006/main">
    <t xml:space="preserve">9:24 PM</t>
  </si>
  <si xmlns="http://schemas.openxmlformats.org/spreadsheetml/2006/main">
    <t xml:space="preserve">11h 38m</t>
  </si>
  <si xmlns="http://schemas.openxmlformats.org/spreadsheetml/2006/main">
    <t xml:space="preserve">12:27 PM</t>
  </si>
  <si xmlns="http://schemas.openxmlformats.org/spreadsheetml/2006/main">
    <t xml:space="preserve">10h 31m</t>
  </si>
  <si xmlns="http://schemas.openxmlformats.org/spreadsheetml/2006/main">
    <t xml:space="preserve">9:32 PM</t>
  </si>
  <si xmlns="http://schemas.openxmlformats.org/spreadsheetml/2006/main">
    <t xml:space="preserve">9:41 PM</t>
  </si>
  <si xmlns="http://schemas.openxmlformats.org/spreadsheetml/2006/main">
    <t xml:space="preserve">9:42 PM</t>
  </si>
  <si xmlns="http://schemas.openxmlformats.org/spreadsheetml/2006/main">
    <t xml:space="preserve">11h 52m</t>
  </si>
  <si xmlns="http://schemas.openxmlformats.org/spreadsheetml/2006/main">
    <t xml:space="preserve">9:48 PM</t>
  </si>
  <si xmlns="http://schemas.openxmlformats.org/spreadsheetml/2006/main">
    <t xml:space="preserve">11h 40m</t>
  </si>
  <si xmlns="http://schemas.openxmlformats.org/spreadsheetml/2006/main">
    <t xml:space="preserve">11h 1m</t>
  </si>
  <si xmlns="http://schemas.openxmlformats.org/spreadsheetml/2006/main">
    <t xml:space="preserve">12:15 PM</t>
  </si>
  <si xmlns="http://schemas.openxmlformats.org/spreadsheetml/2006/main">
    <t xml:space="preserve">Late In (135m)</t>
  </si>
  <si xmlns="http://schemas.openxmlformats.org/spreadsheetml/2006/main">
    <t xml:space="preserve">9:43 PM</t>
  </si>
  <si xmlns="http://schemas.openxmlformats.org/spreadsheetml/2006/main">
    <t xml:space="preserve">11h 18m</t>
  </si>
  <si xmlns="http://schemas.openxmlformats.org/spreadsheetml/2006/main">
    <t xml:space="preserve">9:35 PM</t>
  </si>
  <si xmlns="http://schemas.openxmlformats.org/spreadsheetml/2006/main">
    <t xml:space="preserve">11:49 AM</t>
  </si>
  <si xmlns="http://schemas.openxmlformats.org/spreadsheetml/2006/main">
    <t xml:space="preserve">Late In (109m)</t>
  </si>
  <si xmlns="http://schemas.openxmlformats.org/spreadsheetml/2006/main">
    <t xml:space="preserve">206h 57m</t>
  </si>
  <si xmlns="http://schemas.openxmlformats.org/spreadsheetml/2006/main">
    <t xml:space="preserve">DAILY LOGS: VIKAS CHANDRA</t>
  </si>
  <si xmlns="http://schemas.openxmlformats.org/spreadsheetml/2006/main">
    <t xml:space="preserve">6h 35m</t>
  </si>
  <si xmlns="http://schemas.openxmlformats.org/spreadsheetml/2006/main">
    <t xml:space="preserve">Late In (59m), Early Out (86m)</t>
  </si>
  <si xmlns="http://schemas.openxmlformats.org/spreadsheetml/2006/main">
    <t xml:space="preserve">9:34 PM</t>
  </si>
  <si xmlns="http://schemas.openxmlformats.org/spreadsheetml/2006/main">
    <t xml:space="preserve">11h 24m</t>
  </si>
  <si xmlns="http://schemas.openxmlformats.org/spreadsheetml/2006/main">
    <t xml:space="preserve">10h 5m</t>
  </si>
  <si xmlns="http://schemas.openxmlformats.org/spreadsheetml/2006/main">
    <t xml:space="preserve">10h 18m</t>
  </si>
  <si xmlns="http://schemas.openxmlformats.org/spreadsheetml/2006/main">
    <t xml:space="preserve">11h 36m</t>
  </si>
  <si xmlns="http://schemas.openxmlformats.org/spreadsheetml/2006/main">
    <t xml:space="preserve">211h 40m</t>
  </si>
  <si xmlns="http://schemas.openxmlformats.org/spreadsheetml/2006/main">
    <t xml:space="preserve">SURAJ FORWARDERS — ATTENDANCE &amp; LEAVE REGISTER</t>
  </si>
  <si xmlns="http://schemas.openxmlformats.org/spreadsheetml/2006/main">
    <t xml:space="preserve">Period: 01 Sep 2026 to 30 Sep 2026   |   Generated on: 16-Oct-2026 14:53   |   Staff Count: 7</t>
  </si>
  <si xmlns="http://schemas.openxmlformats.org/spreadsheetml/2006/main">
    <t xml:space="preserve">BHOOMI PARMAR</t>
  </si>
  <si xmlns="http://schemas.openxmlformats.org/spreadsheetml/2006/main">
    <t xml:space="preserve">BURHANUDDIN GODHRAWALA</t>
  </si>
  <si xmlns="http://schemas.openxmlformats.org/spreadsheetml/2006/main">
    <t xml:space="preserve">DHARMENDRA VINZAVA</t>
  </si>
  <si xmlns="http://schemas.openxmlformats.org/spreadsheetml/2006/main">
    <t xml:space="preserve">DIPAK  RAVAT</t>
  </si>
  <si xmlns="http://schemas.openxmlformats.org/spreadsheetml/2006/main">
    <t xml:space="preserve">ELBIN KURIAN</t>
  </si>
  <si xmlns="http://schemas.openxmlformats.org/spreadsheetml/2006/main">
    <t xml:space="preserve">NIRALI PATEL</t>
  </si>
  <si xmlns="http://schemas.openxmlformats.org/spreadsheetml/2006/main">
    <t xml:space="preserve">PARAS MAKWANA</t>
  </si>
  <si xmlns="http://schemas.openxmlformats.org/spreadsheetml/2006/main">
    <t xml:space="preserve">DAILY LOGS: BHOOMI PARMAR</t>
  </si>
  <si xmlns="http://schemas.openxmlformats.org/spreadsheetml/2006/main">
    <t xml:space="preserve">Late In (9m)</t>
  </si>
  <si xmlns="http://schemas.openxmlformats.org/spreadsheetml/2006/main">
    <t xml:space="preserve">Late In (12m)</t>
  </si>
  <si xmlns="http://schemas.openxmlformats.org/spreadsheetml/2006/main">
    <t xml:space="preserve">Early Out (2m)</t>
  </si>
  <si xmlns="http://schemas.openxmlformats.org/spreadsheetml/2006/main">
    <t xml:space="preserve">Late In (4m)</t>
  </si>
  <si xmlns="http://schemas.openxmlformats.org/spreadsheetml/2006/main">
    <t xml:space="preserve">Late In (6m)</t>
  </si>
  <si xmlns="http://schemas.openxmlformats.org/spreadsheetml/2006/main">
    <t xml:space="preserve">9:21 PM</t>
  </si>
  <si xmlns="http://schemas.openxmlformats.org/spreadsheetml/2006/main">
    <t xml:space="preserve">83h 31m</t>
  </si>
  <si xmlns="http://schemas.openxmlformats.org/spreadsheetml/2006/main">
    <t xml:space="preserve">DAILY LOGS: BURHANUDDIN GODHRAWALA</t>
  </si>
  <si xmlns="http://schemas.openxmlformats.org/spreadsheetml/2006/main">
    <t xml:space="preserve">4:10 PM</t>
  </si>
  <si xmlns="http://schemas.openxmlformats.org/spreadsheetml/2006/main">
    <t xml:space="preserve">3h 26m</t>
  </si>
  <si xmlns="http://schemas.openxmlformats.org/spreadsheetml/2006/main">
    <t xml:space="preserve">Late In (370m)</t>
  </si>
  <si xmlns="http://schemas.openxmlformats.org/spreadsheetml/2006/main">
    <t xml:space="preserve">11:06 AM</t>
  </si>
  <si xmlns="http://schemas.openxmlformats.org/spreadsheetml/2006/main">
    <t xml:space="preserve">8h 17m</t>
  </si>
  <si xmlns="http://schemas.openxmlformats.org/spreadsheetml/2006/main">
    <t xml:space="preserve">Late In (66m)</t>
  </si>
  <si xmlns="http://schemas.openxmlformats.org/spreadsheetml/2006/main">
    <t xml:space="preserve">163h 22m</t>
  </si>
  <si xmlns="http://schemas.openxmlformats.org/spreadsheetml/2006/main">
    <t xml:space="preserve">DAILY LOGS: DHARMENDRA VINZAVA</t>
  </si>
  <si xmlns="http://schemas.openxmlformats.org/spreadsheetml/2006/main">
    <t xml:space="preserve">8h 15m</t>
  </si>
  <si xmlns="http://schemas.openxmlformats.org/spreadsheetml/2006/main">
    <t xml:space="preserve">8h 38m</t>
  </si>
  <si xmlns="http://schemas.openxmlformats.org/spreadsheetml/2006/main">
    <t xml:space="preserve">152h 9m</t>
  </si>
  <si xmlns="http://schemas.openxmlformats.org/spreadsheetml/2006/main">
    <t xml:space="preserve">DAILY LOGS: DIPAK  RAVAT</t>
  </si>
  <si xmlns="http://schemas.openxmlformats.org/spreadsheetml/2006/main">
    <t xml:space="preserve">11:35 AM</t>
  </si>
  <si xmlns="http://schemas.openxmlformats.org/spreadsheetml/2006/main">
    <t xml:space="preserve">Late In (95m)</t>
  </si>
  <si xmlns="http://schemas.openxmlformats.org/spreadsheetml/2006/main">
    <t xml:space="preserve">1:17 PM</t>
  </si>
  <si xmlns="http://schemas.openxmlformats.org/spreadsheetml/2006/main">
    <t xml:space="preserve">Late In (197m)</t>
  </si>
  <si xmlns="http://schemas.openxmlformats.org/spreadsheetml/2006/main">
    <t xml:space="preserve">11:21 AM</t>
  </si>
  <si xmlns="http://schemas.openxmlformats.org/spreadsheetml/2006/main">
    <t xml:space="preserve">Late In (81m)</t>
  </si>
  <si xmlns="http://schemas.openxmlformats.org/spreadsheetml/2006/main">
    <t xml:space="preserve">8:24 PM</t>
  </si>
  <si xmlns="http://schemas.openxmlformats.org/spreadsheetml/2006/main">
    <t xml:space="preserve">3:37 PM</t>
  </si>
  <si xmlns="http://schemas.openxmlformats.org/spreadsheetml/2006/main">
    <t xml:space="preserve">4h 33m</t>
  </si>
  <si xmlns="http://schemas.openxmlformats.org/spreadsheetml/2006/main">
    <t xml:space="preserve">Late In (63m), Early Out (202m)</t>
  </si>
  <si xmlns="http://schemas.openxmlformats.org/spreadsheetml/2006/main">
    <t xml:space="preserve">11:27 AM</t>
  </si>
  <si xmlns="http://schemas.openxmlformats.org/spreadsheetml/2006/main">
    <t xml:space="preserve">8:26 PM</t>
  </si>
  <si xmlns="http://schemas.openxmlformats.org/spreadsheetml/2006/main">
    <t xml:space="preserve">Late In (87m)</t>
  </si>
  <si xmlns="http://schemas.openxmlformats.org/spreadsheetml/2006/main">
    <t xml:space="preserve">165h 58m</t>
  </si>
  <si xmlns="http://schemas.openxmlformats.org/spreadsheetml/2006/main">
    <t xml:space="preserve">DAILY LOGS: ELBIN KURIAN</t>
  </si>
  <si xmlns="http://schemas.openxmlformats.org/spreadsheetml/2006/main">
    <t xml:space="preserve">1:35 PM</t>
  </si>
  <si xmlns="http://schemas.openxmlformats.org/spreadsheetml/2006/main">
    <t xml:space="preserve">5h 59m</t>
  </si>
  <si xmlns="http://schemas.openxmlformats.org/spreadsheetml/2006/main">
    <t xml:space="preserve">Late In (215m)</t>
  </si>
  <si xmlns="http://schemas.openxmlformats.org/spreadsheetml/2006/main">
    <t xml:space="preserve">217h 12m</t>
  </si>
  <si xmlns="http://schemas.openxmlformats.org/spreadsheetml/2006/main">
    <t xml:space="preserve">DAILY LOGS: NIRALI PATEL</t>
  </si>
  <si xmlns="http://schemas.openxmlformats.org/spreadsheetml/2006/main">
    <t xml:space="preserve">214h 22m</t>
  </si>
  <si xmlns="http://schemas.openxmlformats.org/spreadsheetml/2006/main">
    <t xml:space="preserve">DAILY LOGS: PARAS MAKWANA</t>
  </si>
  <si xmlns="http://schemas.openxmlformats.org/spreadsheetml/2006/main">
    <t xml:space="preserve">9:01 PM</t>
  </si>
  <si xmlns="http://schemas.openxmlformats.org/spreadsheetml/2006/main">
    <t xml:space="preserve">11h 33m</t>
  </si>
  <si xmlns="http://schemas.openxmlformats.org/spreadsheetml/2006/main">
    <t xml:space="preserve">10h 21m</t>
  </si>
  <si xmlns="http://schemas.openxmlformats.org/spreadsheetml/2006/main">
    <t xml:space="preserve">233h 34m</t>
  </si>
  <si xmlns="http://schemas.openxmlformats.org/spreadsheetml/2006/main">
    <t xml:space="preserve">SURAJ FORWARDERS &amp; SHIPPING AGENCIES — ATTENDANCE &amp; LEAVE REGISTER</t>
  </si>
  <si xmlns="http://schemas.openxmlformats.org/spreadsheetml/2006/main">
    <t xml:space="preserve">Period: 01 Sep 2026 to 30 Sep 2026   |   Generated on: 16-Oct-2026 14:53   |   Staff Count: 29</t>
  </si>
  <si xmlns="http://schemas.openxmlformats.org/spreadsheetml/2006/main">
    <t xml:space="preserve">AMIT MISHRA</t>
  </si>
  <si xmlns="http://schemas.openxmlformats.org/spreadsheetml/2006/main">
    <t xml:space="preserve">ANAND RAJPUT</t>
  </si>
  <si xmlns="http://schemas.openxmlformats.org/spreadsheetml/2006/main">
    <t xml:space="preserve">ANURAG PILLAI</t>
  </si>
  <si xmlns="http://schemas.openxmlformats.org/spreadsheetml/2006/main">
    <t xml:space="preserve">BHALUSINH RATHOD</t>
  </si>
  <si xmlns="http://schemas.openxmlformats.org/spreadsheetml/2006/main">
    <t xml:space="preserve">BHARAT DEVASI</t>
  </si>
  <si xmlns="http://schemas.openxmlformats.org/spreadsheetml/2006/main">
    <t xml:space="preserve">CHETANBHAI PARMAR</t>
  </si>
  <si xmlns="http://schemas.openxmlformats.org/spreadsheetml/2006/main">
    <t xml:space="preserve">DHARMENDRA KUMAR DIXIT</t>
  </si>
  <si xmlns="http://schemas.openxmlformats.org/spreadsheetml/2006/main">
    <t xml:space="preserve">DURGESH PANDEY</t>
  </si>
  <si xmlns="http://schemas.openxmlformats.org/spreadsheetml/2006/main">
    <t xml:space="preserve">ELAIYARAJA ADIDRAVID</t>
  </si>
  <si xmlns="http://schemas.openxmlformats.org/spreadsheetml/2006/main">
    <t xml:space="preserve">GAURAV SINGH</t>
  </si>
  <si xmlns="http://schemas.openxmlformats.org/spreadsheetml/2006/main">
    <t xml:space="preserve">HIMMAT PANWAR</t>
  </si>
  <si xmlns="http://schemas.openxmlformats.org/spreadsheetml/2006/main">
    <t xml:space="preserve">JITENDRAKUMAR MAKWANA</t>
  </si>
  <si xmlns="http://schemas.openxmlformats.org/spreadsheetml/2006/main">
    <t xml:space="preserve">JITENDRASINH SHEKHAVAT</t>
  </si>
  <si xmlns="http://schemas.openxmlformats.org/spreadsheetml/2006/main">
    <t xml:space="preserve">KALPESH CHAUHAN</t>
  </si>
  <si xmlns="http://schemas.openxmlformats.org/spreadsheetml/2006/main">
    <t xml:space="preserve">KAPIL GOSWAMI</t>
  </si>
  <si xmlns="http://schemas.openxmlformats.org/spreadsheetml/2006/main">
    <t xml:space="preserve">KIRIT BHANUSHALI</t>
  </si>
  <si xmlns="http://schemas.openxmlformats.org/spreadsheetml/2006/main">
    <t xml:space="preserve">MAHESH PATIL</t>
  </si>
  <si xmlns="http://schemas.openxmlformats.org/spreadsheetml/2006/main">
    <t xml:space="preserve">MAJHAR KHAN</t>
  </si>
  <si xmlns="http://schemas.openxmlformats.org/spreadsheetml/2006/main">
    <t xml:space="preserve">MANUBHAI RAVAL</t>
  </si>
  <si xmlns="http://schemas.openxmlformats.org/spreadsheetml/2006/main">
    <t xml:space="preserve">PARASMAL MARVADI</t>
  </si>
  <si xmlns="http://schemas.openxmlformats.org/spreadsheetml/2006/main">
    <t xml:space="preserve">PRAKASH DARJI</t>
  </si>
  <si xmlns="http://schemas.openxmlformats.org/spreadsheetml/2006/main">
    <t xml:space="preserve">RAHUL VAGHELA</t>
  </si>
  <si xmlns="http://schemas.openxmlformats.org/spreadsheetml/2006/main">
    <t xml:space="preserve">SANAL KUMAR</t>
  </si>
  <si xmlns="http://schemas.openxmlformats.org/spreadsheetml/2006/main">
    <t xml:space="preserve">SUNIL HARINDRAN</t>
  </si>
  <si xmlns="http://schemas.openxmlformats.org/spreadsheetml/2006/main">
    <t xml:space="preserve">SURAJ SUDHAKARAN</t>
  </si>
  <si xmlns="http://schemas.openxmlformats.org/spreadsheetml/2006/main">
    <t xml:space="preserve">TEJAS PARIKH</t>
  </si>
  <si xmlns="http://schemas.openxmlformats.org/spreadsheetml/2006/main">
    <t xml:space="preserve">VIJAYKUMAR JADEJA</t>
  </si>
  <si xmlns="http://schemas.openxmlformats.org/spreadsheetml/2006/main">
    <t xml:space="preserve">VIKRAMBHAI VAGHELA</t>
  </si>
  <si xmlns="http://schemas.openxmlformats.org/spreadsheetml/2006/main">
    <t xml:space="preserve">VISHNU ADIDRAVID</t>
  </si>
  <si xmlns="http://schemas.openxmlformats.org/spreadsheetml/2006/main">
    <t xml:space="preserve">DAILY LOGS: AMIT MISHRA</t>
  </si>
  <si xmlns="http://schemas.openxmlformats.org/spreadsheetml/2006/main">
    <t xml:space="preserve">7h 43m</t>
  </si>
  <si xmlns="http://schemas.openxmlformats.org/spreadsheetml/2006/main">
    <t xml:space="preserve">9:19 PM</t>
  </si>
  <si xmlns="http://schemas.openxmlformats.org/spreadsheetml/2006/main">
    <t xml:space="preserve">8:55 PM</t>
  </si>
  <si xmlns="http://schemas.openxmlformats.org/spreadsheetml/2006/main">
    <t xml:space="preserve">11:11 AM</t>
  </si>
  <si xmlns="http://schemas.openxmlformats.org/spreadsheetml/2006/main">
    <t xml:space="preserve">Late In (71m)</t>
  </si>
  <si xmlns="http://schemas.openxmlformats.org/spreadsheetml/2006/main">
    <t xml:space="preserve">3:05 PM</t>
  </si>
  <si xmlns="http://schemas.openxmlformats.org/spreadsheetml/2006/main">
    <t xml:space="preserve">4h 21m</t>
  </si>
  <si xmlns="http://schemas.openxmlformats.org/spreadsheetml/2006/main">
    <t xml:space="preserve">Late In (44m), Early Out (235m)</t>
  </si>
  <si xmlns="http://schemas.openxmlformats.org/spreadsheetml/2006/main">
    <t xml:space="preserve">7h 28m</t>
  </si>
  <si xmlns="http://schemas.openxmlformats.org/spreadsheetml/2006/main">
    <t xml:space="preserve">Late In (102m)</t>
  </si>
  <si xmlns="http://schemas.openxmlformats.org/spreadsheetml/2006/main">
    <t xml:space="preserve">8:21 PM</t>
  </si>
  <si xmlns="http://schemas.openxmlformats.org/spreadsheetml/2006/main">
    <t xml:space="preserve">8:48 PM</t>
  </si>
  <si xmlns="http://schemas.openxmlformats.org/spreadsheetml/2006/main">
    <t xml:space="preserve">187h 47m</t>
  </si>
  <si xmlns="http://schemas.openxmlformats.org/spreadsheetml/2006/main">
    <t xml:space="preserve">DAILY LOGS: ANAND RAJPUT</t>
  </si>
  <si xmlns="http://schemas.openxmlformats.org/spreadsheetml/2006/main">
    <t xml:space="preserve">3:24 PM</t>
  </si>
  <si xmlns="http://schemas.openxmlformats.org/spreadsheetml/2006/main">
    <t xml:space="preserve">6h 10m</t>
  </si>
  <si xmlns="http://schemas.openxmlformats.org/spreadsheetml/2006/main">
    <t xml:space="preserve">Early Out (216m)</t>
  </si>
  <si xmlns="http://schemas.openxmlformats.org/spreadsheetml/2006/main">
    <t xml:space="preserve">9:40 AM</t>
  </si>
  <si xmlns="http://schemas.openxmlformats.org/spreadsheetml/2006/main">
    <t xml:space="preserve">5:51 PM</t>
  </si>
  <si xmlns="http://schemas.openxmlformats.org/spreadsheetml/2006/main">
    <t xml:space="preserve">Early Out (68m)</t>
  </si>
  <si xmlns="http://schemas.openxmlformats.org/spreadsheetml/2006/main">
    <t xml:space="preserve">9:31 AM</t>
  </si>
  <si xmlns="http://schemas.openxmlformats.org/spreadsheetml/2006/main">
    <t xml:space="preserve">9:01 AM</t>
  </si>
  <si xmlns="http://schemas.openxmlformats.org/spreadsheetml/2006/main">
    <t xml:space="preserve">8:48 AM</t>
  </si>
  <si xmlns="http://schemas.openxmlformats.org/spreadsheetml/2006/main">
    <t xml:space="preserve">8:49 AM</t>
  </si>
  <si xmlns="http://schemas.openxmlformats.org/spreadsheetml/2006/main">
    <t xml:space="preserve">8:59 AM</t>
  </si>
  <si xmlns="http://schemas.openxmlformats.org/spreadsheetml/2006/main">
    <t xml:space="preserve">10h 3m</t>
  </si>
  <si xmlns="http://schemas.openxmlformats.org/spreadsheetml/2006/main">
    <t xml:space="preserve">10h 40m</t>
  </si>
  <si xmlns="http://schemas.openxmlformats.org/spreadsheetml/2006/main">
    <t xml:space="preserve">8:38 AM</t>
  </si>
  <si xmlns="http://schemas.openxmlformats.org/spreadsheetml/2006/main">
    <t xml:space="preserve">8:37 AM</t>
  </si>
  <si xmlns="http://schemas.openxmlformats.org/spreadsheetml/2006/main">
    <t xml:space="preserve">8:58 AM</t>
  </si>
  <si xmlns="http://schemas.openxmlformats.org/spreadsheetml/2006/main">
    <t xml:space="preserve">211h 22m</t>
  </si>
  <si xmlns="http://schemas.openxmlformats.org/spreadsheetml/2006/main">
    <t xml:space="preserve">DAILY LOGS: ANURAG PILLAI</t>
  </si>
  <si xmlns="http://schemas.openxmlformats.org/spreadsheetml/2006/main">
    <t xml:space="preserve">11h 17m</t>
  </si>
  <si xmlns="http://schemas.openxmlformats.org/spreadsheetml/2006/main">
    <t xml:space="preserve">10:57 PM</t>
  </si>
  <si xmlns="http://schemas.openxmlformats.org/spreadsheetml/2006/main">
    <t xml:space="preserve">12h 6m</t>
  </si>
  <si xmlns="http://schemas.openxmlformats.org/spreadsheetml/2006/main">
    <t xml:space="preserve">10:13 PM</t>
  </si>
  <si xmlns="http://schemas.openxmlformats.org/spreadsheetml/2006/main">
    <t xml:space="preserve">10:17 PM</t>
  </si>
  <si xmlns="http://schemas.openxmlformats.org/spreadsheetml/2006/main">
    <t xml:space="preserve">10:40 PM</t>
  </si>
  <si xmlns="http://schemas.openxmlformats.org/spreadsheetml/2006/main">
    <t xml:space="preserve">11h 26m</t>
  </si>
  <si xmlns="http://schemas.openxmlformats.org/spreadsheetml/2006/main">
    <t xml:space="preserve">10:02 PM</t>
  </si>
  <si xmlns="http://schemas.openxmlformats.org/spreadsheetml/2006/main">
    <t xml:space="preserve">10:14 PM</t>
  </si>
  <si xmlns="http://schemas.openxmlformats.org/spreadsheetml/2006/main">
    <t xml:space="preserve">10:07 PM</t>
  </si>
  <si xmlns="http://schemas.openxmlformats.org/spreadsheetml/2006/main">
    <t xml:space="preserve">157h 43m</t>
  </si>
  <si xmlns="http://schemas.openxmlformats.org/spreadsheetml/2006/main">
    <t xml:space="preserve">DAILY LOGS: BHALUSINH RATHOD</t>
  </si>
  <si xmlns="http://schemas.openxmlformats.org/spreadsheetml/2006/main">
    <t xml:space="preserve">10h 15m</t>
  </si>
  <si xmlns="http://schemas.openxmlformats.org/spreadsheetml/2006/main">
    <t xml:space="preserve">203h 31m</t>
  </si>
  <si xmlns="http://schemas.openxmlformats.org/spreadsheetml/2006/main">
    <t xml:space="preserve">DAILY LOGS: BHARAT DEVASI</t>
  </si>
  <si xmlns="http://schemas.openxmlformats.org/spreadsheetml/2006/main">
    <t xml:space="preserve">11h 7m</t>
  </si>
  <si xmlns="http://schemas.openxmlformats.org/spreadsheetml/2006/main">
    <t xml:space="preserve">1:04 PM</t>
  </si>
  <si xmlns="http://schemas.openxmlformats.org/spreadsheetml/2006/main">
    <t xml:space="preserve">Early Out (356m)</t>
  </si>
  <si xmlns="http://schemas.openxmlformats.org/spreadsheetml/2006/main">
    <t xml:space="preserve">11:22 AM</t>
  </si>
  <si xmlns="http://schemas.openxmlformats.org/spreadsheetml/2006/main">
    <t xml:space="preserve">8h 11m</t>
  </si>
  <si xmlns="http://schemas.openxmlformats.org/spreadsheetml/2006/main">
    <t xml:space="preserve">Late In (82m)</t>
  </si>
  <si xmlns="http://schemas.openxmlformats.org/spreadsheetml/2006/main">
    <t xml:space="preserve">9:10 PM</t>
  </si>
  <si xmlns="http://schemas.openxmlformats.org/spreadsheetml/2006/main">
    <t xml:space="preserve">9:29 PM</t>
  </si>
  <si xmlns="http://schemas.openxmlformats.org/spreadsheetml/2006/main">
    <t xml:space="preserve">186h 23m</t>
  </si>
  <si xmlns="http://schemas.openxmlformats.org/spreadsheetml/2006/main">
    <t xml:space="preserve">DAILY LOGS: CHETANBHAI PARMAR</t>
  </si>
  <si xmlns="http://schemas.openxmlformats.org/spreadsheetml/2006/main">
    <t xml:space="preserve">4h 11m</t>
  </si>
  <si xmlns="http://schemas.openxmlformats.org/spreadsheetml/2006/main">
    <t xml:space="preserve">Early Out (293m)</t>
  </si>
  <si xmlns="http://schemas.openxmlformats.org/spreadsheetml/2006/main">
    <t xml:space="preserve">172h 28m</t>
  </si>
  <si xmlns="http://schemas.openxmlformats.org/spreadsheetml/2006/main">
    <t xml:space="preserve">DAILY LOGS: DHARMENDRA KUMAR DIXIT</t>
  </si>
  <si xmlns="http://schemas.openxmlformats.org/spreadsheetml/2006/main">
    <t xml:space="preserve">3:23 PM</t>
  </si>
  <si xmlns="http://schemas.openxmlformats.org/spreadsheetml/2006/main">
    <t xml:space="preserve">4h 17m</t>
  </si>
  <si xmlns="http://schemas.openxmlformats.org/spreadsheetml/2006/main">
    <t xml:space="preserve">Late In (66m), Early Out (217m)</t>
  </si>
  <si xmlns="http://schemas.openxmlformats.org/spreadsheetml/2006/main">
    <t xml:space="preserve">Late In (90m)</t>
  </si>
  <si xmlns="http://schemas.openxmlformats.org/spreadsheetml/2006/main">
    <t xml:space="preserve">181h 52m</t>
  </si>
  <si xmlns="http://schemas.openxmlformats.org/spreadsheetml/2006/main">
    <t xml:space="preserve">DAILY LOGS: DURGESH PANDEY</t>
  </si>
  <si xmlns="http://schemas.openxmlformats.org/spreadsheetml/2006/main">
    <t xml:space="preserve">10h 43m</t>
  </si>
  <si xmlns="http://schemas.openxmlformats.org/spreadsheetml/2006/main">
    <t xml:space="preserve">10h 24m</t>
  </si>
  <si xmlns="http://schemas.openxmlformats.org/spreadsheetml/2006/main">
    <t xml:space="preserve">10h 49m</t>
  </si>
  <si xmlns="http://schemas.openxmlformats.org/spreadsheetml/2006/main">
    <t xml:space="preserve">DAILY LOGS: ELAIYARAJA ADIDRAVID</t>
  </si>
  <si xmlns="http://schemas.openxmlformats.org/spreadsheetml/2006/main">
    <t xml:space="preserve">11h 50m</t>
  </si>
  <si xmlns="http://schemas.openxmlformats.org/spreadsheetml/2006/main">
    <t xml:space="preserve">8h 27m</t>
  </si>
  <si xmlns="http://schemas.openxmlformats.org/spreadsheetml/2006/main">
    <t xml:space="preserve">1:18 PM</t>
  </si>
  <si xmlns="http://schemas.openxmlformats.org/spreadsheetml/2006/main">
    <t xml:space="preserve">9:46 PM</t>
  </si>
  <si xmlns="http://schemas.openxmlformats.org/spreadsheetml/2006/main">
    <t xml:space="preserve">8h 28m</t>
  </si>
  <si xmlns="http://schemas.openxmlformats.org/spreadsheetml/2006/main">
    <t xml:space="preserve">Late In (198m)</t>
  </si>
  <si xmlns="http://schemas.openxmlformats.org/spreadsheetml/2006/main">
    <t xml:space="preserve">5:17 PM</t>
  </si>
  <si xmlns="http://schemas.openxmlformats.org/spreadsheetml/2006/main">
    <t xml:space="preserve">Early Out (102m)</t>
  </si>
  <si xmlns="http://schemas.openxmlformats.org/spreadsheetml/2006/main">
    <t xml:space="preserve">203h 9m</t>
  </si>
  <si xmlns="http://schemas.openxmlformats.org/spreadsheetml/2006/main">
    <t xml:space="preserve">DAILY LOGS: GAURAV SINGH</t>
  </si>
  <si xmlns="http://schemas.openxmlformats.org/spreadsheetml/2006/main">
    <t xml:space="preserve">7:46 PM</t>
  </si>
  <si xmlns="http://schemas.openxmlformats.org/spreadsheetml/2006/main">
    <t xml:space="preserve">220h 24m</t>
  </si>
  <si xmlns="http://schemas.openxmlformats.org/spreadsheetml/2006/main">
    <t xml:space="preserve">DAILY LOGS: HIMMAT PANWAR</t>
  </si>
  <si xmlns="http://schemas.openxmlformats.org/spreadsheetml/2006/main">
    <t xml:space="preserve">152h 24m</t>
  </si>
  <si xmlns="http://schemas.openxmlformats.org/spreadsheetml/2006/main">
    <t xml:space="preserve">DAILY LOGS: JITENDRAKUMAR MAKWANA</t>
  </si>
  <si xmlns="http://schemas.openxmlformats.org/spreadsheetml/2006/main">
    <t xml:space="preserve">205h 7m</t>
  </si>
  <si xmlns="http://schemas.openxmlformats.org/spreadsheetml/2006/main">
    <t xml:space="preserve">DAILY LOGS: JITENDRASINH SHEKHAVAT</t>
  </si>
  <si xmlns="http://schemas.openxmlformats.org/spreadsheetml/2006/main">
    <t xml:space="preserve">9:07 PM</t>
  </si>
  <si xmlns="http://schemas.openxmlformats.org/spreadsheetml/2006/main">
    <t xml:space="preserve">8:28 PM</t>
  </si>
  <si xmlns="http://schemas.openxmlformats.org/spreadsheetml/2006/main">
    <t xml:space="preserve">206h 40m</t>
  </si>
  <si xmlns="http://schemas.openxmlformats.org/spreadsheetml/2006/main">
    <t xml:space="preserve">DAILY LOGS: KALPESH CHAUHAN</t>
  </si>
  <si xmlns="http://schemas.openxmlformats.org/spreadsheetml/2006/main">
    <t xml:space="preserve">9:19 AM</t>
  </si>
  <si xmlns="http://schemas.openxmlformats.org/spreadsheetml/2006/main">
    <t xml:space="preserve">9:27 AM</t>
  </si>
  <si xmlns="http://schemas.openxmlformats.org/spreadsheetml/2006/main">
    <t xml:space="preserve">242h 15m</t>
  </si>
  <si xmlns="http://schemas.openxmlformats.org/spreadsheetml/2006/main">
    <t xml:space="preserve">DAILY LOGS: KAPIL GOSWAMI</t>
  </si>
  <si xmlns="http://schemas.openxmlformats.org/spreadsheetml/2006/main">
    <t xml:space="preserve">11:00 AM</t>
  </si>
  <si xmlns="http://schemas.openxmlformats.org/spreadsheetml/2006/main">
    <t xml:space="preserve">Late In (60m)</t>
  </si>
  <si xmlns="http://schemas.openxmlformats.org/spreadsheetml/2006/main">
    <t xml:space="preserve">9:05 PM</t>
  </si>
  <si xmlns="http://schemas.openxmlformats.org/spreadsheetml/2006/main">
    <t xml:space="preserve">8:27 PM</t>
  </si>
  <si xmlns="http://schemas.openxmlformats.org/spreadsheetml/2006/main">
    <t xml:space="preserve">10h 32m</t>
  </si>
  <si xmlns="http://schemas.openxmlformats.org/spreadsheetml/2006/main">
    <t xml:space="preserve">11:44 AM</t>
  </si>
  <si xmlns="http://schemas.openxmlformats.org/spreadsheetml/2006/main">
    <t xml:space="preserve">Late In (104m)</t>
  </si>
  <si xmlns="http://schemas.openxmlformats.org/spreadsheetml/2006/main">
    <t xml:space="preserve">8:18 PM</t>
  </si>
  <si xmlns="http://schemas.openxmlformats.org/spreadsheetml/2006/main">
    <t xml:space="preserve">10:04 PM</t>
  </si>
  <si xmlns="http://schemas.openxmlformats.org/spreadsheetml/2006/main">
    <t xml:space="preserve">200h 13m</t>
  </si>
  <si xmlns="http://schemas.openxmlformats.org/spreadsheetml/2006/main">
    <t xml:space="preserve">DAILY LOGS: KIRIT BHANUSHALI</t>
  </si>
  <si xmlns="http://schemas.openxmlformats.org/spreadsheetml/2006/main">
    <t xml:space="preserve">Late In (124m)</t>
  </si>
  <si xmlns="http://schemas.openxmlformats.org/spreadsheetml/2006/main">
    <t xml:space="preserve">Late In (89m)</t>
  </si>
  <si xmlns="http://schemas.openxmlformats.org/spreadsheetml/2006/main">
    <t xml:space="preserve">Late In (210m)</t>
  </si>
  <si xmlns="http://schemas.openxmlformats.org/spreadsheetml/2006/main">
    <t xml:space="preserve">Late In (125m)</t>
  </si>
  <si xmlns="http://schemas.openxmlformats.org/spreadsheetml/2006/main">
    <t xml:space="preserve">Late In (163m)</t>
  </si>
  <si xmlns="http://schemas.openxmlformats.org/spreadsheetml/2006/main">
    <t xml:space="preserve">Late In (85m)</t>
  </si>
  <si xmlns="http://schemas.openxmlformats.org/spreadsheetml/2006/main">
    <t xml:space="preserve">DAILY LOGS: MAHESH PATIL</t>
  </si>
  <si xmlns="http://schemas.openxmlformats.org/spreadsheetml/2006/main">
    <t xml:space="preserve">3:27 PM</t>
  </si>
  <si xmlns="http://schemas.openxmlformats.org/spreadsheetml/2006/main">
    <t xml:space="preserve">4h 16m</t>
  </si>
  <si xmlns="http://schemas.openxmlformats.org/spreadsheetml/2006/main">
    <t xml:space="preserve">Late In (327m)</t>
  </si>
  <si xmlns="http://schemas.openxmlformats.org/spreadsheetml/2006/main">
    <t xml:space="preserve">3:35 PM</t>
  </si>
  <si xmlns="http://schemas.openxmlformats.org/spreadsheetml/2006/main">
    <t xml:space="preserve">4h 53m</t>
  </si>
  <si xmlns="http://schemas.openxmlformats.org/spreadsheetml/2006/main">
    <t xml:space="preserve">Late In (335m)</t>
  </si>
  <si xmlns="http://schemas.openxmlformats.org/spreadsheetml/2006/main">
    <t xml:space="preserve">7h 53m</t>
  </si>
  <si xmlns="http://schemas.openxmlformats.org/spreadsheetml/2006/main">
    <t xml:space="preserve">Early Out (96m)</t>
  </si>
  <si xmlns="http://schemas.openxmlformats.org/spreadsheetml/2006/main">
    <t xml:space="preserve">200h 56m</t>
  </si>
  <si xmlns="http://schemas.openxmlformats.org/spreadsheetml/2006/main">
    <t xml:space="preserve">DAILY LOGS: MAJHAR KHAN</t>
  </si>
  <si xmlns="http://schemas.openxmlformats.org/spreadsheetml/2006/main">
    <t xml:space="preserve">9:04 PM</t>
  </si>
  <si xmlns="http://schemas.openxmlformats.org/spreadsheetml/2006/main">
    <t xml:space="preserve">9:22 PM</t>
  </si>
  <si xmlns="http://schemas.openxmlformats.org/spreadsheetml/2006/main">
    <t xml:space="preserve">11:24 AM</t>
  </si>
  <si xmlns="http://schemas.openxmlformats.org/spreadsheetml/2006/main">
    <t xml:space="preserve">Late In (84m)</t>
  </si>
  <si xmlns="http://schemas.openxmlformats.org/spreadsheetml/2006/main">
    <t xml:space="preserve">187h 14m</t>
  </si>
  <si xmlns="http://schemas.openxmlformats.org/spreadsheetml/2006/main">
    <t xml:space="preserve">DAILY LOGS: MANUBHAI RAVAL</t>
  </si>
  <si xmlns="http://schemas.openxmlformats.org/spreadsheetml/2006/main">
    <t xml:space="preserve">10h 26m</t>
  </si>
  <si xmlns="http://schemas.openxmlformats.org/spreadsheetml/2006/main">
    <t xml:space="preserve">8h 12m</t>
  </si>
  <si xmlns="http://schemas.openxmlformats.org/spreadsheetml/2006/main">
    <t xml:space="preserve">8:53 PM</t>
  </si>
  <si xmlns="http://schemas.openxmlformats.org/spreadsheetml/2006/main">
    <t xml:space="preserve">12:31 PM</t>
  </si>
  <si xmlns="http://schemas.openxmlformats.org/spreadsheetml/2006/main">
    <t xml:space="preserve">Late In (151m)</t>
  </si>
  <si xmlns="http://schemas.openxmlformats.org/spreadsheetml/2006/main">
    <t xml:space="preserve">177h 2m</t>
  </si>
  <si xmlns="http://schemas.openxmlformats.org/spreadsheetml/2006/main">
    <t xml:space="preserve">DAILY LOGS: PARASMAL MARVADI</t>
  </si>
  <si xmlns="http://schemas.openxmlformats.org/spreadsheetml/2006/main">
    <t xml:space="preserve">11:51 AM</t>
  </si>
  <si xmlns="http://schemas.openxmlformats.org/spreadsheetml/2006/main">
    <t xml:space="preserve">Late In (111m)</t>
  </si>
  <si xmlns="http://schemas.openxmlformats.org/spreadsheetml/2006/main">
    <t xml:space="preserve">2:23 PM</t>
  </si>
  <si xmlns="http://schemas.openxmlformats.org/spreadsheetml/2006/main">
    <t xml:space="preserve">Late In (263m)</t>
  </si>
  <si xmlns="http://schemas.openxmlformats.org/spreadsheetml/2006/main">
    <t xml:space="preserve">198h 4m</t>
  </si>
  <si xmlns="http://schemas.openxmlformats.org/spreadsheetml/2006/main">
    <t xml:space="preserve">DAILY LOGS: PRAKASH DARJI</t>
  </si>
  <si xmlns="http://schemas.openxmlformats.org/spreadsheetml/2006/main">
    <t xml:space="preserve">195h 18m</t>
  </si>
  <si xmlns="http://schemas.openxmlformats.org/spreadsheetml/2006/main">
    <t xml:space="preserve">DAILY LOGS: RAHUL VAGHELA</t>
  </si>
  <si xmlns="http://schemas.openxmlformats.org/spreadsheetml/2006/main">
    <t xml:space="preserve">4:25 PM</t>
  </si>
  <si xmlns="http://schemas.openxmlformats.org/spreadsheetml/2006/main">
    <t xml:space="preserve">6h 2m</t>
  </si>
  <si xmlns="http://schemas.openxmlformats.org/spreadsheetml/2006/main">
    <t xml:space="preserve">Late In (23m), Early Out (155m)</t>
  </si>
  <si xmlns="http://schemas.openxmlformats.org/spreadsheetml/2006/main">
    <t xml:space="preserve">Late In (20m), Early Out (25m)</t>
  </si>
  <si xmlns="http://schemas.openxmlformats.org/spreadsheetml/2006/main">
    <t xml:space="preserve">11:34 AM</t>
  </si>
  <si xmlns="http://schemas.openxmlformats.org/spreadsheetml/2006/main">
    <t xml:space="preserve">7h 55m</t>
  </si>
  <si xmlns="http://schemas.openxmlformats.org/spreadsheetml/2006/main">
    <t xml:space="preserve">Late In (94m)</t>
  </si>
  <si xmlns="http://schemas.openxmlformats.org/spreadsheetml/2006/main">
    <t xml:space="preserve">8h 14m</t>
  </si>
  <si xmlns="http://schemas.openxmlformats.org/spreadsheetml/2006/main">
    <t xml:space="preserve">7h 57m</t>
  </si>
  <si xmlns="http://schemas.openxmlformats.org/spreadsheetml/2006/main">
    <t xml:space="preserve">Late In (47m), Early Out (16m)</t>
  </si>
  <si xmlns="http://schemas.openxmlformats.org/spreadsheetml/2006/main">
    <t xml:space="preserve">182h 13m</t>
  </si>
  <si xmlns="http://schemas.openxmlformats.org/spreadsheetml/2006/main">
    <t xml:space="preserve">DAILY LOGS: SANAL KUMAR</t>
  </si>
  <si xmlns="http://schemas.openxmlformats.org/spreadsheetml/2006/main">
    <t xml:space="preserve">6:36 PM</t>
  </si>
  <si xmlns="http://schemas.openxmlformats.org/spreadsheetml/2006/main">
    <t xml:space="preserve">7h 56m</t>
  </si>
  <si xmlns="http://schemas.openxmlformats.org/spreadsheetml/2006/main">
    <t xml:space="preserve">Early Out (24m)</t>
  </si>
  <si xmlns="http://schemas.openxmlformats.org/spreadsheetml/2006/main">
    <t xml:space="preserve">207h 9m</t>
  </si>
  <si xmlns="http://schemas.openxmlformats.org/spreadsheetml/2006/main">
    <t xml:space="preserve">DAILY LOGS: SUNIL HARINDRAN</t>
  </si>
  <si xmlns="http://schemas.openxmlformats.org/spreadsheetml/2006/main">
    <t xml:space="preserve">DAILY LOGS: SURAJ SUDHAKARAN</t>
  </si>
  <si xmlns="http://schemas.openxmlformats.org/spreadsheetml/2006/main">
    <t xml:space="preserve">205h 9m</t>
  </si>
  <si xmlns="http://schemas.openxmlformats.org/spreadsheetml/2006/main">
    <t xml:space="preserve">DAILY LOGS: TEJAS PARIKH</t>
  </si>
  <si xmlns="http://schemas.openxmlformats.org/spreadsheetml/2006/main">
    <t xml:space="preserve">DAILY LOGS: VIJAYKUMAR JADEJA</t>
  </si>
  <si xmlns="http://schemas.openxmlformats.org/spreadsheetml/2006/main">
    <t xml:space="preserve">12:39 PM</t>
  </si>
  <si xmlns="http://schemas.openxmlformats.org/spreadsheetml/2006/main">
    <t xml:space="preserve">6h 27m</t>
  </si>
  <si xmlns="http://schemas.openxmlformats.org/spreadsheetml/2006/main">
    <t xml:space="preserve">Late In (159m)</t>
  </si>
  <si xmlns="http://schemas.openxmlformats.org/spreadsheetml/2006/main">
    <t xml:space="preserve">11:55 AM</t>
  </si>
  <si xmlns="http://schemas.openxmlformats.org/spreadsheetml/2006/main">
    <t xml:space="preserve">Late In (115m)</t>
  </si>
  <si xmlns="http://schemas.openxmlformats.org/spreadsheetml/2006/main">
    <t xml:space="preserve">12:16 PM</t>
  </si>
  <si xmlns="http://schemas.openxmlformats.org/spreadsheetml/2006/main">
    <t xml:space="preserve">Late In (136m)</t>
  </si>
  <si xmlns="http://schemas.openxmlformats.org/spreadsheetml/2006/main">
    <t xml:space="preserve">11:59 AM</t>
  </si>
  <si xmlns="http://schemas.openxmlformats.org/spreadsheetml/2006/main">
    <t xml:space="preserve">Late In (119m)</t>
  </si>
  <si xmlns="http://schemas.openxmlformats.org/spreadsheetml/2006/main">
    <t xml:space="preserve">6h 58m</t>
  </si>
  <si xmlns="http://schemas.openxmlformats.org/spreadsheetml/2006/main">
    <t xml:space="preserve">11:43 AM</t>
  </si>
  <si xmlns="http://schemas.openxmlformats.org/spreadsheetml/2006/main">
    <t xml:space="preserve">Late In (103m)</t>
  </si>
  <si xmlns="http://schemas.openxmlformats.org/spreadsheetml/2006/main">
    <t xml:space="preserve">11:47 AM</t>
  </si>
  <si xmlns="http://schemas.openxmlformats.org/spreadsheetml/2006/main">
    <t xml:space="preserve">Late In (107m)</t>
  </si>
  <si xmlns="http://schemas.openxmlformats.org/spreadsheetml/2006/main">
    <t xml:space="preserve">7h 29m</t>
  </si>
  <si xmlns="http://schemas.openxmlformats.org/spreadsheetml/2006/main">
    <t xml:space="preserve">202h 30m</t>
  </si>
  <si xmlns="http://schemas.openxmlformats.org/spreadsheetml/2006/main">
    <t xml:space="preserve">DAILY LOGS: VIKRAMBHAI VAGHELA</t>
  </si>
  <si xmlns="http://schemas.openxmlformats.org/spreadsheetml/2006/main">
    <t xml:space="preserve">2h 52m</t>
  </si>
  <si xmlns="http://schemas.openxmlformats.org/spreadsheetml/2006/main">
    <t xml:space="preserve">212h 59m</t>
  </si>
  <si xmlns="http://schemas.openxmlformats.org/spreadsheetml/2006/main">
    <t xml:space="preserve">DAILY LOGS: VISHNU ADIDRAVID</t>
  </si>
  <si xmlns="http://schemas.openxmlformats.org/spreadsheetml/2006/main">
    <t xml:space="preserve">11:25 AM</t>
  </si>
  <si xmlns="http://schemas.openxmlformats.org/spreadsheetml/2006/main">
    <t xml:space="preserve">200h 9m</t>
  </si>
  <si xmlns="http://schemas.openxmlformats.org/spreadsheetml/2006/main">
    <t xml:space="preserve">SURAJ FORWARDERS PRIVATE LIMITED — ATTENDANCE &amp; LEAVE REGISTER</t>
  </si>
  <si xmlns="http://schemas.openxmlformats.org/spreadsheetml/2006/main">
    <t xml:space="preserve">Period: 01 Sep 2026 to 30 Sep 2026   |   Generated on: 16-Oct-2026 14:53   |   Staff Count: 28</t>
  </si>
  <si xmlns="http://schemas.openxmlformats.org/spreadsheetml/2006/main">
    <t xml:space="preserve">AAMIR SAIYED</t>
  </si>
  <si xmlns="http://schemas.openxmlformats.org/spreadsheetml/2006/main">
    <t xml:space="preserve">7h 30m</t>
  </si>
  <si xmlns="http://schemas.openxmlformats.org/spreadsheetml/2006/main">
    <t xml:space="preserve">AJAY KUMAWAT</t>
  </si>
  <si xmlns="http://schemas.openxmlformats.org/spreadsheetml/2006/main">
    <t xml:space="preserve">AKASH MODI</t>
  </si>
  <si xmlns="http://schemas.openxmlformats.org/spreadsheetml/2006/main">
    <t xml:space="preserve">ASHOKKUMAR CHAUHAN</t>
  </si>
  <si xmlns="http://schemas.openxmlformats.org/spreadsheetml/2006/main">
    <t xml:space="preserve">BALVIR NANDA</t>
  </si>
  <si xmlns="http://schemas.openxmlformats.org/spreadsheetml/2006/main">
    <t xml:space="preserve">CHIRAG SHAH</t>
  </si>
  <si xmlns="http://schemas.openxmlformats.org/spreadsheetml/2006/main">
    <t xml:space="preserve">GEETHANJALI B</t>
  </si>
  <si xmlns="http://schemas.openxmlformats.org/spreadsheetml/2006/main">
    <t xml:space="preserve">JIGNESH SORATHAIA</t>
  </si>
  <si xmlns="http://schemas.openxmlformats.org/spreadsheetml/2006/main">
    <t xml:space="preserve">JYOTHISH R</t>
  </si>
  <si xmlns="http://schemas.openxmlformats.org/spreadsheetml/2006/main">
    <t xml:space="preserve">KETANKUMAR PATEL</t>
  </si>
  <si xmlns="http://schemas.openxmlformats.org/spreadsheetml/2006/main">
    <t xml:space="preserve">LEENA VIJAYAN</t>
  </si>
  <si xmlns="http://schemas.openxmlformats.org/spreadsheetml/2006/main">
    <t xml:space="preserve">MANU PILLAI</t>
  </si>
  <si xmlns="http://schemas.openxmlformats.org/spreadsheetml/2006/main">
    <t xml:space="preserve">MAUSAM RAKSHIT</t>
  </si>
  <si xmlns="http://schemas.openxmlformats.org/spreadsheetml/2006/main">
    <t xml:space="preserve">PARTHIV JADAV</t>
  </si>
  <si xmlns="http://schemas.openxmlformats.org/spreadsheetml/2006/main">
    <t xml:space="preserve">PRAMOD THEKEPATTU</t>
  </si>
  <si xmlns="http://schemas.openxmlformats.org/spreadsheetml/2006/main">
    <t xml:space="preserve">PREM CHAUDHARY</t>
  </si>
  <si xmlns="http://schemas.openxmlformats.org/spreadsheetml/2006/main">
    <t xml:space="preserve">RAJAN ARANAMKATTE</t>
  </si>
  <si xmlns="http://schemas.openxmlformats.org/spreadsheetml/2006/main">
    <t xml:space="preserve">RAVI PATEL</t>
  </si>
  <si xmlns="http://schemas.openxmlformats.org/spreadsheetml/2006/main">
    <t xml:space="preserve">RENJITH R</t>
  </si>
  <si xmlns="http://schemas.openxmlformats.org/spreadsheetml/2006/main">
    <t xml:space="preserve">SANJIV SONI</t>
  </si>
  <si xmlns="http://schemas.openxmlformats.org/spreadsheetml/2006/main">
    <t xml:space="preserve">SHALINI ARUN</t>
  </si>
  <si xmlns="http://schemas.openxmlformats.org/spreadsheetml/2006/main">
    <t xml:space="preserve">SOJITH MAMMUTTIL</t>
  </si>
  <si xmlns="http://schemas.openxmlformats.org/spreadsheetml/2006/main">
    <t xml:space="preserve">SOURAV A</t>
  </si>
  <si xmlns="http://schemas.openxmlformats.org/spreadsheetml/2006/main">
    <t xml:space="preserve">SREEKUMAR PILLAI</t>
  </si>
  <si xmlns="http://schemas.openxmlformats.org/spreadsheetml/2006/main">
    <t xml:space="preserve">SURAJ RAJAN</t>
  </si>
  <si xmlns="http://schemas.openxmlformats.org/spreadsheetml/2006/main">
    <t xml:space="preserve">SUSEELA RAJAN</t>
  </si>
  <si xmlns="http://schemas.openxmlformats.org/spreadsheetml/2006/main">
    <t xml:space="preserve">VINODCHANDRA RANA</t>
  </si>
  <si xmlns="http://schemas.openxmlformats.org/spreadsheetml/2006/main">
    <t xml:space="preserve">YASH SHAH</t>
  </si>
  <si xmlns="http://schemas.openxmlformats.org/spreadsheetml/2006/main">
    <t xml:space="preserve">DAILY LOGS: AAMIR SAIYED</t>
  </si>
  <si xmlns="http://schemas.openxmlformats.org/spreadsheetml/2006/main">
    <t xml:space="preserve">4:56 PM</t>
  </si>
  <si xmlns="http://schemas.openxmlformats.org/spreadsheetml/2006/main">
    <t xml:space="preserve">4:57 PM</t>
  </si>
  <si xmlns="http://schemas.openxmlformats.org/spreadsheetml/2006/main">
    <t xml:space="preserve">0h 1m</t>
  </si>
  <si xmlns="http://schemas.openxmlformats.org/spreadsheetml/2006/main">
    <t xml:space="preserve">Late In (416m), Early Out (123m)</t>
  </si>
  <si xmlns="http://schemas.openxmlformats.org/spreadsheetml/2006/main">
    <t xml:space="preserve">12:22 PM</t>
  </si>
  <si xmlns="http://schemas.openxmlformats.org/spreadsheetml/2006/main">
    <t xml:space="preserve">Late In (142m)</t>
  </si>
  <si xmlns="http://schemas.openxmlformats.org/spreadsheetml/2006/main">
    <t xml:space="preserve">6h 50m</t>
  </si>
  <si xmlns="http://schemas.openxmlformats.org/spreadsheetml/2006/main">
    <t xml:space="preserve">Late In (65m), Early Out (65m)</t>
  </si>
  <si xmlns="http://schemas.openxmlformats.org/spreadsheetml/2006/main">
    <t xml:space="preserve">3:56 PM</t>
  </si>
  <si xmlns="http://schemas.openxmlformats.org/spreadsheetml/2006/main">
    <t xml:space="preserve">5h 39m</t>
  </si>
  <si xmlns="http://schemas.openxmlformats.org/spreadsheetml/2006/main">
    <t xml:space="preserve">Late In (17m), Early Out (184m)</t>
  </si>
  <si xmlns="http://schemas.openxmlformats.org/spreadsheetml/2006/main">
    <t xml:space="preserve">Late In (17m), Early Out (43m)</t>
  </si>
  <si xmlns="http://schemas.openxmlformats.org/spreadsheetml/2006/main">
    <t xml:space="preserve">12:26 PM</t>
  </si>
  <si xmlns="http://schemas.openxmlformats.org/spreadsheetml/2006/main">
    <t xml:space="preserve">Late In (146m)</t>
  </si>
  <si xmlns="http://schemas.openxmlformats.org/spreadsheetml/2006/main">
    <t xml:space="preserve">Late In (53m), Early Out (485m)</t>
  </si>
  <si xmlns="http://schemas.openxmlformats.org/spreadsheetml/2006/main">
    <t xml:space="preserve">119h 24m</t>
  </si>
  <si xmlns="http://schemas.openxmlformats.org/spreadsheetml/2006/main">
    <t xml:space="preserve">DAILY LOGS: AJAY KUMAWAT</t>
  </si>
  <si xmlns="http://schemas.openxmlformats.org/spreadsheetml/2006/main">
    <t xml:space="preserve">5:00 PM</t>
  </si>
  <si xmlns="http://schemas.openxmlformats.org/spreadsheetml/2006/main">
    <t xml:space="preserve">6h 16m</t>
  </si>
  <si xmlns="http://schemas.openxmlformats.org/spreadsheetml/2006/main">
    <t xml:space="preserve">Late In (44m), Early Out (120m)</t>
  </si>
  <si xmlns="http://schemas.openxmlformats.org/spreadsheetml/2006/main">
    <t xml:space="preserve">8h 7m</t>
  </si>
  <si xmlns="http://schemas.openxmlformats.org/spreadsheetml/2006/main">
    <t xml:space="preserve">216h 47m</t>
  </si>
  <si xmlns="http://schemas.openxmlformats.org/spreadsheetml/2006/main">
    <t xml:space="preserve">DAILY LOGS: AKASH MODI</t>
  </si>
  <si xmlns="http://schemas.openxmlformats.org/spreadsheetml/2006/main">
    <t xml:space="preserve">8h 5m</t>
  </si>
  <si xmlns="http://schemas.openxmlformats.org/spreadsheetml/2006/main">
    <t xml:space="preserve">6h 25m</t>
  </si>
  <si xmlns="http://schemas.openxmlformats.org/spreadsheetml/2006/main">
    <t xml:space="preserve">8h 9m</t>
  </si>
  <si xmlns="http://schemas.openxmlformats.org/spreadsheetml/2006/main">
    <t xml:space="preserve">Late In (24m), Early Out (26m)</t>
  </si>
  <si xmlns="http://schemas.openxmlformats.org/spreadsheetml/2006/main">
    <t xml:space="preserve">158h 31m</t>
  </si>
  <si xmlns="http://schemas.openxmlformats.org/spreadsheetml/2006/main">
    <t xml:space="preserve">DAILY LOGS: ASHOKKUMAR CHAUHAN</t>
  </si>
  <si xmlns="http://schemas.openxmlformats.org/spreadsheetml/2006/main">
    <t xml:space="preserve">10:05 PM</t>
  </si>
  <si xmlns="http://schemas.openxmlformats.org/spreadsheetml/2006/main">
    <t xml:space="preserve">10h 4m</t>
  </si>
  <si xmlns="http://schemas.openxmlformats.org/spreadsheetml/2006/main">
    <t xml:space="preserve">10:23 PM</t>
  </si>
  <si xmlns="http://schemas.openxmlformats.org/spreadsheetml/2006/main">
    <t xml:space="preserve">Late In (182m)</t>
  </si>
  <si xmlns="http://schemas.openxmlformats.org/spreadsheetml/2006/main">
    <t xml:space="preserve">9:36 PM</t>
  </si>
  <si xmlns="http://schemas.openxmlformats.org/spreadsheetml/2006/main">
    <t xml:space="preserve">8:56 AM</t>
  </si>
  <si xmlns="http://schemas.openxmlformats.org/spreadsheetml/2006/main">
    <t xml:space="preserve">1:44 PM</t>
  </si>
  <si xmlns="http://schemas.openxmlformats.org/spreadsheetml/2006/main">
    <t xml:space="preserve">4h 48m</t>
  </si>
  <si xmlns="http://schemas.openxmlformats.org/spreadsheetml/2006/main">
    <t xml:space="preserve">Early Out (315m)</t>
  </si>
  <si xmlns="http://schemas.openxmlformats.org/spreadsheetml/2006/main">
    <t xml:space="preserve">8:29 PM</t>
  </si>
  <si xmlns="http://schemas.openxmlformats.org/spreadsheetml/2006/main">
    <t xml:space="preserve">9:15 PM</t>
  </si>
  <si xmlns="http://schemas.openxmlformats.org/spreadsheetml/2006/main">
    <t xml:space="preserve">12h 57m</t>
  </si>
  <si xmlns="http://schemas.openxmlformats.org/spreadsheetml/2006/main">
    <t xml:space="preserve">224h 40m</t>
  </si>
  <si xmlns="http://schemas.openxmlformats.org/spreadsheetml/2006/main">
    <t xml:space="preserve">DAILY LOGS: BALVIR NANDA</t>
  </si>
  <si xmlns="http://schemas.openxmlformats.org/spreadsheetml/2006/main">
    <t xml:space="preserve">11h 8m</t>
  </si>
  <si xmlns="http://schemas.openxmlformats.org/spreadsheetml/2006/main">
    <t xml:space="preserve">9:49 PM</t>
  </si>
  <si xmlns="http://schemas.openxmlformats.org/spreadsheetml/2006/main">
    <t xml:space="preserve">10h 35m</t>
  </si>
  <si xmlns="http://schemas.openxmlformats.org/spreadsheetml/2006/main">
    <t xml:space="preserve">10h 53m</t>
  </si>
  <si xmlns="http://schemas.openxmlformats.org/spreadsheetml/2006/main">
    <t xml:space="preserve">11h 14m</t>
  </si>
  <si xmlns="http://schemas.openxmlformats.org/spreadsheetml/2006/main">
    <t xml:space="preserve">11h 25m</t>
  </si>
  <si xmlns="http://schemas.openxmlformats.org/spreadsheetml/2006/main">
    <t xml:space="preserve">10:11 PM</t>
  </si>
  <si xmlns="http://schemas.openxmlformats.org/spreadsheetml/2006/main">
    <t xml:space="preserve">253h 0m</t>
  </si>
  <si xmlns="http://schemas.openxmlformats.org/spreadsheetml/2006/main">
    <t xml:space="preserve">DAILY LOGS: CHIRAG SHAH</t>
  </si>
  <si xmlns="http://schemas.openxmlformats.org/spreadsheetml/2006/main">
    <t xml:space="preserve">8h 10m</t>
  </si>
  <si xmlns="http://schemas.openxmlformats.org/spreadsheetml/2006/main">
    <t xml:space="preserve">Late In (21m), Early Out (54m)</t>
  </si>
  <si xmlns="http://schemas.openxmlformats.org/spreadsheetml/2006/main">
    <t xml:space="preserve">5:47 PM</t>
  </si>
  <si xmlns="http://schemas.openxmlformats.org/spreadsheetml/2006/main">
    <t xml:space="preserve">7h 19m</t>
  </si>
  <si xmlns="http://schemas.openxmlformats.org/spreadsheetml/2006/main">
    <t xml:space="preserve">Late In (28m), Early Out (73m)</t>
  </si>
  <si xmlns="http://schemas.openxmlformats.org/spreadsheetml/2006/main">
    <t xml:space="preserve">5:49 PM</t>
  </si>
  <si xmlns="http://schemas.openxmlformats.org/spreadsheetml/2006/main">
    <t xml:space="preserve">Early Out (71m)</t>
  </si>
  <si xmlns="http://schemas.openxmlformats.org/spreadsheetml/2006/main">
    <t xml:space="preserve">6:05 PM</t>
  </si>
  <si xmlns="http://schemas.openxmlformats.org/spreadsheetml/2006/main">
    <t xml:space="preserve">7h 41m</t>
  </si>
  <si xmlns="http://schemas.openxmlformats.org/spreadsheetml/2006/main">
    <t xml:space="preserve">Late In (24m), Early Out (55m)</t>
  </si>
  <si xmlns="http://schemas.openxmlformats.org/spreadsheetml/2006/main">
    <t xml:space="preserve">6:14 PM</t>
  </si>
  <si xmlns="http://schemas.openxmlformats.org/spreadsheetml/2006/main">
    <t xml:space="preserve">Late In (31m), Early Out (46m)</t>
  </si>
  <si xmlns="http://schemas.openxmlformats.org/spreadsheetml/2006/main">
    <t xml:space="preserve">7h 12m</t>
  </si>
  <si xmlns="http://schemas.openxmlformats.org/spreadsheetml/2006/main">
    <t xml:space="preserve">Late In (22m), Early Out (86m)</t>
  </si>
  <si xmlns="http://schemas.openxmlformats.org/spreadsheetml/2006/main">
    <t xml:space="preserve">7h 26m</t>
  </si>
  <si xmlns="http://schemas.openxmlformats.org/spreadsheetml/2006/main">
    <t xml:space="preserve">Late In (27m), Early Out (67m)</t>
  </si>
  <si xmlns="http://schemas.openxmlformats.org/spreadsheetml/2006/main">
    <t xml:space="preserve">Early Out (56m)</t>
  </si>
  <si xmlns="http://schemas.openxmlformats.org/spreadsheetml/2006/main">
    <t xml:space="preserve">Late In (250m)</t>
  </si>
  <si xmlns="http://schemas.openxmlformats.org/spreadsheetml/2006/main">
    <t xml:space="preserve">Early Out (534m)</t>
  </si>
  <si xmlns="http://schemas.openxmlformats.org/spreadsheetml/2006/main">
    <t xml:space="preserve">177h 58m</t>
  </si>
  <si xmlns="http://schemas.openxmlformats.org/spreadsheetml/2006/main">
    <t xml:space="preserve">DAILY LOGS: GEETHANJALI B</t>
  </si>
  <si xmlns="http://schemas.openxmlformats.org/spreadsheetml/2006/main">
    <t xml:space="preserve">4:30 PM</t>
  </si>
  <si xmlns="http://schemas.openxmlformats.org/spreadsheetml/2006/main">
    <t xml:space="preserve">6h 30m</t>
  </si>
  <si xmlns="http://schemas.openxmlformats.org/spreadsheetml/2006/main">
    <t xml:space="preserve">Early Out (150m)</t>
  </si>
  <si xmlns="http://schemas.openxmlformats.org/spreadsheetml/2006/main">
    <t xml:space="preserve">5:39 PM</t>
  </si>
  <si xmlns="http://schemas.openxmlformats.org/spreadsheetml/2006/main">
    <t xml:space="preserve">Early Out (80m)</t>
  </si>
  <si xmlns="http://schemas.openxmlformats.org/spreadsheetml/2006/main">
    <t xml:space="preserve">6:12 PM</t>
  </si>
  <si xmlns="http://schemas.openxmlformats.org/spreadsheetml/2006/main">
    <t xml:space="preserve">Early Out (47m)</t>
  </si>
  <si xmlns="http://schemas.openxmlformats.org/spreadsheetml/2006/main">
    <t xml:space="preserve">142h 14m</t>
  </si>
  <si xmlns="http://schemas.openxmlformats.org/spreadsheetml/2006/main">
    <t xml:space="preserve">DAILY LOGS: JIGNESH SORATHAIA</t>
  </si>
  <si xmlns="http://schemas.openxmlformats.org/spreadsheetml/2006/main">
    <t xml:space="preserve">213h 24m</t>
  </si>
  <si xmlns="http://schemas.openxmlformats.org/spreadsheetml/2006/main">
    <t xml:space="preserve">DAILY LOGS: JYOTHISH R</t>
  </si>
  <si xmlns="http://schemas.openxmlformats.org/spreadsheetml/2006/main">
    <t xml:space="preserve">207h 11m</t>
  </si>
  <si xmlns="http://schemas.openxmlformats.org/spreadsheetml/2006/main">
    <t xml:space="preserve">DAILY LOGS: KETANKUMAR PATEL</t>
  </si>
  <si xmlns="http://schemas.openxmlformats.org/spreadsheetml/2006/main">
    <t xml:space="preserve">Late In (35m), Early Out (44m)</t>
  </si>
  <si xmlns="http://schemas.openxmlformats.org/spreadsheetml/2006/main">
    <t xml:space="preserve">1:21 PM</t>
  </si>
  <si xmlns="http://schemas.openxmlformats.org/spreadsheetml/2006/main">
    <t xml:space="preserve">5h 24m</t>
  </si>
  <si xmlns="http://schemas.openxmlformats.org/spreadsheetml/2006/main">
    <t xml:space="preserve">Late In (201m)</t>
  </si>
  <si xmlns="http://schemas.openxmlformats.org/spreadsheetml/2006/main">
    <t xml:space="preserve">180h 55m</t>
  </si>
  <si xmlns="http://schemas.openxmlformats.org/spreadsheetml/2006/main">
    <t xml:space="preserve">DAILY LOGS: LEENA VIJAYAN</t>
  </si>
  <si xmlns="http://schemas.openxmlformats.org/spreadsheetml/2006/main">
    <t xml:space="preserve">5:02 PM</t>
  </si>
  <si xmlns="http://schemas.openxmlformats.org/spreadsheetml/2006/main">
    <t xml:space="preserve">6h 24m</t>
  </si>
  <si xmlns="http://schemas.openxmlformats.org/spreadsheetml/2006/main">
    <t xml:space="preserve">Late In (38m), Early Out (118m)</t>
  </si>
  <si xmlns="http://schemas.openxmlformats.org/spreadsheetml/2006/main">
    <t xml:space="preserve">1h 31m</t>
  </si>
  <si xmlns="http://schemas.openxmlformats.org/spreadsheetml/2006/main">
    <t xml:space="preserve">210h 20m</t>
  </si>
  <si xmlns="http://schemas.openxmlformats.org/spreadsheetml/2006/main">
    <t xml:space="preserve">DAILY LOGS: MANU PILLAI</t>
  </si>
  <si xmlns="http://schemas.openxmlformats.org/spreadsheetml/2006/main">
    <t xml:space="preserve">177h 17m</t>
  </si>
  <si xmlns="http://schemas.openxmlformats.org/spreadsheetml/2006/main">
    <t xml:space="preserve">DAILY LOGS: MAUSAM RAKSHIT</t>
  </si>
  <si xmlns="http://schemas.openxmlformats.org/spreadsheetml/2006/main">
    <t xml:space="preserve">DAILY LOGS: PARTHIV JADAV</t>
  </si>
  <si xmlns="http://schemas.openxmlformats.org/spreadsheetml/2006/main">
    <t xml:space="preserve">Early Out (72m)</t>
  </si>
  <si xmlns="http://schemas.openxmlformats.org/spreadsheetml/2006/main">
    <t xml:space="preserve">7h 40m</t>
  </si>
  <si xmlns="http://schemas.openxmlformats.org/spreadsheetml/2006/main">
    <t xml:space="preserve">Late In (39m), Early Out (41m)</t>
  </si>
  <si xmlns="http://schemas.openxmlformats.org/spreadsheetml/2006/main">
    <t xml:space="preserve">5:01 PM</t>
  </si>
  <si xmlns="http://schemas.openxmlformats.org/spreadsheetml/2006/main">
    <t xml:space="preserve">7h 10m</t>
  </si>
  <si xmlns="http://schemas.openxmlformats.org/spreadsheetml/2006/main">
    <t xml:space="preserve">Early Out (119m)</t>
  </si>
  <si xmlns="http://schemas.openxmlformats.org/spreadsheetml/2006/main">
    <t xml:space="preserve">3h 43m</t>
  </si>
  <si xmlns="http://schemas.openxmlformats.org/spreadsheetml/2006/main">
    <t xml:space="preserve">4:15 PM</t>
  </si>
  <si xmlns="http://schemas.openxmlformats.org/spreadsheetml/2006/main">
    <t xml:space="preserve">Early Out (165m)</t>
  </si>
  <si xmlns="http://schemas.openxmlformats.org/spreadsheetml/2006/main">
    <t xml:space="preserve">4:03 PM</t>
  </si>
  <si xmlns="http://schemas.openxmlformats.org/spreadsheetml/2006/main">
    <t xml:space="preserve">Early Out (177m)</t>
  </si>
  <si xmlns="http://schemas.openxmlformats.org/spreadsheetml/2006/main">
    <t xml:space="preserve">6h 44m</t>
  </si>
  <si xmlns="http://schemas.openxmlformats.org/spreadsheetml/2006/main">
    <t xml:space="preserve">Late In (68m), Early Out (66m)</t>
  </si>
  <si xmlns="http://schemas.openxmlformats.org/spreadsheetml/2006/main">
    <t xml:space="preserve">230h 39m</t>
  </si>
  <si xmlns="http://schemas.openxmlformats.org/spreadsheetml/2006/main">
    <t xml:space="preserve">DAILY LOGS: PRAMOD THEKEPATTU</t>
  </si>
  <si xmlns="http://schemas.openxmlformats.org/spreadsheetml/2006/main">
    <t xml:space="preserve">212h 2m</t>
  </si>
  <si xmlns="http://schemas.openxmlformats.org/spreadsheetml/2006/main">
    <t xml:space="preserve">DAILY LOGS: PREM CHAUDHARY</t>
  </si>
  <si xmlns="http://schemas.openxmlformats.org/spreadsheetml/2006/main">
    <t xml:space="preserve">Late In (19m), Early Out (89m)</t>
  </si>
  <si xmlns="http://schemas.openxmlformats.org/spreadsheetml/2006/main">
    <t xml:space="preserve">3:29 PM</t>
  </si>
  <si xmlns="http://schemas.openxmlformats.org/spreadsheetml/2006/main">
    <t xml:space="preserve">Late In (24m), Early Out (210m)</t>
  </si>
  <si xmlns="http://schemas.openxmlformats.org/spreadsheetml/2006/main">
    <t xml:space="preserve">5:04 PM</t>
  </si>
  <si xmlns="http://schemas.openxmlformats.org/spreadsheetml/2006/main">
    <t xml:space="preserve">6h 56m</t>
  </si>
  <si xmlns="http://schemas.openxmlformats.org/spreadsheetml/2006/main">
    <t xml:space="preserve">Early Out (116m)</t>
  </si>
  <si xmlns="http://schemas.openxmlformats.org/spreadsheetml/2006/main">
    <t xml:space="preserve">141h 19m</t>
  </si>
  <si xmlns="http://schemas.openxmlformats.org/spreadsheetml/2006/main">
    <t xml:space="preserve">DAILY LOGS: RAJAN ARANAMKATTE</t>
  </si>
  <si xmlns="http://schemas.openxmlformats.org/spreadsheetml/2006/main">
    <t xml:space="preserve">DAILY LOGS: RAVI PATEL</t>
  </si>
  <si xmlns="http://schemas.openxmlformats.org/spreadsheetml/2006/main">
    <t xml:space="preserve">9:11 PM</t>
  </si>
  <si xmlns="http://schemas.openxmlformats.org/spreadsheetml/2006/main">
    <t xml:space="preserve">205h 51m</t>
  </si>
  <si xmlns="http://schemas.openxmlformats.org/spreadsheetml/2006/main">
    <t xml:space="preserve">DAILY LOGS: RENJITH R</t>
  </si>
  <si xmlns="http://schemas.openxmlformats.org/spreadsheetml/2006/main">
    <t xml:space="preserve">Late In (31m), Early Out (22m)</t>
  </si>
  <si xmlns="http://schemas.openxmlformats.org/spreadsheetml/2006/main">
    <t xml:space="preserve">Late In (67m), Early Out (27m)</t>
  </si>
  <si xmlns="http://schemas.openxmlformats.org/spreadsheetml/2006/main">
    <t xml:space="preserve">6:08 PM</t>
  </si>
  <si xmlns="http://schemas.openxmlformats.org/spreadsheetml/2006/main">
    <t xml:space="preserve">Early Out (51m)</t>
  </si>
  <si xmlns="http://schemas.openxmlformats.org/spreadsheetml/2006/main">
    <t xml:space="preserve">6:27 PM</t>
  </si>
  <si xmlns="http://schemas.openxmlformats.org/spreadsheetml/2006/main">
    <t xml:space="preserve">Early Out (32m)</t>
  </si>
  <si xmlns="http://schemas.openxmlformats.org/spreadsheetml/2006/main">
    <t xml:space="preserve">Early Out (45m)</t>
  </si>
  <si xmlns="http://schemas.openxmlformats.org/spreadsheetml/2006/main">
    <t xml:space="preserve">6:45 AM</t>
  </si>
  <si xmlns="http://schemas.openxmlformats.org/spreadsheetml/2006/main">
    <t xml:space="preserve">200h 46m</t>
  </si>
  <si xmlns="http://schemas.openxmlformats.org/spreadsheetml/2006/main">
    <t xml:space="preserve">DAILY LOGS: SANJIV SONI</t>
  </si>
  <si xmlns="http://schemas.openxmlformats.org/spreadsheetml/2006/main">
    <t xml:space="preserve">Late In (23m), Early Out (515m)</t>
  </si>
  <si xmlns="http://schemas.openxmlformats.org/spreadsheetml/2006/main">
    <t xml:space="preserve">12:23 PM</t>
  </si>
  <si xmlns="http://schemas.openxmlformats.org/spreadsheetml/2006/main">
    <t xml:space="preserve">6h 36m</t>
  </si>
  <si xmlns="http://schemas.openxmlformats.org/spreadsheetml/2006/main">
    <t xml:space="preserve">Late In (143m)</t>
  </si>
  <si xmlns="http://schemas.openxmlformats.org/spreadsheetml/2006/main">
    <t xml:space="preserve">132h 32m</t>
  </si>
  <si xmlns="http://schemas.openxmlformats.org/spreadsheetml/2006/main">
    <t xml:space="preserve">DAILY LOGS: SHALINI ARUN</t>
  </si>
  <si xmlns="http://schemas.openxmlformats.org/spreadsheetml/2006/main">
    <t xml:space="preserve">Late In (1486m)</t>
  </si>
  <si xmlns="http://schemas.openxmlformats.org/spreadsheetml/2006/main">
    <t xml:space="preserve">2:39 PM</t>
  </si>
  <si xmlns="http://schemas.openxmlformats.org/spreadsheetml/2006/main">
    <t xml:space="preserve">2h 45m</t>
  </si>
  <si xmlns="http://schemas.openxmlformats.org/spreadsheetml/2006/main">
    <t xml:space="preserve">203h 10m</t>
  </si>
  <si xmlns="http://schemas.openxmlformats.org/spreadsheetml/2006/main">
    <t xml:space="preserve">DAILY LOGS: SOJITH MAMMUTTIL</t>
  </si>
  <si xmlns="http://schemas.openxmlformats.org/spreadsheetml/2006/main">
    <t xml:space="preserve">3:32 PM</t>
  </si>
  <si xmlns="http://schemas.openxmlformats.org/spreadsheetml/2006/main">
    <t xml:space="preserve">2h 15m</t>
  </si>
  <si xmlns="http://schemas.openxmlformats.org/spreadsheetml/2006/main">
    <t xml:space="preserve">Late In (332m), Early Out (73m)</t>
  </si>
  <si xmlns="http://schemas.openxmlformats.org/spreadsheetml/2006/main">
    <t xml:space="preserve">Half Day (LWP)</t>
  </si>
  <si xmlns="http://schemas.openxmlformats.org/spreadsheetml/2006/main">
    <t xml:space="preserve">2:54 PM</t>
  </si>
  <si xmlns="http://schemas.openxmlformats.org/spreadsheetml/2006/main">
    <t xml:space="preserve">4h 36m</t>
  </si>
  <si xmlns="http://schemas.openxmlformats.org/spreadsheetml/2006/main">
    <t xml:space="preserve">Late In (294m)</t>
  </si>
  <si xmlns="http://schemas.openxmlformats.org/spreadsheetml/2006/main">
    <t xml:space="preserve">12:13 PM</t>
  </si>
  <si xmlns="http://schemas.openxmlformats.org/spreadsheetml/2006/main">
    <t xml:space="preserve">11:29 AM</t>
  </si>
  <si xmlns="http://schemas.openxmlformats.org/spreadsheetml/2006/main">
    <t xml:space="preserve">204h 23m</t>
  </si>
  <si xmlns="http://schemas.openxmlformats.org/spreadsheetml/2006/main">
    <t xml:space="preserve">DAILY LOGS: SOURAV A</t>
  </si>
  <si xmlns="http://schemas.openxmlformats.org/spreadsheetml/2006/main">
    <t xml:space="preserve">6:13 PM</t>
  </si>
  <si xmlns="http://schemas.openxmlformats.org/spreadsheetml/2006/main">
    <t xml:space="preserve">Early Out (46m)</t>
  </si>
  <si xmlns="http://schemas.openxmlformats.org/spreadsheetml/2006/main">
    <t xml:space="preserve">9:02 AM</t>
  </si>
  <si xmlns="http://schemas.openxmlformats.org/spreadsheetml/2006/main">
    <t xml:space="preserve">233h 20m</t>
  </si>
  <si xmlns="http://schemas.openxmlformats.org/spreadsheetml/2006/main">
    <t xml:space="preserve">DAILY LOGS: SREEKUMAR PILLAI</t>
  </si>
  <si xmlns="http://schemas.openxmlformats.org/spreadsheetml/2006/main">
    <t xml:space="preserve">212h 54m</t>
  </si>
  <si xmlns="http://schemas.openxmlformats.org/spreadsheetml/2006/main">
    <t xml:space="preserve">DAILY LOGS: SURAJ RAJAN</t>
  </si>
  <si xmlns="http://schemas.openxmlformats.org/spreadsheetml/2006/main">
    <t xml:space="preserve">DAILY LOGS: SUSEELA RAJAN</t>
  </si>
  <si xmlns="http://schemas.openxmlformats.org/spreadsheetml/2006/main">
    <t xml:space="preserve">DAILY LOGS: VINODCHANDRA RANA</t>
  </si>
  <si xmlns="http://schemas.openxmlformats.org/spreadsheetml/2006/main">
    <t xml:space="preserve">6:04 PM</t>
  </si>
  <si xmlns="http://schemas.openxmlformats.org/spreadsheetml/2006/main">
    <t xml:space="preserve">Early Out (55m)</t>
  </si>
  <si xmlns="http://schemas.openxmlformats.org/spreadsheetml/2006/main">
    <t xml:space="preserve">212h 43m</t>
  </si>
  <si xmlns="http://schemas.openxmlformats.org/spreadsheetml/2006/main">
    <t xml:space="preserve">DAILY LOGS: YASH SHAH</t>
  </si>
  <si xmlns="http://schemas.openxmlformats.org/spreadsheetml/2006/main">
    <t xml:space="preserve">5:45 PM</t>
  </si>
  <si xmlns="http://schemas.openxmlformats.org/spreadsheetml/2006/main">
    <t xml:space="preserve">Early Out (75m)</t>
  </si>
  <si xmlns="http://schemas.openxmlformats.org/spreadsheetml/2006/main">
    <t xml:space="preserve">7h 51m</t>
  </si>
  <si xmlns="http://schemas.openxmlformats.org/spreadsheetml/2006/main">
    <t xml:space="preserve">Early Out (70m)</t>
  </si>
  <si xmlns="http://schemas.openxmlformats.org/spreadsheetml/2006/main">
    <t xml:space="preserve">Early Out (98m)</t>
  </si>
  <si xmlns="http://schemas.openxmlformats.org/spreadsheetml/2006/main">
    <t xml:space="preserve">7h 48m</t>
  </si>
  <si xmlns="http://schemas.openxmlformats.org/spreadsheetml/2006/main">
    <t xml:space="preserve">6h 47m</t>
  </si>
  <si xmlns="http://schemas.openxmlformats.org/spreadsheetml/2006/main">
    <t xml:space="preserve">Late In (49m), Early Out (84m)</t>
  </si>
  <si xmlns="http://schemas.openxmlformats.org/spreadsheetml/2006/main">
    <t xml:space="preserve">205h 12m</t>
  </si>
  <si xmlns="http://schemas.openxmlformats.org/spreadsheetml/2006/main">
    <t xml:space="preserve">UNASSIGNED — ATTENDANCE &amp; LEAVE REGISTER</t>
  </si>
  <si xmlns="http://schemas.openxmlformats.org/spreadsheetml/2006/main">
    <t xml:space="preserve">Period: 01 Sep 2026 to 30 Sep 2026   |   Generated on: 16-Oct-2026 14:53   |   Staff Count: 6</t>
  </si>
  <si xmlns="http://schemas.openxmlformats.org/spreadsheetml/2006/main">
    <t xml:space="preserve">DO Team Pulse</t>
  </si>
  <si xmlns="http://schemas.openxmlformats.org/spreadsheetml/2006/main">
    <t xml:space="preserve">RAMDEV SINGH</t>
  </si>
  <si xmlns="http://schemas.openxmlformats.org/spreadsheetml/2006/main">
    <t xml:space="preserve">RAMVEER SINGH</t>
  </si>
  <si xmlns="http://schemas.openxmlformats.org/spreadsheetml/2006/main">
    <t xml:space="preserve">test_admin</t>
  </si>
  <si xmlns="http://schemas.openxmlformats.org/spreadsheetml/2006/main">
    <t xml:space="preserve">THAKOR RAMESHBHAI</t>
  </si>
  <si xmlns="http://schemas.openxmlformats.org/spreadsheetml/2006/main">
    <t xml:space="preserve">VIPIN SINGH</t>
  </si>
  <si xmlns="http://schemas.openxmlformats.org/spreadsheetml/2006/main">
    <t xml:space="preserve">DAILY LOGS: DO TEAM PULSE</t>
  </si>
  <si xmlns="http://schemas.openxmlformats.org/spreadsheetml/2006/main">
    <t xml:space="preserve">DAILY LOGS: RAMDEV SINGH</t>
  </si>
  <si xmlns="http://schemas.openxmlformats.org/spreadsheetml/2006/main">
    <t xml:space="preserve">DAILY LOGS: RAMVEER SINGH</t>
  </si>
  <si xmlns="http://schemas.openxmlformats.org/spreadsheetml/2006/main">
    <t xml:space="preserve">DAILY LOGS: TEST_ADMIN</t>
  </si>
  <si xmlns="http://schemas.openxmlformats.org/spreadsheetml/2006/main">
    <t xml:space="preserve">DAILY LOGS: THAKOR RAMESHBHAI</t>
  </si>
  <si xmlns="http://schemas.openxmlformats.org/spreadsheetml/2006/main">
    <t xml:space="preserve">DAILY LOGS: VIPIN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</si>
</sst>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xmlns="http://schemas.openxmlformats.org/spreadsheetml/2006/main" numFmtId="164" formatCode="#,##0.0"/>
    <numFmt xmlns="http://schemas.openxmlformats.org/spreadsheetml/2006/main" numFmtId="165" formatCode="0"/>
  </numFmts>
  <fonts count="55" x14ac:knownFonts="1">
    <font>
      <color theme="1"/>
      <family val="2"/>
      <scheme val="minor"/>
      <sz val="11"/>
      <name val="Calibri"/>
    </font>
    <font>
      <b/>
      <color rgb="FFFFFFFF"/>
      <sz val="13"/>
      <name val="Segoe UI"/>
    </font>
    <font>
      <i/>
      <color rgb="FFE2E8F0"/>
      <sz val="9.5"/>
      <name val="Segoe UI"/>
    </font>
    <font>
      <b/>
      <color rgb="FFFFFFFF"/>
      <sz val="10"/>
      <name val="Segoe UI"/>
    </font>
    <font>
      <b/>
      <color rgb="FF0F172A"/>
      <sz val="10"/>
      <name val="Segoe UI"/>
    </font>
    <font>
      <b/>
      <color rgb="FF166534"/>
      <sz val="10"/>
      <name val="Segoe UI"/>
    </font>
    <font>
      <b/>
      <color rgb="FF047857"/>
      <sz val="10"/>
      <name val="Segoe UI"/>
    </font>
    <font>
      <b/>
      <color rgb="FFB91C1C"/>
      <sz val="10"/>
      <name val="Segoe UI"/>
    </font>
    <font>
      <b/>
      <color rgb="FF6D28D9"/>
      <sz val="10"/>
      <name val="Segoe UI"/>
    </font>
    <font>
      <b/>
      <color rgb="FF4338CA"/>
      <sz val="10"/>
      <name val="Segoe UI"/>
    </font>
    <font>
      <b/>
      <color rgb="FF7E22CE"/>
      <sz val="10"/>
      <name val="Segoe UI"/>
    </font>
    <font>
      <b/>
      <color rgb="FF991B1B"/>
      <sz val="10"/>
      <name val="Segoe UI"/>
    </font>
    <font>
      <b/>
      <color rgb="FF475569"/>
      <sz val="10"/>
      <name val="Segoe UI"/>
    </font>
    <font>
      <b/>
      <color rgb="FFA16207"/>
      <sz val="10"/>
      <name val="Segoe UI"/>
    </font>
    <font>
      <b/>
      <color rgb="FFB45309"/>
      <sz val="10"/>
      <name val="Segoe UI"/>
    </font>
    <font>
      <b/>
      <color rgb="FFC2410C"/>
      <sz val="10"/>
      <name val="Segoe UI"/>
    </font>
    <font>
      <b/>
      <color rgb="FF15803D"/>
      <sz val="10"/>
      <name val="Segoe UI"/>
    </font>
    <font>
      <color rgb="FF334155"/>
      <sz val="10"/>
      <name val="Segoe UI"/>
    </font>
    <font>
      <b/>
      <color rgb="FFFFFFFF"/>
      <sz val="11"/>
      <name val="Segoe UI"/>
    </font>
    <font>
      <sz val="10"/>
      <name val="Segoe UI"/>
    </font>
    <font>
      <b/>
      <color rgb="FFD97706"/>
      <sz val="10"/>
      <name val="Segoe UI"/>
    </font>
    <font>
      <color rgb="FF059669"/>
      <sz val="10"/>
      <name val="Segoe UI"/>
    </font>
    <font>
      <b/>
      <color rgb="FF64748B"/>
      <sz val="10"/>
      <name val="Segoe UI"/>
    </font>
    <font>
      <b/>
      <color rgb="FF1D4ED8"/>
      <sz val="10"/>
      <name val="Segoe UI"/>
    </font>
    <font xmlns="http://schemas.openxmlformats.org/spreadsheetml/2006/main">
      <sz val="11"/>
      <color theme="1"/>
      <name val="Calibri"/>
      <family val="2"/>
      <scheme val="minor"/>
    </font>
    <font xmlns="http://schemas.openxmlformats.org/spreadsheetml/2006/main">
      <b/>
      <sz val="13"/>
      <color rgb="FFFFFFFF"/>
      <name val="Segoe UI"/>
    </font>
    <font xmlns="http://schemas.openxmlformats.org/spreadsheetml/2006/main">
      <i/>
      <sz val="9.5"/>
      <color rgb="FFE2E8F0"/>
      <name val="Segoe UI"/>
    </font>
    <font xmlns="http://schemas.openxmlformats.org/spreadsheetml/2006/main">
      <b/>
      <sz val="10"/>
      <color rgb="FFFFFFFF"/>
      <name val="Segoe UI"/>
    </font>
    <font xmlns="http://schemas.openxmlformats.org/spreadsheetml/2006/main">
      <b/>
      <sz val="10"/>
      <color rgb="FF0F172A"/>
      <name val="Segoe UI"/>
    </font>
    <font xmlns="http://schemas.openxmlformats.org/spreadsheetml/2006/main">
      <b/>
      <sz val="10"/>
      <color rgb="FF166534"/>
      <name val="Segoe UI"/>
    </font>
    <font xmlns="http://schemas.openxmlformats.org/spreadsheetml/2006/main">
      <b/>
      <sz val="10"/>
      <color rgb="FF047857"/>
      <name val="Segoe UI"/>
    </font>
    <font xmlns="http://schemas.openxmlformats.org/spreadsheetml/2006/main">
      <b/>
      <sz val="10"/>
      <color rgb="FFB91C1C"/>
      <name val="Segoe UI"/>
    </font>
    <font xmlns="http://schemas.openxmlformats.org/spreadsheetml/2006/main">
      <b/>
      <sz val="10"/>
      <color rgb="FF6D28D9"/>
      <name val="Segoe UI"/>
    </font>
    <font xmlns="http://schemas.openxmlformats.org/spreadsheetml/2006/main">
      <b/>
      <sz val="10"/>
      <color rgb="FF4338CA"/>
      <name val="Segoe UI"/>
    </font>
    <font xmlns="http://schemas.openxmlformats.org/spreadsheetml/2006/main">
      <b/>
      <sz val="10"/>
      <color rgb="FF7E22CE"/>
      <name val="Segoe UI"/>
    </font>
    <font xmlns="http://schemas.openxmlformats.org/spreadsheetml/2006/main">
      <b/>
      <sz val="10"/>
      <color rgb="FF991B1B"/>
      <name val="Segoe UI"/>
    </font>
    <font xmlns="http://schemas.openxmlformats.org/spreadsheetml/2006/main">
      <b/>
      <sz val="10"/>
      <color rgb="FF475569"/>
      <name val="Segoe UI"/>
    </font>
    <font xmlns="http://schemas.openxmlformats.org/spreadsheetml/2006/main">
      <b/>
      <sz val="10"/>
      <color rgb="FFA16207"/>
      <name val="Segoe UI"/>
    </font>
    <font xmlns="http://schemas.openxmlformats.org/spreadsheetml/2006/main">
      <b/>
      <sz val="10"/>
      <color rgb="FFB45309"/>
      <name val="Segoe UI"/>
    </font>
    <font xmlns="http://schemas.openxmlformats.org/spreadsheetml/2006/main">
      <b/>
      <sz val="10"/>
      <color rgb="FFC2410C"/>
      <name val="Segoe UI"/>
    </font>
    <font xmlns="http://schemas.openxmlformats.org/spreadsheetml/2006/main">
      <b/>
      <sz val="10"/>
      <color rgb="FF15803D"/>
      <name val="Segoe UI"/>
    </font>
    <font xmlns="http://schemas.openxmlformats.org/spreadsheetml/2006/main">
      <sz val="10"/>
      <color rgb="FF334155"/>
      <name val="Segoe UI"/>
    </font>
    <font xmlns="http://schemas.openxmlformats.org/spreadsheetml/2006/main">
      <b/>
      <sz val="11"/>
      <color rgb="FFFFFFFF"/>
      <name val="Segoe UI"/>
    </font>
    <font xmlns="http://schemas.openxmlformats.org/spreadsheetml/2006/main">
      <sz val="10"/>
      <name val="Segoe UI"/>
    </font>
    <font xmlns="http://schemas.openxmlformats.org/spreadsheetml/2006/main">
      <b/>
      <sz val="10"/>
      <color rgb="FFD97706"/>
      <name val="Segoe UI"/>
    </font>
    <font xmlns="http://schemas.openxmlformats.org/spreadsheetml/2006/main">
      <sz val="10"/>
      <color rgb="FF059669"/>
      <name val="Segoe UI"/>
    </font>
    <font xmlns="http://schemas.openxmlformats.org/spreadsheetml/2006/main">
      <b/>
      <sz val="10"/>
      <color rgb="FF64748B"/>
      <name val="Segoe UI"/>
    </font>
    <font xmlns="http://schemas.openxmlformats.org/spreadsheetml/2006/main">
      <b/>
      <sz val="10"/>
      <color rgb="FF1D4ED8"/>
      <name val="Segoe UI"/>
    </font>
    <font xmlns="http://schemas.openxmlformats.org/spreadsheetml/2006/main">
      <sz val="10"/>
      <color rgb="FF183247"/>
      <name val="Arial"/>
      <family val="2"/>
      <scheme val="minor"/>
    </font>
    <font xmlns="http://schemas.openxmlformats.org/spreadsheetml/2006/main">
      <b/>
      <sz val="16"/>
      <color rgb="FF183247"/>
      <name val="Arial"/>
      <family val="2"/>
      <scheme val="minor"/>
    </font>
    <font xmlns="http://schemas.openxmlformats.org/spreadsheetml/2006/main">
      <sz val="10"/>
      <color rgb="FF597080"/>
      <name val="Arial"/>
      <family val="2"/>
      <scheme val="minor"/>
    </font>
    <font xmlns="http://schemas.openxmlformats.org/spreadsheetml/2006/main">
      <b/>
      <sz val="10"/>
      <color rgb="FFFFFFFF"/>
      <name val="Arial"/>
      <family val="2"/>
      <scheme val="minor"/>
    </font>
    <font xmlns="http://schemas.openxmlformats.org/spreadsheetml/2006/main">
      <b/>
      <sz val="20"/>
      <color rgb="FF146C78"/>
      <name val="Arial"/>
      <family val="2"/>
      <scheme val="minor"/>
    </font>
    <font xmlns="http://schemas.openxmlformats.org/spreadsheetml/2006/main">
      <b/>
      <sz val="12"/>
      <color rgb="FF183247"/>
      <name val="Arial"/>
      <family val="2"/>
      <scheme val="minor"/>
    </font>
    <font xmlns="http://schemas.openxmlformats.org/spreadsheetml/2006/main">
      <b/>
      <sz val="10"/>
      <color rgb="FF183247"/>
      <name val="Arial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0FDF4"/>
      </patternFill>
    </fill>
    <fill>
      <patternFill patternType="solid">
        <fgColor rgb="FFECFDF5"/>
      </patternFill>
    </fill>
    <fill>
      <patternFill patternType="solid">
        <fgColor rgb="FFFEF2F2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FAF5FF"/>
      </patternFill>
    </fill>
    <fill>
      <patternFill patternType="solid">
        <fgColor rgb="FFF8FAFC"/>
      </patternFill>
    </fill>
    <fill>
      <patternFill patternType="solid">
        <fgColor rgb="FFFEFCE8"/>
      </patternFill>
    </fill>
    <fill>
      <patternFill patternType="solid">
        <fgColor rgb="FFFFFBEB"/>
      </patternFill>
    </fill>
    <fill>
      <patternFill patternType="solid">
        <fgColor rgb="FFFFF7ED"/>
      </patternFill>
    </fill>
    <fill>
      <patternFill patternType="solid">
        <fgColor rgb="FFF1F5F9"/>
      </patternFill>
    </fill>
    <fill>
      <patternFill patternType="solid">
        <fgColor rgb="FF1E3A8A"/>
      </patternFill>
    </fill>
    <fill>
      <patternFill patternType="solid">
        <fgColor rgb="FF334155"/>
      </patternFill>
    </fill>
    <fill>
      <patternFill patternType="solid">
        <fgColor rgb="FFE2E8F0"/>
      </patternFill>
    </fill>
    <fill>
      <patternFill patternType="solid">
        <fgColor rgb="FFEFF6FF"/>
      </patternFill>
    </fill>
    <fill xmlns="http://schemas.openxmlformats.org/spreadsheetml/2006/main">
      <patternFill patternType="none"/>
    </fill>
    <fill xmlns="http://schemas.openxmlformats.org/spreadsheetml/2006/main">
      <patternFill patternType="gray125"/>
    </fill>
    <fill xmlns="http://schemas.openxmlformats.org/spreadsheetml/2006/main">
      <patternFill patternType="solid">
        <fgColor rgb="FF0F172A"/>
      </patternFill>
    </fill>
    <fill xmlns="http://schemas.openxmlformats.org/spreadsheetml/2006/main">
      <patternFill patternType="solid">
        <fgColor rgb="FF1E293B"/>
      </patternFill>
    </fill>
    <fill xmlns="http://schemas.openxmlformats.org/spreadsheetml/2006/main">
      <patternFill patternType="solid">
        <fgColor rgb="FFFFFFFF"/>
      </patternFill>
    </fill>
    <fill xmlns="http://schemas.openxmlformats.org/spreadsheetml/2006/main">
      <patternFill patternType="solid">
        <fgColor rgb="FFF0FDF4"/>
      </patternFill>
    </fill>
    <fill xmlns="http://schemas.openxmlformats.org/spreadsheetml/2006/main">
      <patternFill patternType="solid">
        <fgColor rgb="FFECFDF5"/>
      </patternFill>
    </fill>
    <fill xmlns="http://schemas.openxmlformats.org/spreadsheetml/2006/main">
      <patternFill patternType="solid">
        <fgColor rgb="FFFEF2F2"/>
      </patternFill>
    </fill>
    <fill xmlns="http://schemas.openxmlformats.org/spreadsheetml/2006/main">
      <patternFill patternType="solid">
        <fgColor rgb="FFF5F3FF"/>
      </patternFill>
    </fill>
    <fill xmlns="http://schemas.openxmlformats.org/spreadsheetml/2006/main">
      <patternFill patternType="solid">
        <fgColor rgb="FFEEF2FF"/>
      </patternFill>
    </fill>
    <fill xmlns="http://schemas.openxmlformats.org/spreadsheetml/2006/main">
      <patternFill patternType="solid">
        <fgColor rgb="FFFAF5FF"/>
      </patternFill>
    </fill>
    <fill xmlns="http://schemas.openxmlformats.org/spreadsheetml/2006/main">
      <patternFill patternType="solid">
        <fgColor rgb="FFF8FAFC"/>
      </patternFill>
    </fill>
    <fill xmlns="http://schemas.openxmlformats.org/spreadsheetml/2006/main">
      <patternFill patternType="solid">
        <fgColor rgb="FFFEFCE8"/>
      </patternFill>
    </fill>
    <fill xmlns="http://schemas.openxmlformats.org/spreadsheetml/2006/main">
      <patternFill patternType="solid">
        <fgColor rgb="FFFFFBEB"/>
      </patternFill>
    </fill>
    <fill xmlns="http://schemas.openxmlformats.org/spreadsheetml/2006/main">
      <patternFill patternType="solid">
        <fgColor rgb="FFFFF7ED"/>
      </patternFill>
    </fill>
    <fill xmlns="http://schemas.openxmlformats.org/spreadsheetml/2006/main">
      <patternFill patternType="solid">
        <fgColor rgb="FFF1F5F9"/>
      </patternFill>
    </fill>
    <fill xmlns="http://schemas.openxmlformats.org/spreadsheetml/2006/main">
      <patternFill patternType="solid">
        <fgColor rgb="FF1E3A8A"/>
      </patternFill>
    </fill>
    <fill xmlns="http://schemas.openxmlformats.org/spreadsheetml/2006/main">
      <patternFill patternType="solid">
        <fgColor rgb="FF334155"/>
      </patternFill>
    </fill>
    <fill xmlns="http://schemas.openxmlformats.org/spreadsheetml/2006/main">
      <patternFill patternType="solid">
        <fgColor rgb="FFE2E8F0"/>
      </patternFill>
    </fill>
    <fill xmlns="http://schemas.openxmlformats.org/spreadsheetml/2006/main">
      <patternFill patternType="solid">
        <fgColor rgb="FFEFF6FF"/>
      </patternFill>
    </fill>
    <fill xmlns="http://schemas.openxmlformats.org/spreadsheetml/2006/main">
      <patternFill patternType="solid">
        <fgColor rgb="FF146C78"/>
      </patternFill>
    </fill>
    <fill xmlns="http://schemas.openxmlformats.org/spreadsheetml/2006/main">
      <patternFill patternType="solid">
        <fgColor rgb="FFF0F5F8"/>
      </patternFill>
    </fill>
    <fill xmlns="http://schemas.openxmlformats.org/spreadsheetml/2006/main">
      <patternFill patternType="solid">
        <fgColor rgb="FFF4F7F9"/>
      </patternFill>
    </fill>
    <fill xmlns="http://schemas.openxmlformats.org/spreadsheetml/2006/main">
      <patternFill patternType="solid">
        <fgColor rgb="FFE5EFF3"/>
      </patternFill>
    </fill>
  </fills>
  <borders count="8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 xmlns="http://schemas.openxmlformats.org/spreadsheetml/2006/main">
      <left/>
      <right/>
      <top/>
      <bottom/>
      <diagonal/>
    </border>
    <border xmlns="http://schemas.openxmlformats.org/spreadsheetml/2006/main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 xmlns="http://schemas.openxmlformats.org/spreadsheetml/2006/main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xmlns="http://schemas.openxmlformats.org/spreadsheetml/2006/main">
      <left/>
      <right/>
      <top style="thin">
        <color rgb="FF94A3B8"/>
      </top>
      <bottom style="thin">
        <color rgb="FF94A3B8"/>
      </bottom>
      <diagonal/>
    </border>
  </borders>
  <cellStyleXfs count="2">
    <xf numFmtId="0" fontId="0" fillId="0" borderId="0"/>
    <xf xmlns="http://schemas.openxmlformats.org/spreadsheetml/2006/main" numFmtId="0" fontId="24" fillId="20" borderId="4"/>
  </cellStyleXfs>
  <cellXfs count="10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0" fillId="0" borderId="2" xfId="0" applyBorder="1"/>
    <xf numFmtId="0" fontId="14" fillId="13" borderId="2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left" vertical="center" indent="1"/>
    </xf>
    <xf numFmtId="0" fontId="18" fillId="16" borderId="0" xfId="0" applyFont="1" applyFill="1" applyAlignment="1">
      <alignment horizontal="center" vertical="center"/>
    </xf>
    <xf numFmtId="0" fontId="3" fillId="17" borderId="1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left" vertical="center" indent="1"/>
    </xf>
    <xf numFmtId="0" fontId="19" fillId="11" borderId="2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left" vertical="center" indent="1"/>
    </xf>
    <xf numFmtId="0" fontId="4" fillId="18" borderId="3" xfId="0" applyFont="1" applyFill="1" applyBorder="1" applyAlignment="1">
      <alignment horizontal="left" vertical="center" indent="1"/>
    </xf>
    <xf numFmtId="0" fontId="4" fillId="18" borderId="3" xfId="0" applyFont="1" applyFill="1" applyBorder="1" applyAlignment="1">
      <alignment horizontal="center" vertical="center"/>
    </xf>
    <xf numFmtId="0" fontId="4" fillId="18" borderId="3" xfId="0" applyFont="1" applyFill="1" applyBorder="1"/>
    <xf numFmtId="0" fontId="20" fillId="4" borderId="2" xfId="0" applyFont="1" applyFill="1" applyBorder="1" applyAlignment="1">
      <alignment horizontal="center" vertical="center"/>
    </xf>
    <xf numFmtId="0" fontId="21" fillId="11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2" fillId="11" borderId="2" xfId="0" applyFont="1" applyFill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3" fillId="19" borderId="2" xfId="0" applyFont="1" applyFill="1" applyBorder="1" applyAlignment="1">
      <alignment horizontal="center" vertical="center"/>
    </xf>
    <xf xmlns="http://schemas.openxmlformats.org/spreadsheetml/2006/main" numFmtId="0" fontId="24" fillId="20" borderId="4" xfId="1"/>
    <xf xmlns="http://schemas.openxmlformats.org/spreadsheetml/2006/main" numFmtId="0" fontId="25" fillId="22" borderId="4" xfId="1" applyFont="1" applyFill="1" applyAlignment="1">
      <alignment horizontal="center" vertical="center"/>
    </xf>
    <xf xmlns="http://schemas.openxmlformats.org/spreadsheetml/2006/main" numFmtId="0" fontId="26" fillId="23" borderId="4" xfId="1" applyFont="1" applyFill="1" applyAlignment="1">
      <alignment horizontal="center" vertical="center"/>
    </xf>
    <xf xmlns="http://schemas.openxmlformats.org/spreadsheetml/2006/main" numFmtId="0" fontId="27" fillId="22" borderId="5" xfId="1" applyFont="1" applyFill="1" applyBorder="1" applyAlignment="1">
      <alignment horizontal="center" vertical="center" wrapText="1"/>
    </xf>
    <xf xmlns="http://schemas.openxmlformats.org/spreadsheetml/2006/main" numFmtId="0" fontId="28" fillId="24" borderId="6" xfId="1" applyFont="1" applyFill="1" applyBorder="1" applyAlignment="1">
      <alignment horizontal="left" vertical="center"/>
    </xf>
    <xf xmlns="http://schemas.openxmlformats.org/spreadsheetml/2006/main" numFmtId="0" fontId="29" fillId="25" borderId="6" xfId="1" applyFont="1" applyFill="1" applyBorder="1" applyAlignment="1">
      <alignment horizontal="center" vertical="center"/>
    </xf>
    <xf xmlns="http://schemas.openxmlformats.org/spreadsheetml/2006/main" numFmtId="0" fontId="30" fillId="26" borderId="6" xfId="1" applyFont="1" applyFill="1" applyBorder="1" applyAlignment="1">
      <alignment horizontal="center" vertical="center"/>
    </xf>
    <xf xmlns="http://schemas.openxmlformats.org/spreadsheetml/2006/main" numFmtId="0" fontId="31" fillId="27" borderId="6" xfId="1" applyFont="1" applyFill="1" applyBorder="1" applyAlignment="1">
      <alignment horizontal="center" vertical="center"/>
    </xf>
    <xf xmlns="http://schemas.openxmlformats.org/spreadsheetml/2006/main" numFmtId="0" fontId="32" fillId="28" borderId="6" xfId="1" applyFont="1" applyFill="1" applyBorder="1" applyAlignment="1">
      <alignment horizontal="center" vertical="center"/>
    </xf>
    <xf xmlns="http://schemas.openxmlformats.org/spreadsheetml/2006/main" numFmtId="0" fontId="33" fillId="29" borderId="6" xfId="1" applyFont="1" applyFill="1" applyBorder="1" applyAlignment="1">
      <alignment horizontal="center" vertical="center"/>
    </xf>
    <xf xmlns="http://schemas.openxmlformats.org/spreadsheetml/2006/main" numFmtId="0" fontId="34" fillId="30" borderId="6" xfId="1" applyFont="1" applyFill="1" applyBorder="1" applyAlignment="1">
      <alignment horizontal="center" vertical="center"/>
    </xf>
    <xf xmlns="http://schemas.openxmlformats.org/spreadsheetml/2006/main" numFmtId="0" fontId="35" fillId="27" borderId="6" xfId="1" applyFont="1" applyFill="1" applyBorder="1" applyAlignment="1">
      <alignment horizontal="center" vertical="center"/>
    </xf>
    <xf xmlns="http://schemas.openxmlformats.org/spreadsheetml/2006/main" numFmtId="0" fontId="36" fillId="31" borderId="6" xfId="1" applyFont="1" applyFill="1" applyBorder="1" applyAlignment="1">
      <alignment horizontal="center" vertical="center"/>
    </xf>
    <xf xmlns="http://schemas.openxmlformats.org/spreadsheetml/2006/main" numFmtId="0" fontId="37" fillId="32" borderId="6" xfId="1" applyFont="1" applyFill="1" applyBorder="1" applyAlignment="1">
      <alignment horizontal="center" vertical="center"/>
    </xf>
    <xf xmlns="http://schemas.openxmlformats.org/spreadsheetml/2006/main" numFmtId="0" fontId="24" fillId="20" borderId="6" xfId="1" applyBorder="1"/>
    <xf xmlns="http://schemas.openxmlformats.org/spreadsheetml/2006/main" numFmtId="0" fontId="38" fillId="33" borderId="6" xfId="1" applyFont="1" applyFill="1" applyBorder="1" applyAlignment="1">
      <alignment horizontal="center" vertical="center"/>
    </xf>
    <xf xmlns="http://schemas.openxmlformats.org/spreadsheetml/2006/main" numFmtId="0" fontId="39" fillId="34" borderId="6" xfId="1" applyFont="1" applyFill="1" applyBorder="1" applyAlignment="1">
      <alignment horizontal="center" vertical="center"/>
    </xf>
    <xf xmlns="http://schemas.openxmlformats.org/spreadsheetml/2006/main" numFmtId="0" fontId="40" fillId="25" borderId="6" xfId="1" applyFont="1" applyFill="1" applyBorder="1" applyAlignment="1">
      <alignment horizontal="center" vertical="center"/>
    </xf>
    <xf xmlns="http://schemas.openxmlformats.org/spreadsheetml/2006/main" numFmtId="0" fontId="41" fillId="35" borderId="6" xfId="1" applyFont="1" applyFill="1" applyBorder="1" applyAlignment="1">
      <alignment horizontal="center" vertical="center"/>
    </xf>
    <xf xmlns="http://schemas.openxmlformats.org/spreadsheetml/2006/main" numFmtId="0" fontId="28" fillId="31" borderId="6" xfId="1" applyFont="1" applyFill="1" applyBorder="1" applyAlignment="1">
      <alignment horizontal="left" vertical="center"/>
    </xf>
    <xf xmlns="http://schemas.openxmlformats.org/spreadsheetml/2006/main" numFmtId="0" fontId="42" fillId="36" borderId="4" xfId="1" applyFont="1" applyFill="1" applyAlignment="1">
      <alignment horizontal="center" vertical="center"/>
    </xf>
    <xf xmlns="http://schemas.openxmlformats.org/spreadsheetml/2006/main" numFmtId="0" fontId="27" fillId="37" borderId="5" xfId="1" applyFont="1" applyFill="1" applyBorder="1" applyAlignment="1">
      <alignment horizontal="center" vertical="center" wrapText="1"/>
    </xf>
    <xf xmlns="http://schemas.openxmlformats.org/spreadsheetml/2006/main" numFmtId="0" fontId="43" fillId="24" borderId="6" xfId="1" applyFont="1" applyFill="1" applyBorder="1" applyAlignment="1">
      <alignment horizontal="center" vertical="center"/>
    </xf>
    <xf xmlns="http://schemas.openxmlformats.org/spreadsheetml/2006/main" numFmtId="0" fontId="43" fillId="24" borderId="6" xfId="1" applyFont="1" applyFill="1" applyBorder="1" applyAlignment="1">
      <alignment horizontal="left" vertical="center"/>
    </xf>
    <xf xmlns="http://schemas.openxmlformats.org/spreadsheetml/2006/main" numFmtId="0" fontId="43" fillId="31" borderId="6" xfId="1" applyFont="1" applyFill="1" applyBorder="1" applyAlignment="1">
      <alignment horizontal="center" vertical="center"/>
    </xf>
    <xf xmlns="http://schemas.openxmlformats.org/spreadsheetml/2006/main" numFmtId="0" fontId="43" fillId="31" borderId="6" xfId="1" applyFont="1" applyFill="1" applyBorder="1" applyAlignment="1">
      <alignment horizontal="left" vertical="center"/>
    </xf>
    <xf xmlns="http://schemas.openxmlformats.org/spreadsheetml/2006/main" numFmtId="0" fontId="28" fillId="38" borderId="7" xfId="1" applyFont="1" applyFill="1" applyBorder="1" applyAlignment="1">
      <alignment horizontal="left" vertical="center"/>
    </xf>
    <xf xmlns="http://schemas.openxmlformats.org/spreadsheetml/2006/main" numFmtId="0" fontId="28" fillId="38" borderId="7" xfId="1" applyFont="1" applyFill="1" applyBorder="1" applyAlignment="1">
      <alignment horizontal="center" vertical="center"/>
    </xf>
    <xf xmlns="http://schemas.openxmlformats.org/spreadsheetml/2006/main" numFmtId="0" fontId="28" fillId="38" borderId="7" xfId="1" applyFont="1" applyFill="1" applyBorder="1"/>
    <xf xmlns="http://schemas.openxmlformats.org/spreadsheetml/2006/main" numFmtId="0" fontId="44" fillId="24" borderId="6" xfId="1" applyFont="1" applyFill="1" applyBorder="1" applyAlignment="1">
      <alignment horizontal="center" vertical="center"/>
    </xf>
    <xf xmlns="http://schemas.openxmlformats.org/spreadsheetml/2006/main" numFmtId="0" fontId="45" fillId="31" borderId="6" xfId="1" applyFont="1" applyFill="1" applyBorder="1" applyAlignment="1">
      <alignment horizontal="center" vertical="center"/>
    </xf>
    <xf xmlns="http://schemas.openxmlformats.org/spreadsheetml/2006/main" numFmtId="0" fontId="44" fillId="33" borderId="6" xfId="1" applyFont="1" applyFill="1" applyBorder="1" applyAlignment="1">
      <alignment horizontal="center" vertical="center"/>
    </xf>
    <xf xmlns="http://schemas.openxmlformats.org/spreadsheetml/2006/main" numFmtId="0" fontId="45" fillId="24" borderId="6" xfId="1" applyFont="1" applyFill="1" applyBorder="1" applyAlignment="1">
      <alignment horizontal="center" vertical="center"/>
    </xf>
    <xf xmlns="http://schemas.openxmlformats.org/spreadsheetml/2006/main" numFmtId="0" fontId="46" fillId="31" borderId="6" xfId="1" applyFont="1" applyFill="1" applyBorder="1" applyAlignment="1">
      <alignment horizontal="center" vertical="center"/>
    </xf>
    <xf xmlns="http://schemas.openxmlformats.org/spreadsheetml/2006/main" numFmtId="0" fontId="44" fillId="31" borderId="6" xfId="1" applyFont="1" applyFill="1" applyBorder="1" applyAlignment="1">
      <alignment horizontal="center" vertical="center"/>
    </xf>
    <xf xmlns="http://schemas.openxmlformats.org/spreadsheetml/2006/main" numFmtId="0" fontId="46" fillId="24" borderId="6" xfId="1" applyFont="1" applyFill="1" applyBorder="1" applyAlignment="1">
      <alignment horizontal="center" vertical="center"/>
    </xf>
    <xf xmlns="http://schemas.openxmlformats.org/spreadsheetml/2006/main" numFmtId="0" fontId="47" fillId="39" borderId="6" xfId="1" applyFont="1" applyFill="1" applyBorder="1" applyAlignment="1">
      <alignment horizontal="center" vertical="center"/>
    </xf>
    <xf xmlns="http://schemas.openxmlformats.org/spreadsheetml/2006/main" numFmtId="0" fontId="48" fillId="20" borderId="4" xfId="1" applyNumberFormat="1" applyFont="1" applyFill="1" applyBorder="1"/>
    <xf xmlns="http://schemas.openxmlformats.org/spreadsheetml/2006/main" numFmtId="0" fontId="48" fillId="20" borderId="4" xfId="1" applyNumberFormat="1" applyFont="1" applyFill="1" applyBorder="1" applyAlignment="1">
      <alignment vertical="center"/>
    </xf>
    <xf xmlns="http://schemas.openxmlformats.org/spreadsheetml/2006/main" numFmtId="0" fontId="49" fillId="20" borderId="4" xfId="1" applyNumberFormat="1" applyFont="1" applyFill="1" applyBorder="1" applyAlignment="1">
      <alignment vertical="center"/>
    </xf>
    <xf xmlns="http://schemas.openxmlformats.org/spreadsheetml/2006/main" numFmtId="0" fontId="50" fillId="20" borderId="4" xfId="1" applyNumberFormat="1" applyFont="1" applyFill="1" applyBorder="1" applyAlignment="1">
      <alignment vertical="center"/>
    </xf>
    <xf xmlns="http://schemas.openxmlformats.org/spreadsheetml/2006/main" numFmtId="0" fontId="48" fillId="40" borderId="4" xfId="1" applyNumberFormat="1" applyFont="1" applyFill="1" applyBorder="1" applyAlignment="1">
      <alignment vertical="center"/>
    </xf>
    <xf xmlns="http://schemas.openxmlformats.org/spreadsheetml/2006/main" numFmtId="0" fontId="51" fillId="40" borderId="4" xfId="1" applyNumberFormat="1" applyFont="1" applyFill="1" applyBorder="1" applyAlignment="1">
      <alignment vertical="center"/>
    </xf>
    <xf xmlns="http://schemas.openxmlformats.org/spreadsheetml/2006/main" numFmtId="0" fontId="51" fillId="40" borderId="4" xfId="1" applyNumberFormat="1" applyFont="1" applyFill="1" applyBorder="1" applyAlignment="1">
      <alignment vertical="center" wrapText="1"/>
    </xf>
    <xf xmlns="http://schemas.openxmlformats.org/spreadsheetml/2006/main" numFmtId="0" fontId="51" fillId="40" borderId="4" xfId="1" applyNumberFormat="1" applyFont="1" applyFill="1" applyBorder="1" applyAlignment="1">
      <alignment horizontal="center" vertical="center" wrapText="1"/>
    </xf>
    <xf xmlns="http://schemas.openxmlformats.org/spreadsheetml/2006/main" numFmtId="0" fontId="48" fillId="20" borderId="4" xfId="1" applyNumberFormat="1" applyFont="1" applyFill="1" applyBorder="1" applyAlignment="1">
      <alignment vertical="center" wrapText="1"/>
    </xf>
    <xf xmlns="http://schemas.openxmlformats.org/spreadsheetml/2006/main" numFmtId="164" fontId="48" fillId="20" borderId="4" xfId="1" applyNumberFormat="1" applyFont="1" applyFill="1" applyBorder="1" applyAlignment="1">
      <alignment vertical="center"/>
    </xf>
    <xf xmlns="http://schemas.openxmlformats.org/spreadsheetml/2006/main" numFmtId="165" fontId="48" fillId="20" borderId="4" xfId="1" applyNumberFormat="1" applyFont="1" applyFill="1" applyBorder="1" applyAlignment="1">
      <alignment vertical="center"/>
    </xf>
    <xf xmlns="http://schemas.openxmlformats.org/spreadsheetml/2006/main" numFmtId="164" fontId="48" fillId="20" borderId="4" xfId="1" applyNumberFormat="1" applyFont="1" applyFill="1" applyBorder="1" applyAlignment="1">
      <alignment horizontal="right" vertical="center"/>
    </xf>
    <xf xmlns="http://schemas.openxmlformats.org/spreadsheetml/2006/main" numFmtId="165" fontId="48" fillId="20" borderId="4" xfId="1" applyNumberFormat="1" applyFont="1" applyFill="1" applyBorder="1" applyAlignment="1">
      <alignment horizontal="right" vertical="center"/>
    </xf>
    <xf xmlns="http://schemas.openxmlformats.org/spreadsheetml/2006/main" numFmtId="0" fontId="48" fillId="20" borderId="4" xfId="1" applyNumberFormat="1" applyFont="1" applyFill="1" applyBorder="1" applyAlignment="1">
      <alignment horizontal="right" vertical="center"/>
    </xf>
    <xf xmlns="http://schemas.openxmlformats.org/spreadsheetml/2006/main" numFmtId="0" fontId="48" fillId="41" borderId="4" xfId="1" applyNumberFormat="1" applyFont="1" applyFill="1" applyBorder="1" applyAlignment="1">
      <alignment vertical="center"/>
    </xf>
    <xf xmlns="http://schemas.openxmlformats.org/spreadsheetml/2006/main" numFmtId="0" fontId="52" fillId="41" borderId="4" xfId="1" applyNumberFormat="1" applyFont="1" applyFill="1" applyBorder="1" applyAlignment="1">
      <alignment vertical="center"/>
    </xf>
    <xf xmlns="http://schemas.openxmlformats.org/spreadsheetml/2006/main" numFmtId="165" fontId="52" fillId="41" borderId="4" xfId="1" applyNumberFormat="1" applyFont="1" applyFill="1" applyBorder="1" applyAlignment="1">
      <alignment vertical="center"/>
    </xf>
    <xf xmlns="http://schemas.openxmlformats.org/spreadsheetml/2006/main" numFmtId="164" fontId="52" fillId="41" borderId="4" xfId="1" applyNumberFormat="1" applyFont="1" applyFill="1" applyBorder="1" applyAlignment="1">
      <alignment vertical="center"/>
    </xf>
    <xf xmlns="http://schemas.openxmlformats.org/spreadsheetml/2006/main" numFmtId="0" fontId="53" fillId="20" borderId="4" xfId="1" applyNumberFormat="1" applyFont="1" applyFill="1" applyBorder="1" applyAlignment="1">
      <alignment vertical="center"/>
    </xf>
    <xf xmlns="http://schemas.openxmlformats.org/spreadsheetml/2006/main" numFmtId="0" fontId="48" fillId="42" borderId="4" xfId="1" applyNumberFormat="1" applyFont="1" applyFill="1" applyBorder="1" applyAlignment="1">
      <alignment vertical="center"/>
    </xf>
    <xf xmlns="http://schemas.openxmlformats.org/spreadsheetml/2006/main" numFmtId="0" fontId="48" fillId="42" borderId="4" xfId="1" applyNumberFormat="1" applyFont="1" applyFill="1" applyBorder="1" applyAlignment="1">
      <alignment vertical="center" wrapText="1"/>
    </xf>
    <xf xmlns="http://schemas.openxmlformats.org/spreadsheetml/2006/main" numFmtId="0" fontId="48" fillId="42" borderId="4" xfId="1" applyNumberFormat="1" applyFont="1" applyFill="1" applyBorder="1" applyAlignment="1">
      <alignment horizontal="right" vertical="center"/>
    </xf>
    <xf xmlns="http://schemas.openxmlformats.org/spreadsheetml/2006/main" numFmtId="164" fontId="48" fillId="42" borderId="4" xfId="1" applyNumberFormat="1" applyFont="1" applyFill="1" applyBorder="1" applyAlignment="1">
      <alignment horizontal="right" vertical="center"/>
    </xf>
    <xf xmlns="http://schemas.openxmlformats.org/spreadsheetml/2006/main" numFmtId="165" fontId="48" fillId="42" borderId="4" xfId="1" applyNumberFormat="1" applyFont="1" applyFill="1" applyBorder="1" applyAlignment="1">
      <alignment horizontal="right" vertical="center"/>
    </xf>
    <xf xmlns="http://schemas.openxmlformats.org/spreadsheetml/2006/main" numFmtId="0" fontId="48" fillId="43" borderId="4" xfId="1" applyNumberFormat="1" applyFont="1" applyFill="1" applyBorder="1" applyAlignment="1">
      <alignment vertical="center"/>
    </xf>
    <xf xmlns="http://schemas.openxmlformats.org/spreadsheetml/2006/main" numFmtId="165" fontId="48" fillId="43" borderId="4" xfId="1" applyNumberFormat="1" applyFont="1" applyFill="1" applyBorder="1" applyAlignment="1">
      <alignment horizontal="right" vertical="center"/>
    </xf>
    <xf xmlns="http://schemas.openxmlformats.org/spreadsheetml/2006/main" numFmtId="164" fontId="48" fillId="43" borderId="4" xfId="1" applyNumberFormat="1" applyFont="1" applyFill="1" applyBorder="1" applyAlignment="1">
      <alignment horizontal="right" vertical="center"/>
    </xf>
    <xf xmlns="http://schemas.openxmlformats.org/spreadsheetml/2006/main" numFmtId="0" fontId="54" fillId="43" borderId="4" xfId="1" applyNumberFormat="1" applyFont="1" applyFill="1" applyBorder="1" applyAlignment="1">
      <alignment vertical="center"/>
    </xf>
    <xf xmlns="http://schemas.openxmlformats.org/spreadsheetml/2006/main" numFmtId="165" fontId="54" fillId="43" borderId="4" xfId="1" applyNumberFormat="1" applyFont="1" applyFill="1" applyBorder="1" applyAlignment="1">
      <alignment horizontal="right" vertical="center"/>
    </xf>
    <xf xmlns="http://schemas.openxmlformats.org/spreadsheetml/2006/main" numFmtId="164" fontId="54" fillId="43" borderId="4" xfId="1" applyNumberFormat="1" applyFont="1" applyFill="1" applyBorder="1" applyAlignment="1">
      <alignment horizontal="right" vertical="center"/>
    </xf>
  </cellXfs>
  <cellStyles count="1">
    <cellStyle name="Normal" xfId="0" builtinId="0"/>
  </cellStyles>
  <dxfs count="1">
    <dxf xmlns="http://schemas.openxmlformats.org/spreadsheetml/2006/main">
      <font>
        <color rgb="FFA33730"/>
      </font>
      <fill>
        <patternFill patternType="solid">
          <bgColor rgb="FFFBEF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drawings/_rels/drawing1.xml.rels><Relationships xmlns="http://schemas.openxmlformats.org/package/2006/relationships"><Relationship Type="http://schemas.openxmlformats.org/officeDocument/2006/relationships/chart" Target="charts/chart1.xml" Id="Rb6a91b05fe2e4f0d" /><Relationship Type="http://schemas.openxmlformats.org/officeDocument/2006/relationships/chart" Target="charts/chart2.xml" Id="R4c6b582ccd084dcc" /></Relationships>
</file>

<file path=xl/drawings/charts/chart1.xml><?xml version="1.0" encoding="utf-8"?>
<chartSpace xmlns="http://schemas.openxmlformats.org/drawingml/2006/chart" xmlns:ns1="http://schemas.openxmlformats.org/drawingml/2006/main">
  <lang val="en-US"/>
  <roundedCorners val="0"/>
  <chart>
    <title>
      <tx>
        <rich>
          <ns1:bodyPr/>
          <ns1:lstStyle/>
          <ns1:p>
            <ns1:r>
              <ns1:rPr sz="1050">
                <ns1:latin typeface="Arial"/>
                <ns1:ea typeface="Arial"/>
                <ns1:cs typeface="Arial"/>
              </ns1:rPr>
              <ns1:t>Employees by company</ns1:t>
            </ns1:r>
          </ns1:p>
        </rich>
      </tx>
      <overlay val="0"/>
      <txPr>
        <ns1:bodyPr anchorCtr="1"/>
        <ns1:lstStyle/>
        <ns1:p>
          <ns1:pPr>
            <ns1:defRPr sz="1050">
              <ns1:latin typeface="Arial"/>
              <ns1:ea typeface="Arial"/>
              <ns1:cs typeface="Arial"/>
            </ns1:defRPr>
          </ns1:pPr>
        </ns1:p>
      </txPr>
    </title>
    <plotArea>
      <barChart>
        <barDir val="col"/>
        <varyColors val="0"/>
        <ser>
          <idx val="0"/>
          <order val="0"/>
          <tx>
            <v>Employees</v>
          </tx>
          <spPr>
            <ns1:solidFill>
              <ns1:srgbClr val="146C78"/>
            </ns1:solidFill>
          </spPr>
          <invertIfNegative val="0"/>
          <cat>
            <strRef>
              <f>'Overview'!$B$46:$B$55</f>
              <strCache>
                <ptCount val="10"/>
                <pt idx="0">
                  <v>Suraj Ship</v>
                </pt>
                <pt idx="1">
                  <v>Suraj Pvt</v>
                </pt>
                <pt idx="2">
                  <v>SRCC</v>
                </pt>
                <pt idx="3">
                  <v>Novusha</v>
                </pt>
                <pt idx="4">
                  <v>Sansar</v>
                </pt>
                <pt idx="5">
                  <v>Eximbiz</v>
                </pt>
                <pt idx="6">
                  <v>Suraj</v>
                </pt>
                <pt idx="7">
                  <v>Unassigned</v>
                </pt>
                <pt idx="8">
                  <v>Alluvium</v>
                </pt>
                <pt idx="9">
                  <v>Paramount</v>
                </pt>
              </strCache>
            </strRef>
          </cat>
          <val>
            <numRef>
              <f>'Overview'!$C$46:$C$55</f>
              <numCache>
                <formatCode>General</formatCode>
                <ptCount val="10"/>
                <pt idx="0">
                  <v>29</v>
                </pt>
                <pt idx="1">
                  <v>28</v>
                </pt>
                <pt idx="2">
                  <v>19</v>
                </pt>
                <pt idx="3">
                  <v>13</v>
                </pt>
                <pt idx="4">
                  <v>11</v>
                </pt>
                <pt idx="5">
                  <v>8</v>
                </pt>
                <pt idx="6">
                  <v>7</v>
                </pt>
                <pt idx="7">
                  <v>6</v>
                </pt>
                <pt idx="8">
                  <v>2</v>
                </pt>
                <pt idx="9">
                  <v>2</v>
                </pt>
              </numCache>
            </numRef>
          </val>
        </ser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ns1:ln w="9525">
              <ns1:solidFill>
                <ns1:srgbClr val="CCCCCC"/>
              </ns1:solidFill>
              <ns1:prstDash val="dash"/>
            </ns1:ln>
          </spPr>
        </majorGridlines>
        <numFmt formatCode="0" sourceLinked="0"/>
        <majorTickMark val="none"/>
        <minorTickMark val="none"/>
        <tickLblPos val="nextTo"/>
        <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txPr>
        <crossAx val="48672768"/>
      </catAx>
      <valAx>
        <axId val="48672768"/>
        <scaling>
          <orientation val="minMax"/>
        </scaling>
        <delete val="0"/>
        <axPos val="l"/>
        <majorGridlines>
          <spPr>
            <ns1:ln w="9525">
              <ns1:solidFill>
                <ns1:srgbClr val="CCCCCC"/>
              </ns1:solidFill>
              <ns1:prstDash val="dash"/>
            </ns1:ln>
          </spPr>
        </majorGridlines>
        <numFmt formatCode="General"/>
        <majorTickMark val="none"/>
        <minorTickMark val="none"/>
        <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txPr>
        <crossAx val="48650112"/>
        <crossBetween val="between"/>
      </valAx>
    </plotArea>
    <plotVisOnly val="1"/>
  </chart>
  <spPr>
    <ns1:ln w="9525">
      <ns1:solidFill>
        <ns1:srgbClr val="D9D9D9"/>
      </ns1:solidFill>
      <ns1:prstDash val="solid"/>
    </ns1:ln>
  </spPr>
</chartSpace>
</file>

<file path=xl/drawings/charts/chart2.xml><?xml version="1.0" encoding="utf-8"?>
<chartSpace xmlns="http://schemas.openxmlformats.org/drawingml/2006/chart" xmlns:ns1="http://schemas.openxmlformats.org/drawingml/2006/main">
  <lang val="en-US"/>
  <roundedCorners val="0"/>
  <chart>
    <title>
      <tx>
        <rich>
          <ns1:bodyPr/>
          <ns1:lstStyle/>
          <ns1:p>
            <ns1:r>
              <ns1:rPr sz="1050">
                <ns1:latin typeface="Arial"/>
                <ns1:ea typeface="Arial"/>
                <ns1:cs typeface="Arial"/>
              </ns1:rPr>
              <ns1:t>PL and LWP by company (days)</ns1:t>
            </ns1:r>
          </ns1:p>
        </rich>
      </tx>
      <overlay val="0"/>
      <txPr>
        <ns1:bodyPr anchorCtr="1"/>
        <ns1:lstStyle/>
        <ns1:p>
          <ns1:pPr>
            <ns1:defRPr sz="1050">
              <ns1:latin typeface="Arial"/>
              <ns1:ea typeface="Arial"/>
              <ns1:cs typeface="Arial"/>
            </ns1:defRPr>
          </ns1:pPr>
        </ns1:p>
      </txPr>
    </title>
    <plotArea>
      <barChart>
        <barDir val="col"/>
        <varyColors val="0"/>
        <ser>
          <idx val="0"/>
          <order val="0"/>
          <tx>
            <v>PL days</v>
          </tx>
          <spPr>
            <ns1:solidFill>
              <ns1:srgbClr val="3276A8"/>
            </ns1:solidFill>
          </spPr>
          <invertIfNegative val="0"/>
          <cat>
            <strRef>
              <f>'Overview'!$G$46:$G$55</f>
              <strCache>
                <ptCount val="10"/>
                <pt idx="0">
                  <v>Suraj Ship</v>
                </pt>
                <pt idx="1">
                  <v>Suraj Pvt</v>
                </pt>
                <pt idx="2">
                  <v>SRCC</v>
                </pt>
                <pt idx="3">
                  <v>Novusha</v>
                </pt>
                <pt idx="4">
                  <v>Sansar</v>
                </pt>
                <pt idx="5">
                  <v>Eximbiz</v>
                </pt>
                <pt idx="6">
                  <v>Suraj</v>
                </pt>
                <pt idx="7">
                  <v>Unassigned</v>
                </pt>
                <pt idx="8">
                  <v>Alluvium</v>
                </pt>
                <pt idx="9">
                  <v>Paramount</v>
                </pt>
              </strCache>
            </strRef>
          </cat>
          <val>
            <numRef>
              <f>'Overview'!$H$46:$H$55</f>
              <numCache>
                <formatCode>General</formatCode>
                <ptCount val="10"/>
                <pt idx="0">
                  <v>47</v>
                </pt>
                <pt idx="1">
                  <v>44.5</v>
                </pt>
                <pt idx="2">
                  <v>22.5</v>
                </pt>
                <pt idx="3">
                  <v>23</v>
                </pt>
                <pt idx="4">
                  <v>24</v>
                </pt>
                <pt idx="5">
                  <v>12</v>
                </pt>
                <pt idx="6">
                  <v>2.5</v>
                </pt>
                <pt idx="7">
                  <v>0</v>
                </pt>
                <pt idx="8">
                  <v>2</v>
                </pt>
                <pt idx="9">
                  <v>1</v>
                </pt>
              </numCache>
            </numRef>
          </val>
        </ser>
        <ser>
          <idx val="1"/>
          <order val="1"/>
          <tx>
            <v>LWP days</v>
          </tx>
          <spPr>
            <ns1:solidFill>
              <ns1:srgbClr val="BC554A"/>
            </ns1:solidFill>
          </spPr>
          <invertIfNegative val="0"/>
          <cat>
            <strRef>
              <f>'Overview'!$G$46:$G$55</f>
              <strCache>
                <ptCount val="10"/>
                <pt idx="0">
                  <v>Suraj Ship</v>
                </pt>
                <pt idx="1">
                  <v>Suraj Pvt</v>
                </pt>
                <pt idx="2">
                  <v>SRCC</v>
                </pt>
                <pt idx="3">
                  <v>Novusha</v>
                </pt>
                <pt idx="4">
                  <v>Sansar</v>
                </pt>
                <pt idx="5">
                  <v>Eximbiz</v>
                </pt>
                <pt idx="6">
                  <v>Suraj</v>
                </pt>
                <pt idx="7">
                  <v>Unassigned</v>
                </pt>
                <pt idx="8">
                  <v>Alluvium</v>
                </pt>
                <pt idx="9">
                  <v>Paramount</v>
                </pt>
              </strCache>
            </strRef>
          </cat>
          <val>
            <numRef>
              <f>'Overview'!$I$46:$I$55</f>
              <numCache>
                <formatCode>General</formatCode>
                <ptCount val="10"/>
                <pt idx="0">
                  <v>7</v>
                </pt>
                <pt idx="1">
                  <v>14.5</v>
                </pt>
                <pt idx="2">
                  <v>13</v>
                </pt>
                <pt idx="3">
                  <v>10</v>
                </pt>
                <pt idx="4">
                  <v>2</v>
                </pt>
                <pt idx="5">
                  <v>0</v>
                </pt>
                <pt idx="6">
                  <v>5</v>
                </pt>
                <pt idx="7">
                  <v>30</v>
                </pt>
                <pt idx="8">
                  <v>4</v>
                </pt>
                <pt idx="9">
                  <v>6</v>
                </pt>
              </numCache>
            </numRef>
          </val>
        </ser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ns1:ln w="9525">
              <ns1:solidFill>
                <ns1:srgbClr val="CCCCCC"/>
              </ns1:solidFill>
              <ns1:prstDash val="dash"/>
            </ns1:ln>
          </spPr>
        </majorGridlines>
        <numFmt formatCode="0" sourceLinked="0"/>
        <majorTickMark val="none"/>
        <minorTickMark val="none"/>
        <tickLblPos val="nextTo"/>
        <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txPr>
        <crossAx val="48672768"/>
      </catAx>
      <valAx>
        <axId val="48672768"/>
        <scaling>
          <orientation val="minMax"/>
        </scaling>
        <delete val="0"/>
        <axPos val="l"/>
        <majorGridlines>
          <spPr>
            <ns1:ln w="9525">
              <ns1:solidFill>
                <ns1:srgbClr val="CCCCCC"/>
              </ns1:solidFill>
              <ns1:prstDash val="dash"/>
            </ns1:ln>
          </spPr>
        </majorGridlines>
        <numFmt formatCode="General"/>
        <majorTickMark val="none"/>
        <minorTickMark val="none"/>
        <txPr>
          <ns1:bodyPr anchorCtr="1"/>
          <ns1:lstStyle/>
          <ns1:p>
            <ns1:pPr>
              <ns1:defRPr sz="825">
                <ns1:latin typeface="Arial"/>
                <ns1:ea typeface="Arial"/>
                <ns1:cs typeface="Arial"/>
              </ns1:defRPr>
            </ns1:pPr>
          </ns1:p>
        </txPr>
        <crossAx val="48650112"/>
        <crossBetween val="between"/>
      </valAx>
    </plotArea>
    <legend>
      <legendPos val="t"/>
      <overlay val="0"/>
      <txPr>
        <ns1:bodyPr anchorCtr="1"/>
        <ns1:lstStyle/>
        <ns1:p>
          <ns1:pPr>
            <ns1:defRPr sz="825">
              <ns1:latin typeface="Arial"/>
              <ns1:ea typeface="Arial"/>
              <ns1:cs typeface="Arial"/>
            </ns1:defRPr>
          </ns1:pPr>
        </ns1:p>
      </txPr>
    </legend>
    <plotVisOnly val="1"/>
  </chart>
  <spPr>
    <ns1:ln w="9525">
      <ns1:solidFill>
        <ns1:srgbClr val="D9D9D9"/>
      </ns1:solidFill>
      <ns1:prstDash val="solid"/>
    </ns1:ln>
  </spPr>
</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a91b05fe2e4f0d"/>
        </a:graphicData>
      </a:graphic>
    </xdr:graphicFrame>
    <xdr:clientData/>
  </xdr:twoCellAnchor>
  <xdr:twoCellAnchor>
    <xdr:from>
      <xdr:col>8</xdr:col>
      <xdr:colOff>0</xdr:colOff>
      <xdr:row>8</xdr:row>
      <xdr:rowOff>0</xdr:rowOff>
    </xdr:from>
    <xdr:to>
      <xdr:col>15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6b582ccd084dcc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EmployeeAttendance" displayName="EmployeeAttendance" ref="A6:O131" headerRowCount="1" totalsRowCount="0" totalsRowShown="0">
  <autoFilter ref="A6:O131"/>
  <tableColumns count="15">
    <tableColumn id="1" name="Company"/>
    <tableColumn id="2" name="Employee"/>
    <tableColumn id="3" name="Total Working Days"/>
    <tableColumn id="4" name="Present"/>
    <tableColumn id="5" name="Absent"/>
    <tableColumn id="6" name="Half Day PL"/>
    <tableColumn id="7" name="Full Day PL"/>
    <tableColumn id="8" name="Total PL Taken"/>
    <tableColumn id="9" name="LWP Taken"/>
    <tableColumn id="10" name="Week Off"/>
    <tableColumn id="11" name="Holiday"/>
    <tableColumn id="12" name="September Opening Balance"/>
    <tableColumn id="13" name="PL Taken (Ledger)"/>
    <tableColumn id="14" name="Available Balance"/>
    <tableColumn id="15" name="Avg Hours/D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../drawings/drawing1.xml" Id="R7c5254b3511e4490" /></Relationships>
</file>

<file path=xl/worksheets/_rels/sheet12.xml.rels><Relationships xmlns="http://schemas.openxmlformats.org/package/2006/relationships"><Relationship Type="http://schemas.openxmlformats.org/officeDocument/2006/relationships/table" Target="../tables/table1.xml" Id="Rc8a3427e27084878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5"/>
  <sheetViews>
    <sheetView workbookViewId="0"/>
  </sheetViews>
  <sheetFormatPr defaultRowHeight="15" outlineLevelRow="0" outlineLevelCol="0" x14ac:dyDescent="55"/>
  <cols>
    <col min="1" max="1" width="28" customWidth="1"/>
    <col min="2" max="2" width="20" customWidth="1"/>
    <col min="3" max="4" width="13" customWidth="1"/>
    <col min="5" max="7" width="18" customWidth="1"/>
    <col min="8" max="10" width="14" customWidth="1"/>
    <col min="11" max="12" width="6" customWidth="1"/>
    <col min="13" max="13" width="28" customWidth="1"/>
    <col min="14" max="14" width="14" customWidth="1"/>
    <col min="15" max="16" width="18" customWidth="1"/>
  </cols>
  <sheetData>
    <row r="1" ht="30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2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26" customHeight="1" spans="1:1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</row>
    <row r="5" ht="22" customHeight="1" spans="1:16" x14ac:dyDescent="0.25">
      <c r="A5" s="4" t="s">
        <v>17</v>
      </c>
      <c r="B5" s="5">
        <v>0</v>
      </c>
      <c r="C5" s="6">
        <v>0</v>
      </c>
      <c r="D5" s="7">
        <v>26</v>
      </c>
      <c r="E5" s="8">
        <v>0</v>
      </c>
      <c r="F5" s="9">
        <v>0</v>
      </c>
      <c r="G5" s="10">
        <v>0</v>
      </c>
      <c r="H5" s="11">
        <v>4</v>
      </c>
      <c r="I5" s="12">
        <v>0</v>
      </c>
      <c r="J5" s="13">
        <v>0</v>
      </c>
      <c r="K5" s="14" t="s">
        <v>12</v>
      </c>
      <c r="L5" s="14" t="s">
        <v>12</v>
      </c>
      <c r="M5" s="15">
        <v>0</v>
      </c>
      <c r="N5" s="16">
        <v>0</v>
      </c>
      <c r="O5" s="17">
        <v>0</v>
      </c>
      <c r="P5" s="18" t="s">
        <v>18</v>
      </c>
    </row>
    <row r="6" ht="22" customHeight="1" spans="1:16" x14ac:dyDescent="0.25">
      <c r="A6" s="19" t="s">
        <v>19</v>
      </c>
      <c r="B6" s="5">
        <v>30</v>
      </c>
      <c r="C6" s="6">
        <v>21</v>
      </c>
      <c r="D6" s="7">
        <v>0</v>
      </c>
      <c r="E6" s="8">
        <v>0</v>
      </c>
      <c r="F6" s="9">
        <v>2</v>
      </c>
      <c r="G6" s="10">
        <v>2</v>
      </c>
      <c r="H6" s="11">
        <v>0</v>
      </c>
      <c r="I6" s="12">
        <v>6</v>
      </c>
      <c r="J6" s="13">
        <v>1</v>
      </c>
      <c r="K6" s="14" t="s">
        <v>12</v>
      </c>
      <c r="L6" s="14" t="s">
        <v>12</v>
      </c>
      <c r="M6" s="15">
        <v>10</v>
      </c>
      <c r="N6" s="16">
        <v>2</v>
      </c>
      <c r="O6" s="17">
        <v>8</v>
      </c>
      <c r="P6" s="18" t="s">
        <v>20</v>
      </c>
    </row>
    <row r="9" ht="26" customHeight="1" spans="1:8" x14ac:dyDescent="0.25">
      <c r="A9" s="20" t="s">
        <v>21</v>
      </c>
      <c r="B9" s="20"/>
      <c r="C9" s="20"/>
      <c r="D9" s="20"/>
      <c r="E9" s="20"/>
      <c r="F9" s="20"/>
      <c r="G9" s="20"/>
      <c r="H9" s="20"/>
    </row>
    <row r="10" ht="22" customHeight="1" spans="1:8" x14ac:dyDescent="0.25">
      <c r="A10" s="21" t="s">
        <v>22</v>
      </c>
      <c r="B10" s="21" t="s">
        <v>23</v>
      </c>
      <c r="C10" s="21" t="s">
        <v>24</v>
      </c>
      <c r="D10" s="21" t="s">
        <v>25</v>
      </c>
      <c r="E10" s="21" t="s">
        <v>26</v>
      </c>
      <c r="F10" s="21" t="s">
        <v>27</v>
      </c>
      <c r="G10" s="21" t="s">
        <v>28</v>
      </c>
      <c r="H10" s="21" t="s">
        <v>29</v>
      </c>
    </row>
    <row r="11" ht="20" customHeight="1" spans="1:8" x14ac:dyDescent="0.25">
      <c r="A11" s="22" t="s">
        <v>30</v>
      </c>
      <c r="B11" s="22" t="s">
        <v>31</v>
      </c>
      <c r="C11" s="23" t="s">
        <v>32</v>
      </c>
      <c r="D11" s="7" t="s">
        <v>5</v>
      </c>
      <c r="E11" s="22" t="s">
        <v>12</v>
      </c>
      <c r="F11" s="22" t="s">
        <v>12</v>
      </c>
      <c r="G11" s="22" t="s">
        <v>12</v>
      </c>
      <c r="H11" s="22" t="s">
        <v>32</v>
      </c>
    </row>
    <row r="12" ht="20" customHeight="1" spans="1:8" x14ac:dyDescent="0.25">
      <c r="A12" s="24" t="s">
        <v>33</v>
      </c>
      <c r="B12" s="24" t="s">
        <v>34</v>
      </c>
      <c r="C12" s="25" t="s">
        <v>32</v>
      </c>
      <c r="D12" s="7" t="s">
        <v>5</v>
      </c>
      <c r="E12" s="24" t="s">
        <v>12</v>
      </c>
      <c r="F12" s="24" t="s">
        <v>12</v>
      </c>
      <c r="G12" s="24" t="s">
        <v>12</v>
      </c>
      <c r="H12" s="24" t="s">
        <v>32</v>
      </c>
    </row>
    <row r="13" ht="20" customHeight="1" spans="1:8" x14ac:dyDescent="0.25">
      <c r="A13" s="22" t="s">
        <v>35</v>
      </c>
      <c r="B13" s="22" t="s">
        <v>36</v>
      </c>
      <c r="C13" s="23" t="s">
        <v>32</v>
      </c>
      <c r="D13" s="7" t="s">
        <v>5</v>
      </c>
      <c r="E13" s="22" t="s">
        <v>12</v>
      </c>
      <c r="F13" s="22" t="s">
        <v>12</v>
      </c>
      <c r="G13" s="22" t="s">
        <v>12</v>
      </c>
      <c r="H13" s="22" t="s">
        <v>32</v>
      </c>
    </row>
    <row r="14" ht="20" customHeight="1" spans="1:8" x14ac:dyDescent="0.25">
      <c r="A14" s="24" t="s">
        <v>37</v>
      </c>
      <c r="B14" s="24" t="s">
        <v>38</v>
      </c>
      <c r="C14" s="25" t="s">
        <v>32</v>
      </c>
      <c r="D14" s="7" t="s">
        <v>5</v>
      </c>
      <c r="E14" s="24" t="s">
        <v>12</v>
      </c>
      <c r="F14" s="24" t="s">
        <v>12</v>
      </c>
      <c r="G14" s="24" t="s">
        <v>12</v>
      </c>
      <c r="H14" s="24" t="s">
        <v>32</v>
      </c>
    </row>
    <row r="15" ht="20" customHeight="1" spans="1:8" x14ac:dyDescent="0.25">
      <c r="A15" s="22" t="s">
        <v>39</v>
      </c>
      <c r="B15" s="22" t="s">
        <v>40</v>
      </c>
      <c r="C15" s="23" t="s">
        <v>32</v>
      </c>
      <c r="D15" s="7" t="s">
        <v>5</v>
      </c>
      <c r="E15" s="22" t="s">
        <v>12</v>
      </c>
      <c r="F15" s="22" t="s">
        <v>12</v>
      </c>
      <c r="G15" s="22" t="s">
        <v>12</v>
      </c>
      <c r="H15" s="22" t="s">
        <v>32</v>
      </c>
    </row>
    <row r="16" ht="20" customHeight="1" spans="1:8" x14ac:dyDescent="0.25">
      <c r="A16" s="24" t="s">
        <v>41</v>
      </c>
      <c r="B16" s="24" t="s">
        <v>42</v>
      </c>
      <c r="C16" s="25" t="s">
        <v>32</v>
      </c>
      <c r="D16" s="16" t="s">
        <v>43</v>
      </c>
      <c r="E16" s="24" t="s">
        <v>12</v>
      </c>
      <c r="F16" s="24" t="s">
        <v>12</v>
      </c>
      <c r="G16" s="24" t="s">
        <v>12</v>
      </c>
      <c r="H16" s="24" t="s">
        <v>32</v>
      </c>
    </row>
    <row r="17" ht="20" customHeight="1" spans="1:8" x14ac:dyDescent="0.25">
      <c r="A17" s="22" t="s">
        <v>44</v>
      </c>
      <c r="B17" s="22" t="s">
        <v>45</v>
      </c>
      <c r="C17" s="23" t="s">
        <v>32</v>
      </c>
      <c r="D17" s="7" t="s">
        <v>5</v>
      </c>
      <c r="E17" s="22" t="s">
        <v>12</v>
      </c>
      <c r="F17" s="22" t="s">
        <v>12</v>
      </c>
      <c r="G17" s="22" t="s">
        <v>12</v>
      </c>
      <c r="H17" s="22" t="s">
        <v>32</v>
      </c>
    </row>
    <row r="18" ht="20" customHeight="1" spans="1:8" x14ac:dyDescent="0.25">
      <c r="A18" s="24" t="s">
        <v>46</v>
      </c>
      <c r="B18" s="24" t="s">
        <v>31</v>
      </c>
      <c r="C18" s="25" t="s">
        <v>32</v>
      </c>
      <c r="D18" s="7" t="s">
        <v>5</v>
      </c>
      <c r="E18" s="24" t="s">
        <v>12</v>
      </c>
      <c r="F18" s="24" t="s">
        <v>12</v>
      </c>
      <c r="G18" s="24" t="s">
        <v>12</v>
      </c>
      <c r="H18" s="24" t="s">
        <v>32</v>
      </c>
    </row>
    <row r="19" ht="20" customHeight="1" spans="1:8" x14ac:dyDescent="0.25">
      <c r="A19" s="22" t="s">
        <v>47</v>
      </c>
      <c r="B19" s="22" t="s">
        <v>34</v>
      </c>
      <c r="C19" s="23" t="s">
        <v>32</v>
      </c>
      <c r="D19" s="7" t="s">
        <v>5</v>
      </c>
      <c r="E19" s="22" t="s">
        <v>12</v>
      </c>
      <c r="F19" s="22" t="s">
        <v>12</v>
      </c>
      <c r="G19" s="22" t="s">
        <v>12</v>
      </c>
      <c r="H19" s="22" t="s">
        <v>32</v>
      </c>
    </row>
    <row r="20" ht="20" customHeight="1" spans="1:8" x14ac:dyDescent="0.25">
      <c r="A20" s="24" t="s">
        <v>48</v>
      </c>
      <c r="B20" s="24" t="s">
        <v>36</v>
      </c>
      <c r="C20" s="25" t="s">
        <v>32</v>
      </c>
      <c r="D20" s="7" t="s">
        <v>5</v>
      </c>
      <c r="E20" s="24" t="s">
        <v>12</v>
      </c>
      <c r="F20" s="24" t="s">
        <v>12</v>
      </c>
      <c r="G20" s="24" t="s">
        <v>12</v>
      </c>
      <c r="H20" s="24" t="s">
        <v>32</v>
      </c>
    </row>
    <row r="21" ht="20" customHeight="1" spans="1:8" x14ac:dyDescent="0.25">
      <c r="A21" s="22" t="s">
        <v>49</v>
      </c>
      <c r="B21" s="22" t="s">
        <v>38</v>
      </c>
      <c r="C21" s="23" t="s">
        <v>32</v>
      </c>
      <c r="D21" s="7" t="s">
        <v>5</v>
      </c>
      <c r="E21" s="22" t="s">
        <v>12</v>
      </c>
      <c r="F21" s="22" t="s">
        <v>12</v>
      </c>
      <c r="G21" s="22" t="s">
        <v>12</v>
      </c>
      <c r="H21" s="22" t="s">
        <v>32</v>
      </c>
    </row>
    <row r="22" ht="20" customHeight="1" spans="1:8" x14ac:dyDescent="0.25">
      <c r="A22" s="24" t="s">
        <v>50</v>
      </c>
      <c r="B22" s="24" t="s">
        <v>40</v>
      </c>
      <c r="C22" s="25" t="s">
        <v>32</v>
      </c>
      <c r="D22" s="7" t="s">
        <v>5</v>
      </c>
      <c r="E22" s="24" t="s">
        <v>12</v>
      </c>
      <c r="F22" s="24" t="s">
        <v>12</v>
      </c>
      <c r="G22" s="24" t="s">
        <v>12</v>
      </c>
      <c r="H22" s="24" t="s">
        <v>32</v>
      </c>
    </row>
    <row r="23" ht="20" customHeight="1" spans="1:8" x14ac:dyDescent="0.25">
      <c r="A23" s="22" t="s">
        <v>51</v>
      </c>
      <c r="B23" s="22" t="s">
        <v>42</v>
      </c>
      <c r="C23" s="23" t="s">
        <v>32</v>
      </c>
      <c r="D23" s="16" t="s">
        <v>43</v>
      </c>
      <c r="E23" s="22" t="s">
        <v>12</v>
      </c>
      <c r="F23" s="22" t="s">
        <v>12</v>
      </c>
      <c r="G23" s="22" t="s">
        <v>12</v>
      </c>
      <c r="H23" s="22" t="s">
        <v>32</v>
      </c>
    </row>
    <row r="24" ht="20" customHeight="1" spans="1:8" x14ac:dyDescent="0.25">
      <c r="A24" s="24" t="s">
        <v>52</v>
      </c>
      <c r="B24" s="24" t="s">
        <v>45</v>
      </c>
      <c r="C24" s="25" t="s">
        <v>32</v>
      </c>
      <c r="D24" s="7" t="s">
        <v>5</v>
      </c>
      <c r="E24" s="24" t="s">
        <v>12</v>
      </c>
      <c r="F24" s="24" t="s">
        <v>12</v>
      </c>
      <c r="G24" s="24" t="s">
        <v>12</v>
      </c>
      <c r="H24" s="24" t="s">
        <v>32</v>
      </c>
    </row>
    <row r="25" ht="20" customHeight="1" spans="1:8" x14ac:dyDescent="0.25">
      <c r="A25" s="22" t="s">
        <v>53</v>
      </c>
      <c r="B25" s="22" t="s">
        <v>31</v>
      </c>
      <c r="C25" s="23" t="s">
        <v>32</v>
      </c>
      <c r="D25" s="7" t="s">
        <v>5</v>
      </c>
      <c r="E25" s="22" t="s">
        <v>12</v>
      </c>
      <c r="F25" s="22" t="s">
        <v>12</v>
      </c>
      <c r="G25" s="22" t="s">
        <v>12</v>
      </c>
      <c r="H25" s="22" t="s">
        <v>32</v>
      </c>
    </row>
    <row r="26" ht="20" customHeight="1" spans="1:8" x14ac:dyDescent="0.25">
      <c r="A26" s="24" t="s">
        <v>54</v>
      </c>
      <c r="B26" s="24" t="s">
        <v>34</v>
      </c>
      <c r="C26" s="25" t="s">
        <v>32</v>
      </c>
      <c r="D26" s="7" t="s">
        <v>5</v>
      </c>
      <c r="E26" s="24" t="s">
        <v>12</v>
      </c>
      <c r="F26" s="24" t="s">
        <v>12</v>
      </c>
      <c r="G26" s="24" t="s">
        <v>12</v>
      </c>
      <c r="H26" s="24" t="s">
        <v>32</v>
      </c>
    </row>
    <row r="27" ht="20" customHeight="1" spans="1:8" x14ac:dyDescent="0.25">
      <c r="A27" s="22" t="s">
        <v>55</v>
      </c>
      <c r="B27" s="22" t="s">
        <v>36</v>
      </c>
      <c r="C27" s="23" t="s">
        <v>32</v>
      </c>
      <c r="D27" s="7" t="s">
        <v>5</v>
      </c>
      <c r="E27" s="22" t="s">
        <v>12</v>
      </c>
      <c r="F27" s="22" t="s">
        <v>12</v>
      </c>
      <c r="G27" s="22" t="s">
        <v>12</v>
      </c>
      <c r="H27" s="22" t="s">
        <v>32</v>
      </c>
    </row>
    <row r="28" ht="20" customHeight="1" spans="1:8" x14ac:dyDescent="0.25">
      <c r="A28" s="24" t="s">
        <v>56</v>
      </c>
      <c r="B28" s="24" t="s">
        <v>38</v>
      </c>
      <c r="C28" s="25" t="s">
        <v>32</v>
      </c>
      <c r="D28" s="7" t="s">
        <v>5</v>
      </c>
      <c r="E28" s="24" t="s">
        <v>12</v>
      </c>
      <c r="F28" s="24" t="s">
        <v>12</v>
      </c>
      <c r="G28" s="24" t="s">
        <v>12</v>
      </c>
      <c r="H28" s="24" t="s">
        <v>32</v>
      </c>
    </row>
    <row r="29" ht="20" customHeight="1" spans="1:8" x14ac:dyDescent="0.25">
      <c r="A29" s="22" t="s">
        <v>57</v>
      </c>
      <c r="B29" s="22" t="s">
        <v>40</v>
      </c>
      <c r="C29" s="23" t="s">
        <v>32</v>
      </c>
      <c r="D29" s="7" t="s">
        <v>5</v>
      </c>
      <c r="E29" s="22" t="s">
        <v>12</v>
      </c>
      <c r="F29" s="22" t="s">
        <v>12</v>
      </c>
      <c r="G29" s="22" t="s">
        <v>12</v>
      </c>
      <c r="H29" s="22" t="s">
        <v>32</v>
      </c>
    </row>
    <row r="30" ht="20" customHeight="1" spans="1:8" x14ac:dyDescent="0.25">
      <c r="A30" s="24" t="s">
        <v>58</v>
      </c>
      <c r="B30" s="24" t="s">
        <v>42</v>
      </c>
      <c r="C30" s="25" t="s">
        <v>32</v>
      </c>
      <c r="D30" s="16" t="s">
        <v>43</v>
      </c>
      <c r="E30" s="24" t="s">
        <v>12</v>
      </c>
      <c r="F30" s="24" t="s">
        <v>12</v>
      </c>
      <c r="G30" s="24" t="s">
        <v>12</v>
      </c>
      <c r="H30" s="24" t="s">
        <v>32</v>
      </c>
    </row>
    <row r="31" ht="20" customHeight="1" spans="1:8" x14ac:dyDescent="0.25">
      <c r="A31" s="22" t="s">
        <v>59</v>
      </c>
      <c r="B31" s="22" t="s">
        <v>45</v>
      </c>
      <c r="C31" s="23" t="s">
        <v>32</v>
      </c>
      <c r="D31" s="7" t="s">
        <v>5</v>
      </c>
      <c r="E31" s="22" t="s">
        <v>12</v>
      </c>
      <c r="F31" s="22" t="s">
        <v>12</v>
      </c>
      <c r="G31" s="22" t="s">
        <v>12</v>
      </c>
      <c r="H31" s="22" t="s">
        <v>32</v>
      </c>
    </row>
    <row r="32" ht="20" customHeight="1" spans="1:8" x14ac:dyDescent="0.25">
      <c r="A32" s="24" t="s">
        <v>60</v>
      </c>
      <c r="B32" s="24" t="s">
        <v>31</v>
      </c>
      <c r="C32" s="25" t="s">
        <v>32</v>
      </c>
      <c r="D32" s="7" t="s">
        <v>5</v>
      </c>
      <c r="E32" s="24" t="s">
        <v>12</v>
      </c>
      <c r="F32" s="24" t="s">
        <v>12</v>
      </c>
      <c r="G32" s="24" t="s">
        <v>12</v>
      </c>
      <c r="H32" s="24" t="s">
        <v>32</v>
      </c>
    </row>
    <row r="33" ht="20" customHeight="1" spans="1:8" x14ac:dyDescent="0.25">
      <c r="A33" s="22" t="s">
        <v>61</v>
      </c>
      <c r="B33" s="22" t="s">
        <v>34</v>
      </c>
      <c r="C33" s="23" t="s">
        <v>32</v>
      </c>
      <c r="D33" s="7" t="s">
        <v>5</v>
      </c>
      <c r="E33" s="22" t="s">
        <v>12</v>
      </c>
      <c r="F33" s="22" t="s">
        <v>12</v>
      </c>
      <c r="G33" s="22" t="s">
        <v>12</v>
      </c>
      <c r="H33" s="22" t="s">
        <v>32</v>
      </c>
    </row>
    <row r="34" ht="20" customHeight="1" spans="1:8" x14ac:dyDescent="0.25">
      <c r="A34" s="24" t="s">
        <v>62</v>
      </c>
      <c r="B34" s="24" t="s">
        <v>36</v>
      </c>
      <c r="C34" s="25" t="s">
        <v>32</v>
      </c>
      <c r="D34" s="7" t="s">
        <v>5</v>
      </c>
      <c r="E34" s="24" t="s">
        <v>12</v>
      </c>
      <c r="F34" s="24" t="s">
        <v>12</v>
      </c>
      <c r="G34" s="24" t="s">
        <v>12</v>
      </c>
      <c r="H34" s="24" t="s">
        <v>32</v>
      </c>
    </row>
    <row r="35" ht="20" customHeight="1" spans="1:8" x14ac:dyDescent="0.25">
      <c r="A35" s="22" t="s">
        <v>63</v>
      </c>
      <c r="B35" s="22" t="s">
        <v>38</v>
      </c>
      <c r="C35" s="23" t="s">
        <v>32</v>
      </c>
      <c r="D35" s="7" t="s">
        <v>5</v>
      </c>
      <c r="E35" s="22" t="s">
        <v>12</v>
      </c>
      <c r="F35" s="22" t="s">
        <v>12</v>
      </c>
      <c r="G35" s="22" t="s">
        <v>12</v>
      </c>
      <c r="H35" s="22" t="s">
        <v>32</v>
      </c>
    </row>
    <row r="36" ht="20" customHeight="1" spans="1:8" x14ac:dyDescent="0.25">
      <c r="A36" s="24" t="s">
        <v>64</v>
      </c>
      <c r="B36" s="24" t="s">
        <v>40</v>
      </c>
      <c r="C36" s="25" t="s">
        <v>32</v>
      </c>
      <c r="D36" s="7" t="s">
        <v>5</v>
      </c>
      <c r="E36" s="24" t="s">
        <v>12</v>
      </c>
      <c r="F36" s="24" t="s">
        <v>12</v>
      </c>
      <c r="G36" s="24" t="s">
        <v>12</v>
      </c>
      <c r="H36" s="24" t="s">
        <v>32</v>
      </c>
    </row>
    <row r="37" ht="20" customHeight="1" spans="1:8" x14ac:dyDescent="0.25">
      <c r="A37" s="22" t="s">
        <v>65</v>
      </c>
      <c r="B37" s="22" t="s">
        <v>42</v>
      </c>
      <c r="C37" s="23" t="s">
        <v>32</v>
      </c>
      <c r="D37" s="16" t="s">
        <v>43</v>
      </c>
      <c r="E37" s="22" t="s">
        <v>12</v>
      </c>
      <c r="F37" s="22" t="s">
        <v>12</v>
      </c>
      <c r="G37" s="22" t="s">
        <v>12</v>
      </c>
      <c r="H37" s="22" t="s">
        <v>32</v>
      </c>
    </row>
    <row r="38" ht="20" customHeight="1" spans="1:8" x14ac:dyDescent="0.25">
      <c r="A38" s="24" t="s">
        <v>66</v>
      </c>
      <c r="B38" s="24" t="s">
        <v>45</v>
      </c>
      <c r="C38" s="25" t="s">
        <v>32</v>
      </c>
      <c r="D38" s="7" t="s">
        <v>5</v>
      </c>
      <c r="E38" s="24" t="s">
        <v>12</v>
      </c>
      <c r="F38" s="24" t="s">
        <v>12</v>
      </c>
      <c r="G38" s="24" t="s">
        <v>12</v>
      </c>
      <c r="H38" s="24" t="s">
        <v>32</v>
      </c>
    </row>
    <row r="39" ht="20" customHeight="1" spans="1:8" x14ac:dyDescent="0.25">
      <c r="A39" s="22" t="s">
        <v>67</v>
      </c>
      <c r="B39" s="22" t="s">
        <v>31</v>
      </c>
      <c r="C39" s="23" t="s">
        <v>32</v>
      </c>
      <c r="D39" s="7" t="s">
        <v>5</v>
      </c>
      <c r="E39" s="22" t="s">
        <v>12</v>
      </c>
      <c r="F39" s="22" t="s">
        <v>12</v>
      </c>
      <c r="G39" s="22" t="s">
        <v>12</v>
      </c>
      <c r="H39" s="22" t="s">
        <v>32</v>
      </c>
    </row>
    <row r="40" ht="20" customHeight="1" spans="1:8" x14ac:dyDescent="0.25">
      <c r="A40" s="24" t="s">
        <v>68</v>
      </c>
      <c r="B40" s="24" t="s">
        <v>34</v>
      </c>
      <c r="C40" s="25" t="s">
        <v>32</v>
      </c>
      <c r="D40" s="7" t="s">
        <v>5</v>
      </c>
      <c r="E40" s="24" t="s">
        <v>12</v>
      </c>
      <c r="F40" s="24" t="s">
        <v>12</v>
      </c>
      <c r="G40" s="24" t="s">
        <v>12</v>
      </c>
      <c r="H40" s="24" t="s">
        <v>32</v>
      </c>
    </row>
    <row r="41" ht="22" customHeight="1" spans="1:8" x14ac:dyDescent="0.25">
      <c r="A41" s="26" t="s">
        <v>69</v>
      </c>
      <c r="B41" s="26"/>
      <c r="C41" s="26"/>
      <c r="D41" s="26"/>
      <c r="E41" s="26"/>
      <c r="F41" s="26"/>
      <c r="G41" s="27" t="s">
        <v>18</v>
      </c>
      <c r="H41" s="28" t="s">
        <v>12</v>
      </c>
    </row>
    <row r="43" ht="26" customHeight="1" spans="1:8" x14ac:dyDescent="0.25">
      <c r="A43" s="20" t="s">
        <v>70</v>
      </c>
      <c r="B43" s="20"/>
      <c r="C43" s="20"/>
      <c r="D43" s="20"/>
      <c r="E43" s="20"/>
      <c r="F43" s="20"/>
      <c r="G43" s="20"/>
      <c r="H43" s="20"/>
    </row>
    <row r="44" ht="22" customHeight="1" spans="1:8" x14ac:dyDescent="0.25">
      <c r="A44" s="21" t="s">
        <v>22</v>
      </c>
      <c r="B44" s="21" t="s">
        <v>23</v>
      </c>
      <c r="C44" s="21" t="s">
        <v>24</v>
      </c>
      <c r="D44" s="21" t="s">
        <v>25</v>
      </c>
      <c r="E44" s="21" t="s">
        <v>26</v>
      </c>
      <c r="F44" s="21" t="s">
        <v>27</v>
      </c>
      <c r="G44" s="21" t="s">
        <v>28</v>
      </c>
      <c r="H44" s="21" t="s">
        <v>29</v>
      </c>
    </row>
    <row r="45" ht="20" customHeight="1" spans="1:8" x14ac:dyDescent="0.25">
      <c r="A45" s="22" t="s">
        <v>30</v>
      </c>
      <c r="B45" s="22" t="s">
        <v>31</v>
      </c>
      <c r="C45" s="23" t="s">
        <v>71</v>
      </c>
      <c r="D45" s="6" t="s">
        <v>4</v>
      </c>
      <c r="E45" s="22" t="s">
        <v>72</v>
      </c>
      <c r="F45" s="22" t="s">
        <v>73</v>
      </c>
      <c r="G45" s="22" t="s">
        <v>74</v>
      </c>
      <c r="H45" s="29" t="s">
        <v>75</v>
      </c>
    </row>
    <row r="46" ht="20" customHeight="1" spans="1:8" x14ac:dyDescent="0.25">
      <c r="A46" s="24" t="s">
        <v>33</v>
      </c>
      <c r="B46" s="24" t="s">
        <v>34</v>
      </c>
      <c r="C46" s="25" t="s">
        <v>71</v>
      </c>
      <c r="D46" s="6" t="s">
        <v>4</v>
      </c>
      <c r="E46" s="24" t="s">
        <v>76</v>
      </c>
      <c r="F46" s="24" t="s">
        <v>77</v>
      </c>
      <c r="G46" s="24" t="s">
        <v>78</v>
      </c>
      <c r="H46" s="30" t="s">
        <v>79</v>
      </c>
    </row>
    <row r="47" ht="20" customHeight="1" spans="1:8" x14ac:dyDescent="0.25">
      <c r="A47" s="22" t="s">
        <v>35</v>
      </c>
      <c r="B47" s="22" t="s">
        <v>36</v>
      </c>
      <c r="C47" s="23" t="s">
        <v>71</v>
      </c>
      <c r="D47" s="6" t="s">
        <v>4</v>
      </c>
      <c r="E47" s="22" t="s">
        <v>80</v>
      </c>
      <c r="F47" s="22" t="s">
        <v>73</v>
      </c>
      <c r="G47" s="22" t="s">
        <v>81</v>
      </c>
      <c r="H47" s="29" t="s">
        <v>82</v>
      </c>
    </row>
    <row r="48" ht="20" customHeight="1" spans="1:8" x14ac:dyDescent="0.25">
      <c r="A48" s="24" t="s">
        <v>37</v>
      </c>
      <c r="B48" s="24" t="s">
        <v>38</v>
      </c>
      <c r="C48" s="25" t="s">
        <v>71</v>
      </c>
      <c r="D48" s="31" t="s">
        <v>11</v>
      </c>
      <c r="E48" s="24" t="s">
        <v>12</v>
      </c>
      <c r="F48" s="24" t="s">
        <v>12</v>
      </c>
      <c r="G48" s="24" t="s">
        <v>12</v>
      </c>
      <c r="H48" s="24" t="s">
        <v>32</v>
      </c>
    </row>
    <row r="49" ht="20" customHeight="1" spans="1:8" x14ac:dyDescent="0.25">
      <c r="A49" s="22" t="s">
        <v>39</v>
      </c>
      <c r="B49" s="22" t="s">
        <v>40</v>
      </c>
      <c r="C49" s="23" t="s">
        <v>71</v>
      </c>
      <c r="D49" s="6" t="s">
        <v>4</v>
      </c>
      <c r="E49" s="22" t="s">
        <v>83</v>
      </c>
      <c r="F49" s="22" t="s">
        <v>84</v>
      </c>
      <c r="G49" s="22" t="s">
        <v>85</v>
      </c>
      <c r="H49" s="32" t="s">
        <v>79</v>
      </c>
    </row>
    <row r="50" ht="20" customHeight="1" spans="1:8" x14ac:dyDescent="0.25">
      <c r="A50" s="24" t="s">
        <v>41</v>
      </c>
      <c r="B50" s="24" t="s">
        <v>42</v>
      </c>
      <c r="C50" s="25" t="s">
        <v>71</v>
      </c>
      <c r="D50" s="33" t="s">
        <v>86</v>
      </c>
      <c r="E50" s="24" t="s">
        <v>12</v>
      </c>
      <c r="F50" s="24" t="s">
        <v>12</v>
      </c>
      <c r="G50" s="24" t="s">
        <v>12</v>
      </c>
      <c r="H50" s="24" t="s">
        <v>32</v>
      </c>
    </row>
    <row r="51" ht="20" customHeight="1" spans="1:8" x14ac:dyDescent="0.25">
      <c r="A51" s="22" t="s">
        <v>44</v>
      </c>
      <c r="B51" s="22" t="s">
        <v>45</v>
      </c>
      <c r="C51" s="23" t="s">
        <v>71</v>
      </c>
      <c r="D51" s="10" t="s">
        <v>87</v>
      </c>
      <c r="E51" s="22" t="s">
        <v>12</v>
      </c>
      <c r="F51" s="22" t="s">
        <v>12</v>
      </c>
      <c r="G51" s="22" t="s">
        <v>12</v>
      </c>
      <c r="H51" s="22" t="s">
        <v>32</v>
      </c>
    </row>
    <row r="52" ht="20" customHeight="1" spans="1:8" x14ac:dyDescent="0.25">
      <c r="A52" s="24" t="s">
        <v>46</v>
      </c>
      <c r="B52" s="24" t="s">
        <v>31</v>
      </c>
      <c r="C52" s="25" t="s">
        <v>71</v>
      </c>
      <c r="D52" s="6" t="s">
        <v>4</v>
      </c>
      <c r="E52" s="24" t="s">
        <v>88</v>
      </c>
      <c r="F52" s="24" t="s">
        <v>89</v>
      </c>
      <c r="G52" s="24" t="s">
        <v>90</v>
      </c>
      <c r="H52" s="34" t="s">
        <v>91</v>
      </c>
    </row>
    <row r="53" ht="20" customHeight="1" spans="1:8" x14ac:dyDescent="0.25">
      <c r="A53" s="22" t="s">
        <v>47</v>
      </c>
      <c r="B53" s="22" t="s">
        <v>34</v>
      </c>
      <c r="C53" s="23" t="s">
        <v>71</v>
      </c>
      <c r="D53" s="6" t="s">
        <v>4</v>
      </c>
      <c r="E53" s="22" t="s">
        <v>92</v>
      </c>
      <c r="F53" s="22" t="s">
        <v>93</v>
      </c>
      <c r="G53" s="22" t="s">
        <v>94</v>
      </c>
      <c r="H53" s="32" t="s">
        <v>79</v>
      </c>
    </row>
    <row r="54" ht="20" customHeight="1" spans="1:8" x14ac:dyDescent="0.25">
      <c r="A54" s="24" t="s">
        <v>48</v>
      </c>
      <c r="B54" s="24" t="s">
        <v>36</v>
      </c>
      <c r="C54" s="25" t="s">
        <v>71</v>
      </c>
      <c r="D54" s="6" t="s">
        <v>4</v>
      </c>
      <c r="E54" s="24" t="s">
        <v>95</v>
      </c>
      <c r="F54" s="24" t="s">
        <v>96</v>
      </c>
      <c r="G54" s="24" t="s">
        <v>97</v>
      </c>
      <c r="H54" s="30" t="s">
        <v>79</v>
      </c>
    </row>
    <row r="55" ht="20" customHeight="1" spans="1:8" x14ac:dyDescent="0.25">
      <c r="A55" s="22" t="s">
        <v>49</v>
      </c>
      <c r="B55" s="22" t="s">
        <v>38</v>
      </c>
      <c r="C55" s="23" t="s">
        <v>71</v>
      </c>
      <c r="D55" s="6" t="s">
        <v>4</v>
      </c>
      <c r="E55" s="22" t="s">
        <v>95</v>
      </c>
      <c r="F55" s="22" t="s">
        <v>98</v>
      </c>
      <c r="G55" s="22" t="s">
        <v>99</v>
      </c>
      <c r="H55" s="29" t="s">
        <v>100</v>
      </c>
    </row>
    <row r="56" ht="20" customHeight="1" spans="1:8" x14ac:dyDescent="0.25">
      <c r="A56" s="24" t="s">
        <v>50</v>
      </c>
      <c r="B56" s="24" t="s">
        <v>40</v>
      </c>
      <c r="C56" s="25" t="s">
        <v>71</v>
      </c>
      <c r="D56" s="33" t="s">
        <v>86</v>
      </c>
      <c r="E56" s="24" t="s">
        <v>12</v>
      </c>
      <c r="F56" s="24" t="s">
        <v>12</v>
      </c>
      <c r="G56" s="24" t="s">
        <v>12</v>
      </c>
      <c r="H56" s="24" t="s">
        <v>32</v>
      </c>
    </row>
    <row r="57" ht="20" customHeight="1" spans="1:8" x14ac:dyDescent="0.25">
      <c r="A57" s="22" t="s">
        <v>51</v>
      </c>
      <c r="B57" s="22" t="s">
        <v>42</v>
      </c>
      <c r="C57" s="23" t="s">
        <v>71</v>
      </c>
      <c r="D57" s="35" t="s">
        <v>86</v>
      </c>
      <c r="E57" s="22" t="s">
        <v>12</v>
      </c>
      <c r="F57" s="22" t="s">
        <v>12</v>
      </c>
      <c r="G57" s="22" t="s">
        <v>12</v>
      </c>
      <c r="H57" s="22" t="s">
        <v>32</v>
      </c>
    </row>
    <row r="58" ht="20" customHeight="1" spans="1:8" x14ac:dyDescent="0.25">
      <c r="A58" s="24" t="s">
        <v>52</v>
      </c>
      <c r="B58" s="24" t="s">
        <v>45</v>
      </c>
      <c r="C58" s="25" t="s">
        <v>71</v>
      </c>
      <c r="D58" s="10" t="s">
        <v>87</v>
      </c>
      <c r="E58" s="24" t="s">
        <v>12</v>
      </c>
      <c r="F58" s="24" t="s">
        <v>12</v>
      </c>
      <c r="G58" s="24" t="s">
        <v>12</v>
      </c>
      <c r="H58" s="24" t="s">
        <v>32</v>
      </c>
    </row>
    <row r="59" ht="20" customHeight="1" spans="1:8" x14ac:dyDescent="0.25">
      <c r="A59" s="22" t="s">
        <v>53</v>
      </c>
      <c r="B59" s="22" t="s">
        <v>31</v>
      </c>
      <c r="C59" s="23" t="s">
        <v>71</v>
      </c>
      <c r="D59" s="6" t="s">
        <v>4</v>
      </c>
      <c r="E59" s="22" t="s">
        <v>101</v>
      </c>
      <c r="F59" s="22" t="s">
        <v>102</v>
      </c>
      <c r="G59" s="22" t="s">
        <v>103</v>
      </c>
      <c r="H59" s="32" t="s">
        <v>79</v>
      </c>
    </row>
    <row r="60" ht="20" customHeight="1" spans="1:8" x14ac:dyDescent="0.25">
      <c r="A60" s="24" t="s">
        <v>54</v>
      </c>
      <c r="B60" s="24" t="s">
        <v>34</v>
      </c>
      <c r="C60" s="25" t="s">
        <v>71</v>
      </c>
      <c r="D60" s="6" t="s">
        <v>4</v>
      </c>
      <c r="E60" s="24" t="s">
        <v>80</v>
      </c>
      <c r="F60" s="24" t="s">
        <v>104</v>
      </c>
      <c r="G60" s="24" t="s">
        <v>105</v>
      </c>
      <c r="H60" s="30" t="s">
        <v>79</v>
      </c>
    </row>
    <row r="61" ht="20" customHeight="1" spans="1:8" x14ac:dyDescent="0.25">
      <c r="A61" s="22" t="s">
        <v>55</v>
      </c>
      <c r="B61" s="22" t="s">
        <v>36</v>
      </c>
      <c r="C61" s="23" t="s">
        <v>71</v>
      </c>
      <c r="D61" s="6" t="s">
        <v>4</v>
      </c>
      <c r="E61" s="22" t="s">
        <v>106</v>
      </c>
      <c r="F61" s="22" t="s">
        <v>107</v>
      </c>
      <c r="G61" s="22" t="s">
        <v>108</v>
      </c>
      <c r="H61" s="32" t="s">
        <v>79</v>
      </c>
    </row>
    <row r="62" ht="20" customHeight="1" spans="1:8" x14ac:dyDescent="0.25">
      <c r="A62" s="24" t="s">
        <v>56</v>
      </c>
      <c r="B62" s="24" t="s">
        <v>38</v>
      </c>
      <c r="C62" s="25" t="s">
        <v>71</v>
      </c>
      <c r="D62" s="6" t="s">
        <v>4</v>
      </c>
      <c r="E62" s="24" t="s">
        <v>12</v>
      </c>
      <c r="F62" s="24" t="s">
        <v>12</v>
      </c>
      <c r="G62" s="24" t="s">
        <v>12</v>
      </c>
      <c r="H62" s="24" t="s">
        <v>32</v>
      </c>
    </row>
    <row r="63" ht="20" customHeight="1" spans="1:8" x14ac:dyDescent="0.25">
      <c r="A63" s="22" t="s">
        <v>57</v>
      </c>
      <c r="B63" s="22" t="s">
        <v>40</v>
      </c>
      <c r="C63" s="23" t="s">
        <v>71</v>
      </c>
      <c r="D63" s="6" t="s">
        <v>4</v>
      </c>
      <c r="E63" s="22" t="s">
        <v>109</v>
      </c>
      <c r="F63" s="22" t="s">
        <v>110</v>
      </c>
      <c r="G63" s="22" t="s">
        <v>111</v>
      </c>
      <c r="H63" s="32" t="s">
        <v>79</v>
      </c>
    </row>
    <row r="64" ht="20" customHeight="1" spans="1:8" x14ac:dyDescent="0.25">
      <c r="A64" s="24" t="s">
        <v>58</v>
      </c>
      <c r="B64" s="24" t="s">
        <v>42</v>
      </c>
      <c r="C64" s="25" t="s">
        <v>71</v>
      </c>
      <c r="D64" s="33" t="s">
        <v>86</v>
      </c>
      <c r="E64" s="24" t="s">
        <v>12</v>
      </c>
      <c r="F64" s="24" t="s">
        <v>12</v>
      </c>
      <c r="G64" s="24" t="s">
        <v>12</v>
      </c>
      <c r="H64" s="24" t="s">
        <v>32</v>
      </c>
    </row>
    <row r="65" ht="20" customHeight="1" spans="1:8" x14ac:dyDescent="0.25">
      <c r="A65" s="22" t="s">
        <v>59</v>
      </c>
      <c r="B65" s="22" t="s">
        <v>45</v>
      </c>
      <c r="C65" s="23" t="s">
        <v>71</v>
      </c>
      <c r="D65" s="6" t="s">
        <v>4</v>
      </c>
      <c r="E65" s="22" t="s">
        <v>101</v>
      </c>
      <c r="F65" s="22" t="s">
        <v>112</v>
      </c>
      <c r="G65" s="22" t="s">
        <v>113</v>
      </c>
      <c r="H65" s="32" t="s">
        <v>79</v>
      </c>
    </row>
    <row r="66" ht="20" customHeight="1" spans="1:8" x14ac:dyDescent="0.25">
      <c r="A66" s="24" t="s">
        <v>60</v>
      </c>
      <c r="B66" s="24" t="s">
        <v>31</v>
      </c>
      <c r="C66" s="25" t="s">
        <v>71</v>
      </c>
      <c r="D66" s="6" t="s">
        <v>4</v>
      </c>
      <c r="E66" s="24" t="s">
        <v>114</v>
      </c>
      <c r="F66" s="24" t="s">
        <v>115</v>
      </c>
      <c r="G66" s="24" t="s">
        <v>116</v>
      </c>
      <c r="H66" s="30" t="s">
        <v>79</v>
      </c>
    </row>
    <row r="67" ht="20" customHeight="1" spans="1:8" x14ac:dyDescent="0.25">
      <c r="A67" s="22" t="s">
        <v>61</v>
      </c>
      <c r="B67" s="22" t="s">
        <v>34</v>
      </c>
      <c r="C67" s="23" t="s">
        <v>71</v>
      </c>
      <c r="D67" s="6" t="s">
        <v>4</v>
      </c>
      <c r="E67" s="22" t="s">
        <v>117</v>
      </c>
      <c r="F67" s="22" t="s">
        <v>118</v>
      </c>
      <c r="G67" s="22" t="s">
        <v>119</v>
      </c>
      <c r="H67" s="29" t="s">
        <v>120</v>
      </c>
    </row>
    <row r="68" ht="20" customHeight="1" spans="1:8" x14ac:dyDescent="0.25">
      <c r="A68" s="24" t="s">
        <v>62</v>
      </c>
      <c r="B68" s="24" t="s">
        <v>36</v>
      </c>
      <c r="C68" s="25" t="s">
        <v>71</v>
      </c>
      <c r="D68" s="6" t="s">
        <v>4</v>
      </c>
      <c r="E68" s="24" t="s">
        <v>121</v>
      </c>
      <c r="F68" s="24" t="s">
        <v>122</v>
      </c>
      <c r="G68" s="24" t="s">
        <v>123</v>
      </c>
      <c r="H68" s="34" t="s">
        <v>124</v>
      </c>
    </row>
    <row r="69" ht="20" customHeight="1" spans="1:8" x14ac:dyDescent="0.25">
      <c r="A69" s="22" t="s">
        <v>63</v>
      </c>
      <c r="B69" s="22" t="s">
        <v>38</v>
      </c>
      <c r="C69" s="23" t="s">
        <v>71</v>
      </c>
      <c r="D69" s="6" t="s">
        <v>4</v>
      </c>
      <c r="E69" s="22" t="s">
        <v>125</v>
      </c>
      <c r="F69" s="22" t="s">
        <v>126</v>
      </c>
      <c r="G69" s="22" t="s">
        <v>127</v>
      </c>
      <c r="H69" s="32" t="s">
        <v>79</v>
      </c>
    </row>
    <row r="70" ht="20" customHeight="1" spans="1:8" x14ac:dyDescent="0.25">
      <c r="A70" s="24" t="s">
        <v>64</v>
      </c>
      <c r="B70" s="24" t="s">
        <v>40</v>
      </c>
      <c r="C70" s="25" t="s">
        <v>71</v>
      </c>
      <c r="D70" s="33" t="s">
        <v>86</v>
      </c>
      <c r="E70" s="24" t="s">
        <v>12</v>
      </c>
      <c r="F70" s="24" t="s">
        <v>12</v>
      </c>
      <c r="G70" s="24" t="s">
        <v>12</v>
      </c>
      <c r="H70" s="24" t="s">
        <v>32</v>
      </c>
    </row>
    <row r="71" ht="20" customHeight="1" spans="1:8" x14ac:dyDescent="0.25">
      <c r="A71" s="22" t="s">
        <v>65</v>
      </c>
      <c r="B71" s="22" t="s">
        <v>42</v>
      </c>
      <c r="C71" s="23" t="s">
        <v>71</v>
      </c>
      <c r="D71" s="35" t="s">
        <v>86</v>
      </c>
      <c r="E71" s="22" t="s">
        <v>12</v>
      </c>
      <c r="F71" s="22" t="s">
        <v>12</v>
      </c>
      <c r="G71" s="22" t="s">
        <v>12</v>
      </c>
      <c r="H71" s="22" t="s">
        <v>32</v>
      </c>
    </row>
    <row r="72" ht="20" customHeight="1" spans="1:8" x14ac:dyDescent="0.25">
      <c r="A72" s="24" t="s">
        <v>66</v>
      </c>
      <c r="B72" s="24" t="s">
        <v>45</v>
      </c>
      <c r="C72" s="25" t="s">
        <v>71</v>
      </c>
      <c r="D72" s="6" t="s">
        <v>4</v>
      </c>
      <c r="E72" s="24" t="s">
        <v>128</v>
      </c>
      <c r="F72" s="24" t="s">
        <v>129</v>
      </c>
      <c r="G72" s="24" t="s">
        <v>130</v>
      </c>
      <c r="H72" s="34" t="s">
        <v>131</v>
      </c>
    </row>
    <row r="73" ht="20" customHeight="1" spans="1:8" x14ac:dyDescent="0.25">
      <c r="A73" s="22" t="s">
        <v>67</v>
      </c>
      <c r="B73" s="22" t="s">
        <v>31</v>
      </c>
      <c r="C73" s="23" t="s">
        <v>71</v>
      </c>
      <c r="D73" s="6" t="s">
        <v>4</v>
      </c>
      <c r="E73" s="22" t="s">
        <v>132</v>
      </c>
      <c r="F73" s="22" t="s">
        <v>133</v>
      </c>
      <c r="G73" s="22" t="s">
        <v>134</v>
      </c>
      <c r="H73" s="32" t="s">
        <v>79</v>
      </c>
    </row>
    <row r="74" ht="20" customHeight="1" spans="1:8" x14ac:dyDescent="0.25">
      <c r="A74" s="24" t="s">
        <v>68</v>
      </c>
      <c r="B74" s="24" t="s">
        <v>34</v>
      </c>
      <c r="C74" s="25" t="s">
        <v>71</v>
      </c>
      <c r="D74" s="6" t="s">
        <v>4</v>
      </c>
      <c r="E74" s="24" t="s">
        <v>135</v>
      </c>
      <c r="F74" s="24" t="s">
        <v>136</v>
      </c>
      <c r="G74" s="24" t="s">
        <v>137</v>
      </c>
      <c r="H74" s="30" t="s">
        <v>79</v>
      </c>
    </row>
    <row r="75" ht="22" customHeight="1" spans="1:8" x14ac:dyDescent="0.25">
      <c r="A75" s="26" t="s">
        <v>69</v>
      </c>
      <c r="B75" s="26"/>
      <c r="C75" s="26"/>
      <c r="D75" s="26"/>
      <c r="E75" s="26"/>
      <c r="F75" s="26"/>
      <c r="G75" s="27" t="s">
        <v>138</v>
      </c>
      <c r="H75" s="28" t="s">
        <v>12</v>
      </c>
    </row>
  </sheetData>
  <mergeCells count="6">
    <mergeCell ref="A1:P1"/>
    <mergeCell ref="A2:P2"/>
    <mergeCell ref="A9:H9"/>
    <mergeCell ref="A41:F41"/>
    <mergeCell ref="A43:H43"/>
    <mergeCell ref="A75:F7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5"/>
  <sheetViews>
    <sheetView workbookViewId="0"/>
  </sheetViews>
  <sheetFormatPr defaultRowHeight="15" outlineLevelRow="0" outlineLevelCol="0" x14ac:dyDescent="55"/>
  <cols>
    <col min="1" max="1" width="28" customWidth="1"/>
    <col min="2" max="2" width="20" customWidth="1"/>
    <col min="3" max="4" width="13" customWidth="1"/>
    <col min="5" max="7" width="18" customWidth="1"/>
    <col min="8" max="10" width="14" customWidth="1"/>
    <col min="11" max="12" width="6" customWidth="1"/>
    <col min="13" max="13" width="28" customWidth="1"/>
    <col min="14" max="14" width="14" customWidth="1"/>
    <col min="15" max="16" width="18" customWidth="1"/>
  </cols>
  <sheetData>
    <row r="1" ht="30" customHeight="1" spans="1:16" x14ac:dyDescent="0.25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2" customHeight="1" spans="1:16" x14ac:dyDescent="0.25">
      <c r="A2" s="2" t="s">
        <v>140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26" customHeight="1" spans="1:1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</row>
    <row r="5" ht="22" customHeight="1" spans="1:16" x14ac:dyDescent="0.25">
      <c r="A5" s="4" t="s">
        <v>141</v>
      </c>
      <c r="B5" s="5">
        <v>30</v>
      </c>
      <c r="C5" s="6">
        <v>23.5</v>
      </c>
      <c r="D5" s="7">
        <v>0</v>
      </c>
      <c r="E5" s="8">
        <v>1</v>
      </c>
      <c r="F5" s="9">
        <v>0</v>
      </c>
      <c r="G5" s="10">
        <v>0.5</v>
      </c>
      <c r="H5" s="11">
        <v>0</v>
      </c>
      <c r="I5" s="12">
        <v>5</v>
      </c>
      <c r="J5" s="13">
        <v>1</v>
      </c>
      <c r="K5" s="14" t="s">
        <v>12</v>
      </c>
      <c r="L5" s="14" t="s">
        <v>12</v>
      </c>
      <c r="M5" s="15">
        <v>35.5</v>
      </c>
      <c r="N5" s="16">
        <v>0.5</v>
      </c>
      <c r="O5" s="17">
        <v>35</v>
      </c>
      <c r="P5" s="18" t="s">
        <v>142</v>
      </c>
    </row>
    <row r="6" ht="22" customHeight="1" spans="1:16" x14ac:dyDescent="0.25">
      <c r="A6" s="19" t="s">
        <v>143</v>
      </c>
      <c r="B6" s="5">
        <v>30</v>
      </c>
      <c r="C6" s="6">
        <v>20</v>
      </c>
      <c r="D6" s="7">
        <v>0</v>
      </c>
      <c r="E6" s="8">
        <v>2</v>
      </c>
      <c r="F6" s="9">
        <v>3</v>
      </c>
      <c r="G6" s="10">
        <v>4</v>
      </c>
      <c r="H6" s="11">
        <v>0</v>
      </c>
      <c r="I6" s="12">
        <v>5</v>
      </c>
      <c r="J6" s="13">
        <v>1</v>
      </c>
      <c r="K6" s="14" t="s">
        <v>12</v>
      </c>
      <c r="L6" s="14" t="s">
        <v>12</v>
      </c>
      <c r="M6" s="15">
        <v>24.5</v>
      </c>
      <c r="N6" s="16">
        <v>4</v>
      </c>
      <c r="O6" s="17">
        <v>20.5</v>
      </c>
      <c r="P6" s="18" t="s">
        <v>99</v>
      </c>
    </row>
    <row r="7" ht="22" customHeight="1" spans="1:16" x14ac:dyDescent="0.25">
      <c r="A7" s="4" t="s">
        <v>144</v>
      </c>
      <c r="B7" s="5">
        <v>30</v>
      </c>
      <c r="C7" s="6">
        <v>24</v>
      </c>
      <c r="D7" s="7">
        <v>0</v>
      </c>
      <c r="E7" s="8">
        <v>0</v>
      </c>
      <c r="F7" s="9">
        <v>0</v>
      </c>
      <c r="G7" s="10">
        <v>0</v>
      </c>
      <c r="H7" s="11">
        <v>0</v>
      </c>
      <c r="I7" s="12">
        <v>5</v>
      </c>
      <c r="J7" s="13">
        <v>1</v>
      </c>
      <c r="K7" s="14" t="s">
        <v>12</v>
      </c>
      <c r="L7" s="14" t="s">
        <v>12</v>
      </c>
      <c r="M7" s="15">
        <v>0</v>
      </c>
      <c r="N7" s="16">
        <v>0</v>
      </c>
      <c r="O7" s="17">
        <v>0</v>
      </c>
      <c r="P7" s="18" t="s">
        <v>99</v>
      </c>
    </row>
    <row r="8" ht="22" customHeight="1" spans="1:16" x14ac:dyDescent="0.25">
      <c r="A8" s="19" t="s">
        <v>145</v>
      </c>
      <c r="B8" s="5">
        <v>30</v>
      </c>
      <c r="C8" s="6">
        <v>20.5</v>
      </c>
      <c r="D8" s="7">
        <v>0</v>
      </c>
      <c r="E8" s="8">
        <v>5</v>
      </c>
      <c r="F8" s="9">
        <v>2</v>
      </c>
      <c r="G8" s="10">
        <v>4.5</v>
      </c>
      <c r="H8" s="11">
        <v>0</v>
      </c>
      <c r="I8" s="12">
        <v>4</v>
      </c>
      <c r="J8" s="13">
        <v>1</v>
      </c>
      <c r="K8" s="14" t="s">
        <v>12</v>
      </c>
      <c r="L8" s="14" t="s">
        <v>12</v>
      </c>
      <c r="M8" s="15">
        <v>16</v>
      </c>
      <c r="N8" s="16">
        <v>4.5</v>
      </c>
      <c r="O8" s="17">
        <v>11.5</v>
      </c>
      <c r="P8" s="18" t="s">
        <v>137</v>
      </c>
    </row>
    <row r="9" ht="22" customHeight="1" spans="1:16" x14ac:dyDescent="0.25">
      <c r="A9" s="4" t="s">
        <v>146</v>
      </c>
      <c r="B9" s="5">
        <v>30</v>
      </c>
      <c r="C9" s="6">
        <v>24</v>
      </c>
      <c r="D9" s="7">
        <v>0</v>
      </c>
      <c r="E9" s="8">
        <v>0</v>
      </c>
      <c r="F9" s="9">
        <v>0</v>
      </c>
      <c r="G9" s="10">
        <v>0</v>
      </c>
      <c r="H9" s="11">
        <v>0</v>
      </c>
      <c r="I9" s="12">
        <v>5</v>
      </c>
      <c r="J9" s="13">
        <v>1</v>
      </c>
      <c r="K9" s="14" t="s">
        <v>12</v>
      </c>
      <c r="L9" s="14" t="s">
        <v>12</v>
      </c>
      <c r="M9" s="15">
        <v>0</v>
      </c>
      <c r="N9" s="16">
        <v>0</v>
      </c>
      <c r="O9" s="17">
        <v>0</v>
      </c>
      <c r="P9" s="18" t="s">
        <v>147</v>
      </c>
    </row>
    <row r="10" ht="22" customHeight="1" spans="1:16" x14ac:dyDescent="0.25">
      <c r="A10" s="19" t="s">
        <v>148</v>
      </c>
      <c r="B10" s="5">
        <v>30</v>
      </c>
      <c r="C10" s="6">
        <v>22</v>
      </c>
      <c r="D10" s="7">
        <v>0</v>
      </c>
      <c r="E10" s="8">
        <v>0</v>
      </c>
      <c r="F10" s="9">
        <v>2</v>
      </c>
      <c r="G10" s="10">
        <v>2</v>
      </c>
      <c r="H10" s="11">
        <v>0</v>
      </c>
      <c r="I10" s="12">
        <v>5</v>
      </c>
      <c r="J10" s="13">
        <v>1</v>
      </c>
      <c r="K10" s="14" t="s">
        <v>12</v>
      </c>
      <c r="L10" s="14" t="s">
        <v>12</v>
      </c>
      <c r="M10" s="15">
        <v>17</v>
      </c>
      <c r="N10" s="16">
        <v>2</v>
      </c>
      <c r="O10" s="17">
        <v>15</v>
      </c>
      <c r="P10" s="18" t="s">
        <v>147</v>
      </c>
    </row>
    <row r="11" ht="22" customHeight="1" spans="1:16" x14ac:dyDescent="0.25">
      <c r="A11" s="4" t="s">
        <v>149</v>
      </c>
      <c r="B11" s="5">
        <v>30</v>
      </c>
      <c r="C11" s="6">
        <v>23</v>
      </c>
      <c r="D11" s="7">
        <v>0</v>
      </c>
      <c r="E11" s="8">
        <v>0</v>
      </c>
      <c r="F11" s="9">
        <v>1</v>
      </c>
      <c r="G11" s="10">
        <v>1</v>
      </c>
      <c r="H11" s="11">
        <v>0</v>
      </c>
      <c r="I11" s="12">
        <v>5</v>
      </c>
      <c r="J11" s="13">
        <v>1</v>
      </c>
      <c r="K11" s="14" t="s">
        <v>12</v>
      </c>
      <c r="L11" s="14" t="s">
        <v>12</v>
      </c>
      <c r="M11" s="15">
        <v>31</v>
      </c>
      <c r="N11" s="16">
        <v>1</v>
      </c>
      <c r="O11" s="17">
        <v>30</v>
      </c>
      <c r="P11" s="18" t="s">
        <v>147</v>
      </c>
    </row>
    <row r="12" ht="22" customHeight="1" spans="1:16" x14ac:dyDescent="0.25">
      <c r="A12" s="19" t="s">
        <v>150</v>
      </c>
      <c r="B12" s="5">
        <v>30</v>
      </c>
      <c r="C12" s="6">
        <v>24</v>
      </c>
      <c r="D12" s="7">
        <v>0</v>
      </c>
      <c r="E12" s="8">
        <v>0</v>
      </c>
      <c r="F12" s="9">
        <v>0</v>
      </c>
      <c r="G12" s="10">
        <v>0</v>
      </c>
      <c r="H12" s="11">
        <v>0</v>
      </c>
      <c r="I12" s="12">
        <v>5</v>
      </c>
      <c r="J12" s="13">
        <v>1</v>
      </c>
      <c r="K12" s="14" t="s">
        <v>12</v>
      </c>
      <c r="L12" s="14" t="s">
        <v>12</v>
      </c>
      <c r="M12" s="15">
        <v>0</v>
      </c>
      <c r="N12" s="16">
        <v>0</v>
      </c>
      <c r="O12" s="17">
        <v>0</v>
      </c>
      <c r="P12" s="18" t="s">
        <v>119</v>
      </c>
    </row>
    <row r="15" ht="26" customHeight="1" spans="1:8" x14ac:dyDescent="0.25">
      <c r="A15" s="20" t="s">
        <v>151</v>
      </c>
      <c r="B15" s="20"/>
      <c r="C15" s="20"/>
      <c r="D15" s="20"/>
      <c r="E15" s="20"/>
      <c r="F15" s="20"/>
      <c r="G15" s="20"/>
      <c r="H15" s="20"/>
    </row>
    <row r="16" ht="22" customHeight="1" spans="1:8" x14ac:dyDescent="0.25">
      <c r="A16" s="21" t="s">
        <v>22</v>
      </c>
      <c r="B16" s="21" t="s">
        <v>23</v>
      </c>
      <c r="C16" s="21" t="s">
        <v>24</v>
      </c>
      <c r="D16" s="21" t="s">
        <v>25</v>
      </c>
      <c r="E16" s="21" t="s">
        <v>26</v>
      </c>
      <c r="F16" s="21" t="s">
        <v>27</v>
      </c>
      <c r="G16" s="21" t="s">
        <v>28</v>
      </c>
      <c r="H16" s="21" t="s">
        <v>29</v>
      </c>
    </row>
    <row r="17" ht="20" customHeight="1" spans="1:8" x14ac:dyDescent="0.25">
      <c r="A17" s="22" t="s">
        <v>30</v>
      </c>
      <c r="B17" s="22" t="s">
        <v>31</v>
      </c>
      <c r="C17" s="23" t="s">
        <v>71</v>
      </c>
      <c r="D17" s="6" t="s">
        <v>4</v>
      </c>
      <c r="E17" s="22" t="s">
        <v>152</v>
      </c>
      <c r="F17" s="22" t="s">
        <v>153</v>
      </c>
      <c r="G17" s="22" t="s">
        <v>154</v>
      </c>
      <c r="H17" s="29" t="s">
        <v>155</v>
      </c>
    </row>
    <row r="18" ht="20" customHeight="1" spans="1:8" x14ac:dyDescent="0.25">
      <c r="A18" s="24" t="s">
        <v>33</v>
      </c>
      <c r="B18" s="24" t="s">
        <v>34</v>
      </c>
      <c r="C18" s="25" t="s">
        <v>71</v>
      </c>
      <c r="D18" s="6" t="s">
        <v>4</v>
      </c>
      <c r="E18" s="24" t="s">
        <v>156</v>
      </c>
      <c r="F18" s="24" t="s">
        <v>157</v>
      </c>
      <c r="G18" s="24" t="s">
        <v>147</v>
      </c>
      <c r="H18" s="34" t="s">
        <v>158</v>
      </c>
    </row>
    <row r="19" ht="20" customHeight="1" spans="1:8" x14ac:dyDescent="0.25">
      <c r="A19" s="22" t="s">
        <v>35</v>
      </c>
      <c r="B19" s="22" t="s">
        <v>36</v>
      </c>
      <c r="C19" s="23" t="s">
        <v>71</v>
      </c>
      <c r="D19" s="6" t="s">
        <v>4</v>
      </c>
      <c r="E19" s="22" t="s">
        <v>159</v>
      </c>
      <c r="F19" s="22" t="s">
        <v>160</v>
      </c>
      <c r="G19" s="22" t="s">
        <v>161</v>
      </c>
      <c r="H19" s="29" t="s">
        <v>162</v>
      </c>
    </row>
    <row r="20" ht="20" customHeight="1" spans="1:8" x14ac:dyDescent="0.25">
      <c r="A20" s="24" t="s">
        <v>37</v>
      </c>
      <c r="B20" s="24" t="s">
        <v>38</v>
      </c>
      <c r="C20" s="25" t="s">
        <v>71</v>
      </c>
      <c r="D20" s="31" t="s">
        <v>11</v>
      </c>
      <c r="E20" s="24" t="s">
        <v>12</v>
      </c>
      <c r="F20" s="24" t="s">
        <v>12</v>
      </c>
      <c r="G20" s="24" t="s">
        <v>12</v>
      </c>
      <c r="H20" s="24" t="s">
        <v>32</v>
      </c>
    </row>
    <row r="21" ht="20" customHeight="1" spans="1:8" x14ac:dyDescent="0.25">
      <c r="A21" s="22" t="s">
        <v>39</v>
      </c>
      <c r="B21" s="22" t="s">
        <v>40</v>
      </c>
      <c r="C21" s="23" t="s">
        <v>71</v>
      </c>
      <c r="D21" s="6" t="s">
        <v>4</v>
      </c>
      <c r="E21" s="22" t="s">
        <v>163</v>
      </c>
      <c r="F21" s="22" t="s">
        <v>164</v>
      </c>
      <c r="G21" s="22" t="s">
        <v>165</v>
      </c>
      <c r="H21" s="29" t="s">
        <v>166</v>
      </c>
    </row>
    <row r="22" ht="20" customHeight="1" spans="1:8" x14ac:dyDescent="0.25">
      <c r="A22" s="24" t="s">
        <v>41</v>
      </c>
      <c r="B22" s="24" t="s">
        <v>42</v>
      </c>
      <c r="C22" s="25" t="s">
        <v>71</v>
      </c>
      <c r="D22" s="33" t="s">
        <v>86</v>
      </c>
      <c r="E22" s="24" t="s">
        <v>12</v>
      </c>
      <c r="F22" s="24" t="s">
        <v>12</v>
      </c>
      <c r="G22" s="24" t="s">
        <v>12</v>
      </c>
      <c r="H22" s="24" t="s">
        <v>32</v>
      </c>
    </row>
    <row r="23" ht="20" customHeight="1" spans="1:8" x14ac:dyDescent="0.25">
      <c r="A23" s="22" t="s">
        <v>44</v>
      </c>
      <c r="B23" s="22" t="s">
        <v>45</v>
      </c>
      <c r="C23" s="23" t="s">
        <v>71</v>
      </c>
      <c r="D23" s="6" t="s">
        <v>4</v>
      </c>
      <c r="E23" s="22" t="s">
        <v>167</v>
      </c>
      <c r="F23" s="22" t="s">
        <v>107</v>
      </c>
      <c r="G23" s="22" t="s">
        <v>147</v>
      </c>
      <c r="H23" s="29" t="s">
        <v>168</v>
      </c>
    </row>
    <row r="24" ht="20" customHeight="1" spans="1:8" x14ac:dyDescent="0.25">
      <c r="A24" s="24" t="s">
        <v>46</v>
      </c>
      <c r="B24" s="24" t="s">
        <v>31</v>
      </c>
      <c r="C24" s="25" t="s">
        <v>71</v>
      </c>
      <c r="D24" s="6" t="s">
        <v>4</v>
      </c>
      <c r="E24" s="24" t="s">
        <v>169</v>
      </c>
      <c r="F24" s="24" t="s">
        <v>170</v>
      </c>
      <c r="G24" s="24" t="s">
        <v>171</v>
      </c>
      <c r="H24" s="34" t="s">
        <v>172</v>
      </c>
    </row>
    <row r="25" ht="20" customHeight="1" spans="1:8" x14ac:dyDescent="0.25">
      <c r="A25" s="22" t="s">
        <v>47</v>
      </c>
      <c r="B25" s="22" t="s">
        <v>34</v>
      </c>
      <c r="C25" s="23" t="s">
        <v>71</v>
      </c>
      <c r="D25" s="6" t="s">
        <v>4</v>
      </c>
      <c r="E25" s="22" t="s">
        <v>173</v>
      </c>
      <c r="F25" s="22" t="s">
        <v>164</v>
      </c>
      <c r="G25" s="22" t="s">
        <v>174</v>
      </c>
      <c r="H25" s="29" t="s">
        <v>175</v>
      </c>
    </row>
    <row r="26" ht="20" customHeight="1" spans="1:8" x14ac:dyDescent="0.25">
      <c r="A26" s="24" t="s">
        <v>48</v>
      </c>
      <c r="B26" s="24" t="s">
        <v>36</v>
      </c>
      <c r="C26" s="25" t="s">
        <v>71</v>
      </c>
      <c r="D26" s="6" t="s">
        <v>4</v>
      </c>
      <c r="E26" s="24" t="s">
        <v>176</v>
      </c>
      <c r="F26" s="24" t="s">
        <v>107</v>
      </c>
      <c r="G26" s="24" t="s">
        <v>177</v>
      </c>
      <c r="H26" s="34" t="s">
        <v>178</v>
      </c>
    </row>
    <row r="27" ht="20" customHeight="1" spans="1:8" x14ac:dyDescent="0.25">
      <c r="A27" s="22" t="s">
        <v>49</v>
      </c>
      <c r="B27" s="22" t="s">
        <v>38</v>
      </c>
      <c r="C27" s="23" t="s">
        <v>71</v>
      </c>
      <c r="D27" s="6" t="s">
        <v>4</v>
      </c>
      <c r="E27" s="22" t="s">
        <v>176</v>
      </c>
      <c r="F27" s="22" t="s">
        <v>179</v>
      </c>
      <c r="G27" s="22" t="s">
        <v>180</v>
      </c>
      <c r="H27" s="29" t="s">
        <v>178</v>
      </c>
    </row>
    <row r="28" ht="20" customHeight="1" spans="1:8" x14ac:dyDescent="0.25">
      <c r="A28" s="24" t="s">
        <v>50</v>
      </c>
      <c r="B28" s="24" t="s">
        <v>40</v>
      </c>
      <c r="C28" s="25" t="s">
        <v>71</v>
      </c>
      <c r="D28" s="33" t="s">
        <v>86</v>
      </c>
      <c r="E28" s="24" t="s">
        <v>12</v>
      </c>
      <c r="F28" s="24" t="s">
        <v>12</v>
      </c>
      <c r="G28" s="24" t="s">
        <v>12</v>
      </c>
      <c r="H28" s="24" t="s">
        <v>32</v>
      </c>
    </row>
    <row r="29" ht="20" customHeight="1" spans="1:8" x14ac:dyDescent="0.25">
      <c r="A29" s="22" t="s">
        <v>51</v>
      </c>
      <c r="B29" s="22" t="s">
        <v>42</v>
      </c>
      <c r="C29" s="23" t="s">
        <v>71</v>
      </c>
      <c r="D29" s="35" t="s">
        <v>86</v>
      </c>
      <c r="E29" s="22" t="s">
        <v>12</v>
      </c>
      <c r="F29" s="22" t="s">
        <v>12</v>
      </c>
      <c r="G29" s="22" t="s">
        <v>12</v>
      </c>
      <c r="H29" s="22" t="s">
        <v>32</v>
      </c>
    </row>
    <row r="30" ht="20" customHeight="1" spans="1:8" x14ac:dyDescent="0.25">
      <c r="A30" s="24" t="s">
        <v>52</v>
      </c>
      <c r="B30" s="24" t="s">
        <v>45</v>
      </c>
      <c r="C30" s="25" t="s">
        <v>71</v>
      </c>
      <c r="D30" s="6" t="s">
        <v>4</v>
      </c>
      <c r="E30" s="24" t="s">
        <v>181</v>
      </c>
      <c r="F30" s="24" t="s">
        <v>182</v>
      </c>
      <c r="G30" s="24" t="s">
        <v>183</v>
      </c>
      <c r="H30" s="34" t="s">
        <v>184</v>
      </c>
    </row>
    <row r="31" ht="20" customHeight="1" spans="1:8" x14ac:dyDescent="0.25">
      <c r="A31" s="22" t="s">
        <v>53</v>
      </c>
      <c r="B31" s="22" t="s">
        <v>31</v>
      </c>
      <c r="C31" s="23" t="s">
        <v>71</v>
      </c>
      <c r="D31" s="6" t="s">
        <v>4</v>
      </c>
      <c r="E31" s="22" t="s">
        <v>185</v>
      </c>
      <c r="F31" s="22" t="s">
        <v>186</v>
      </c>
      <c r="G31" s="22" t="s">
        <v>187</v>
      </c>
      <c r="H31" s="29" t="s">
        <v>188</v>
      </c>
    </row>
    <row r="32" ht="20" customHeight="1" spans="1:8" x14ac:dyDescent="0.25">
      <c r="A32" s="24" t="s">
        <v>54</v>
      </c>
      <c r="B32" s="24" t="s">
        <v>34</v>
      </c>
      <c r="C32" s="25" t="s">
        <v>71</v>
      </c>
      <c r="D32" s="6" t="s">
        <v>4</v>
      </c>
      <c r="E32" s="24" t="s">
        <v>189</v>
      </c>
      <c r="F32" s="24" t="s">
        <v>157</v>
      </c>
      <c r="G32" s="24" t="s">
        <v>190</v>
      </c>
      <c r="H32" s="34" t="s">
        <v>191</v>
      </c>
    </row>
    <row r="33" ht="20" customHeight="1" spans="1:8" x14ac:dyDescent="0.25">
      <c r="A33" s="22" t="s">
        <v>55</v>
      </c>
      <c r="B33" s="22" t="s">
        <v>36</v>
      </c>
      <c r="C33" s="23" t="s">
        <v>71</v>
      </c>
      <c r="D33" s="6" t="s">
        <v>4</v>
      </c>
      <c r="E33" s="22" t="s">
        <v>192</v>
      </c>
      <c r="F33" s="22" t="s">
        <v>193</v>
      </c>
      <c r="G33" s="22" t="s">
        <v>194</v>
      </c>
      <c r="H33" s="29" t="s">
        <v>195</v>
      </c>
    </row>
    <row r="34" ht="20" customHeight="1" spans="1:8" x14ac:dyDescent="0.25">
      <c r="A34" s="24" t="s">
        <v>56</v>
      </c>
      <c r="B34" s="24" t="s">
        <v>38</v>
      </c>
      <c r="C34" s="25" t="s">
        <v>71</v>
      </c>
      <c r="D34" s="6" t="s">
        <v>4</v>
      </c>
      <c r="E34" s="24" t="s">
        <v>196</v>
      </c>
      <c r="F34" s="24" t="s">
        <v>197</v>
      </c>
      <c r="G34" s="24" t="s">
        <v>194</v>
      </c>
      <c r="H34" s="34" t="s">
        <v>198</v>
      </c>
    </row>
    <row r="35" ht="20" customHeight="1" spans="1:8" x14ac:dyDescent="0.25">
      <c r="A35" s="22" t="s">
        <v>57</v>
      </c>
      <c r="B35" s="22" t="s">
        <v>40</v>
      </c>
      <c r="C35" s="23" t="s">
        <v>71</v>
      </c>
      <c r="D35" s="6" t="s">
        <v>4</v>
      </c>
      <c r="E35" s="22" t="s">
        <v>185</v>
      </c>
      <c r="F35" s="22" t="s">
        <v>12</v>
      </c>
      <c r="G35" s="22" t="s">
        <v>12</v>
      </c>
      <c r="H35" s="29" t="s">
        <v>188</v>
      </c>
    </row>
    <row r="36" ht="20" customHeight="1" spans="1:8" x14ac:dyDescent="0.25">
      <c r="A36" s="24" t="s">
        <v>58</v>
      </c>
      <c r="B36" s="24" t="s">
        <v>42</v>
      </c>
      <c r="C36" s="25" t="s">
        <v>71</v>
      </c>
      <c r="D36" s="33" t="s">
        <v>86</v>
      </c>
      <c r="E36" s="24" t="s">
        <v>12</v>
      </c>
      <c r="F36" s="24" t="s">
        <v>12</v>
      </c>
      <c r="G36" s="24" t="s">
        <v>12</v>
      </c>
      <c r="H36" s="24" t="s">
        <v>32</v>
      </c>
    </row>
    <row r="37" ht="20" customHeight="1" spans="1:8" x14ac:dyDescent="0.25">
      <c r="A37" s="22" t="s">
        <v>59</v>
      </c>
      <c r="B37" s="22" t="s">
        <v>45</v>
      </c>
      <c r="C37" s="23" t="s">
        <v>71</v>
      </c>
      <c r="D37" s="6" t="s">
        <v>4</v>
      </c>
      <c r="E37" s="22" t="s">
        <v>199</v>
      </c>
      <c r="F37" s="22" t="s">
        <v>12</v>
      </c>
      <c r="G37" s="22" t="s">
        <v>12</v>
      </c>
      <c r="H37" s="29" t="s">
        <v>200</v>
      </c>
    </row>
    <row r="38" ht="20" customHeight="1" spans="1:8" x14ac:dyDescent="0.25">
      <c r="A38" s="24" t="s">
        <v>60</v>
      </c>
      <c r="B38" s="24" t="s">
        <v>31</v>
      </c>
      <c r="C38" s="25" t="s">
        <v>71</v>
      </c>
      <c r="D38" s="6" t="s">
        <v>4</v>
      </c>
      <c r="E38" s="24" t="s">
        <v>201</v>
      </c>
      <c r="F38" s="24" t="s">
        <v>202</v>
      </c>
      <c r="G38" s="24" t="s">
        <v>203</v>
      </c>
      <c r="H38" s="34" t="s">
        <v>204</v>
      </c>
    </row>
    <row r="39" ht="20" customHeight="1" spans="1:8" x14ac:dyDescent="0.25">
      <c r="A39" s="22" t="s">
        <v>61</v>
      </c>
      <c r="B39" s="22" t="s">
        <v>34</v>
      </c>
      <c r="C39" s="23" t="s">
        <v>71</v>
      </c>
      <c r="D39" s="6" t="s">
        <v>4</v>
      </c>
      <c r="E39" s="22" t="s">
        <v>205</v>
      </c>
      <c r="F39" s="22" t="s">
        <v>107</v>
      </c>
      <c r="G39" s="22" t="s">
        <v>206</v>
      </c>
      <c r="H39" s="29" t="s">
        <v>207</v>
      </c>
    </row>
    <row r="40" ht="20" customHeight="1" spans="1:8" x14ac:dyDescent="0.25">
      <c r="A40" s="24" t="s">
        <v>62</v>
      </c>
      <c r="B40" s="24" t="s">
        <v>36</v>
      </c>
      <c r="C40" s="25" t="s">
        <v>71</v>
      </c>
      <c r="D40" s="6" t="s">
        <v>4</v>
      </c>
      <c r="E40" s="24" t="s">
        <v>208</v>
      </c>
      <c r="F40" s="24" t="s">
        <v>209</v>
      </c>
      <c r="G40" s="24" t="s">
        <v>206</v>
      </c>
      <c r="H40" s="34" t="s">
        <v>210</v>
      </c>
    </row>
    <row r="41" ht="20" customHeight="1" spans="1:8" x14ac:dyDescent="0.25">
      <c r="A41" s="22" t="s">
        <v>63</v>
      </c>
      <c r="B41" s="22" t="s">
        <v>38</v>
      </c>
      <c r="C41" s="23" t="s">
        <v>71</v>
      </c>
      <c r="D41" s="6" t="s">
        <v>4</v>
      </c>
      <c r="E41" s="22" t="s">
        <v>185</v>
      </c>
      <c r="F41" s="22" t="s">
        <v>211</v>
      </c>
      <c r="G41" s="22" t="s">
        <v>180</v>
      </c>
      <c r="H41" s="29" t="s">
        <v>188</v>
      </c>
    </row>
    <row r="42" ht="20" customHeight="1" spans="1:8" x14ac:dyDescent="0.25">
      <c r="A42" s="24" t="s">
        <v>64</v>
      </c>
      <c r="B42" s="24" t="s">
        <v>40</v>
      </c>
      <c r="C42" s="25" t="s">
        <v>71</v>
      </c>
      <c r="D42" s="6" t="s">
        <v>4</v>
      </c>
      <c r="E42" s="24" t="s">
        <v>212</v>
      </c>
      <c r="F42" s="24" t="s">
        <v>213</v>
      </c>
      <c r="G42" s="24" t="s">
        <v>214</v>
      </c>
      <c r="H42" s="34" t="s">
        <v>215</v>
      </c>
    </row>
    <row r="43" ht="20" customHeight="1" spans="1:8" x14ac:dyDescent="0.25">
      <c r="A43" s="22" t="s">
        <v>65</v>
      </c>
      <c r="B43" s="22" t="s">
        <v>42</v>
      </c>
      <c r="C43" s="23" t="s">
        <v>71</v>
      </c>
      <c r="D43" s="35" t="s">
        <v>86</v>
      </c>
      <c r="E43" s="22" t="s">
        <v>12</v>
      </c>
      <c r="F43" s="22" t="s">
        <v>12</v>
      </c>
      <c r="G43" s="22" t="s">
        <v>12</v>
      </c>
      <c r="H43" s="22" t="s">
        <v>32</v>
      </c>
    </row>
    <row r="44" ht="20" customHeight="1" spans="1:8" x14ac:dyDescent="0.25">
      <c r="A44" s="24" t="s">
        <v>66</v>
      </c>
      <c r="B44" s="24" t="s">
        <v>45</v>
      </c>
      <c r="C44" s="25" t="s">
        <v>71</v>
      </c>
      <c r="D44" s="6" t="s">
        <v>4</v>
      </c>
      <c r="E44" s="24" t="s">
        <v>216</v>
      </c>
      <c r="F44" s="24" t="s">
        <v>170</v>
      </c>
      <c r="G44" s="24" t="s">
        <v>147</v>
      </c>
      <c r="H44" s="34" t="s">
        <v>217</v>
      </c>
    </row>
    <row r="45" ht="20" customHeight="1" spans="1:8" x14ac:dyDescent="0.25">
      <c r="A45" s="22" t="s">
        <v>67</v>
      </c>
      <c r="B45" s="22" t="s">
        <v>31</v>
      </c>
      <c r="C45" s="23" t="s">
        <v>71</v>
      </c>
      <c r="D45" s="36" t="s">
        <v>218</v>
      </c>
      <c r="E45" s="22" t="s">
        <v>219</v>
      </c>
      <c r="F45" s="22" t="s">
        <v>209</v>
      </c>
      <c r="G45" s="22" t="s">
        <v>220</v>
      </c>
      <c r="H45" s="29" t="s">
        <v>221</v>
      </c>
    </row>
    <row r="46" ht="20" customHeight="1" spans="1:8" x14ac:dyDescent="0.25">
      <c r="A46" s="24" t="s">
        <v>68</v>
      </c>
      <c r="B46" s="24" t="s">
        <v>34</v>
      </c>
      <c r="C46" s="25" t="s">
        <v>71</v>
      </c>
      <c r="D46" s="6" t="s">
        <v>4</v>
      </c>
      <c r="E46" s="24" t="s">
        <v>189</v>
      </c>
      <c r="F46" s="24" t="s">
        <v>209</v>
      </c>
      <c r="G46" s="24" t="s">
        <v>123</v>
      </c>
      <c r="H46" s="34" t="s">
        <v>191</v>
      </c>
    </row>
    <row r="47" ht="22" customHeight="1" spans="1:8" x14ac:dyDescent="0.25">
      <c r="A47" s="26" t="s">
        <v>69</v>
      </c>
      <c r="B47" s="26"/>
      <c r="C47" s="26"/>
      <c r="D47" s="26"/>
      <c r="E47" s="26"/>
      <c r="F47" s="26"/>
      <c r="G47" s="27" t="s">
        <v>222</v>
      </c>
      <c r="H47" s="28" t="s">
        <v>12</v>
      </c>
    </row>
    <row r="49" ht="26" customHeight="1" spans="1:8" x14ac:dyDescent="0.25">
      <c r="A49" s="20" t="s">
        <v>223</v>
      </c>
      <c r="B49" s="20"/>
      <c r="C49" s="20"/>
      <c r="D49" s="20"/>
      <c r="E49" s="20"/>
      <c r="F49" s="20"/>
      <c r="G49" s="20"/>
      <c r="H49" s="20"/>
    </row>
    <row r="50" ht="22" customHeight="1" spans="1:8" x14ac:dyDescent="0.25">
      <c r="A50" s="21" t="s">
        <v>22</v>
      </c>
      <c r="B50" s="21" t="s">
        <v>23</v>
      </c>
      <c r="C50" s="21" t="s">
        <v>24</v>
      </c>
      <c r="D50" s="21" t="s">
        <v>25</v>
      </c>
      <c r="E50" s="21" t="s">
        <v>26</v>
      </c>
      <c r="F50" s="21" t="s">
        <v>27</v>
      </c>
      <c r="G50" s="21" t="s">
        <v>28</v>
      </c>
      <c r="H50" s="21" t="s">
        <v>29</v>
      </c>
    </row>
    <row r="51" ht="20" customHeight="1" spans="1:8" x14ac:dyDescent="0.25">
      <c r="A51" s="22" t="s">
        <v>30</v>
      </c>
      <c r="B51" s="22" t="s">
        <v>31</v>
      </c>
      <c r="C51" s="23" t="s">
        <v>71</v>
      </c>
      <c r="D51" s="6" t="s">
        <v>4</v>
      </c>
      <c r="E51" s="22" t="s">
        <v>224</v>
      </c>
      <c r="F51" s="22" t="s">
        <v>225</v>
      </c>
      <c r="G51" s="22" t="s">
        <v>226</v>
      </c>
      <c r="H51" s="29" t="s">
        <v>227</v>
      </c>
    </row>
    <row r="52" ht="20" customHeight="1" spans="1:8" x14ac:dyDescent="0.25">
      <c r="A52" s="24" t="s">
        <v>33</v>
      </c>
      <c r="B52" s="24" t="s">
        <v>34</v>
      </c>
      <c r="C52" s="25" t="s">
        <v>71</v>
      </c>
      <c r="D52" s="6" t="s">
        <v>4</v>
      </c>
      <c r="E52" s="24" t="s">
        <v>228</v>
      </c>
      <c r="F52" s="24" t="s">
        <v>112</v>
      </c>
      <c r="G52" s="24" t="s">
        <v>171</v>
      </c>
      <c r="H52" s="34" t="s">
        <v>229</v>
      </c>
    </row>
    <row r="53" ht="20" customHeight="1" spans="1:8" x14ac:dyDescent="0.25">
      <c r="A53" s="22" t="s">
        <v>35</v>
      </c>
      <c r="B53" s="22" t="s">
        <v>36</v>
      </c>
      <c r="C53" s="23" t="s">
        <v>71</v>
      </c>
      <c r="D53" s="6" t="s">
        <v>4</v>
      </c>
      <c r="E53" s="22" t="s">
        <v>230</v>
      </c>
      <c r="F53" s="22" t="s">
        <v>231</v>
      </c>
      <c r="G53" s="22" t="s">
        <v>232</v>
      </c>
      <c r="H53" s="29" t="s">
        <v>233</v>
      </c>
    </row>
    <row r="54" ht="20" customHeight="1" spans="1:8" x14ac:dyDescent="0.25">
      <c r="A54" s="24" t="s">
        <v>37</v>
      </c>
      <c r="B54" s="24" t="s">
        <v>38</v>
      </c>
      <c r="C54" s="25" t="s">
        <v>71</v>
      </c>
      <c r="D54" s="31" t="s">
        <v>11</v>
      </c>
      <c r="E54" s="24" t="s">
        <v>12</v>
      </c>
      <c r="F54" s="24" t="s">
        <v>12</v>
      </c>
      <c r="G54" s="24" t="s">
        <v>12</v>
      </c>
      <c r="H54" s="24" t="s">
        <v>32</v>
      </c>
    </row>
    <row r="55" ht="20" customHeight="1" spans="1:8" x14ac:dyDescent="0.25">
      <c r="A55" s="22" t="s">
        <v>39</v>
      </c>
      <c r="B55" s="22" t="s">
        <v>40</v>
      </c>
      <c r="C55" s="23" t="s">
        <v>71</v>
      </c>
      <c r="D55" s="6" t="s">
        <v>4</v>
      </c>
      <c r="E55" s="22" t="s">
        <v>234</v>
      </c>
      <c r="F55" s="22" t="s">
        <v>235</v>
      </c>
      <c r="G55" s="22" t="s">
        <v>99</v>
      </c>
      <c r="H55" s="29" t="s">
        <v>236</v>
      </c>
    </row>
    <row r="56" ht="20" customHeight="1" spans="1:8" x14ac:dyDescent="0.25">
      <c r="A56" s="24" t="s">
        <v>41</v>
      </c>
      <c r="B56" s="24" t="s">
        <v>42</v>
      </c>
      <c r="C56" s="25" t="s">
        <v>71</v>
      </c>
      <c r="D56" s="33" t="s">
        <v>86</v>
      </c>
      <c r="E56" s="24" t="s">
        <v>12</v>
      </c>
      <c r="F56" s="24" t="s">
        <v>12</v>
      </c>
      <c r="G56" s="24" t="s">
        <v>12</v>
      </c>
      <c r="H56" s="24" t="s">
        <v>32</v>
      </c>
    </row>
    <row r="57" ht="20" customHeight="1" spans="1:8" x14ac:dyDescent="0.25">
      <c r="A57" s="22" t="s">
        <v>44</v>
      </c>
      <c r="B57" s="22" t="s">
        <v>45</v>
      </c>
      <c r="C57" s="23" t="s">
        <v>71</v>
      </c>
      <c r="D57" s="6" t="s">
        <v>4</v>
      </c>
      <c r="E57" s="22" t="s">
        <v>199</v>
      </c>
      <c r="F57" s="22" t="s">
        <v>237</v>
      </c>
      <c r="G57" s="22" t="s">
        <v>238</v>
      </c>
      <c r="H57" s="29" t="s">
        <v>200</v>
      </c>
    </row>
    <row r="58" ht="20" customHeight="1" spans="1:8" x14ac:dyDescent="0.25">
      <c r="A58" s="24" t="s">
        <v>46</v>
      </c>
      <c r="B58" s="24" t="s">
        <v>31</v>
      </c>
      <c r="C58" s="25" t="s">
        <v>71</v>
      </c>
      <c r="D58" s="6" t="s">
        <v>4</v>
      </c>
      <c r="E58" s="24" t="s">
        <v>239</v>
      </c>
      <c r="F58" s="24" t="s">
        <v>237</v>
      </c>
      <c r="G58" s="24" t="s">
        <v>240</v>
      </c>
      <c r="H58" s="34" t="s">
        <v>241</v>
      </c>
    </row>
    <row r="59" ht="20" customHeight="1" spans="1:8" x14ac:dyDescent="0.25">
      <c r="A59" s="22" t="s">
        <v>47</v>
      </c>
      <c r="B59" s="22" t="s">
        <v>34</v>
      </c>
      <c r="C59" s="23" t="s">
        <v>71</v>
      </c>
      <c r="D59" s="6" t="s">
        <v>4</v>
      </c>
      <c r="E59" s="22" t="s">
        <v>242</v>
      </c>
      <c r="F59" s="22" t="s">
        <v>243</v>
      </c>
      <c r="G59" s="22" t="s">
        <v>99</v>
      </c>
      <c r="H59" s="29" t="s">
        <v>244</v>
      </c>
    </row>
    <row r="60" ht="20" customHeight="1" spans="1:8" x14ac:dyDescent="0.25">
      <c r="A60" s="24" t="s">
        <v>48</v>
      </c>
      <c r="B60" s="24" t="s">
        <v>36</v>
      </c>
      <c r="C60" s="25" t="s">
        <v>71</v>
      </c>
      <c r="D60" s="10" t="s">
        <v>87</v>
      </c>
      <c r="E60" s="24" t="s">
        <v>12</v>
      </c>
      <c r="F60" s="24" t="s">
        <v>12</v>
      </c>
      <c r="G60" s="24" t="s">
        <v>12</v>
      </c>
      <c r="H60" s="24" t="s">
        <v>32</v>
      </c>
    </row>
    <row r="61" ht="20" customHeight="1" spans="1:8" x14ac:dyDescent="0.25">
      <c r="A61" s="22" t="s">
        <v>49</v>
      </c>
      <c r="B61" s="22" t="s">
        <v>38</v>
      </c>
      <c r="C61" s="23" t="s">
        <v>71</v>
      </c>
      <c r="D61" s="6" t="s">
        <v>4</v>
      </c>
      <c r="E61" s="22" t="s">
        <v>230</v>
      </c>
      <c r="F61" s="22" t="s">
        <v>245</v>
      </c>
      <c r="G61" s="22" t="s">
        <v>180</v>
      </c>
      <c r="H61" s="29" t="s">
        <v>233</v>
      </c>
    </row>
    <row r="62" ht="20" customHeight="1" spans="1:8" x14ac:dyDescent="0.25">
      <c r="A62" s="24" t="s">
        <v>50</v>
      </c>
      <c r="B62" s="24" t="s">
        <v>40</v>
      </c>
      <c r="C62" s="25" t="s">
        <v>71</v>
      </c>
      <c r="D62" s="33" t="s">
        <v>86</v>
      </c>
      <c r="E62" s="24" t="s">
        <v>12</v>
      </c>
      <c r="F62" s="24" t="s">
        <v>12</v>
      </c>
      <c r="G62" s="24" t="s">
        <v>12</v>
      </c>
      <c r="H62" s="24" t="s">
        <v>32</v>
      </c>
    </row>
    <row r="63" ht="20" customHeight="1" spans="1:8" x14ac:dyDescent="0.25">
      <c r="A63" s="22" t="s">
        <v>51</v>
      </c>
      <c r="B63" s="22" t="s">
        <v>42</v>
      </c>
      <c r="C63" s="23" t="s">
        <v>71</v>
      </c>
      <c r="D63" s="35" t="s">
        <v>86</v>
      </c>
      <c r="E63" s="22" t="s">
        <v>12</v>
      </c>
      <c r="F63" s="22" t="s">
        <v>12</v>
      </c>
      <c r="G63" s="22" t="s">
        <v>12</v>
      </c>
      <c r="H63" s="22" t="s">
        <v>32</v>
      </c>
    </row>
    <row r="64" ht="20" customHeight="1" spans="1:8" x14ac:dyDescent="0.25">
      <c r="A64" s="24" t="s">
        <v>52</v>
      </c>
      <c r="B64" s="24" t="s">
        <v>45</v>
      </c>
      <c r="C64" s="25" t="s">
        <v>71</v>
      </c>
      <c r="D64" s="36" t="s">
        <v>218</v>
      </c>
      <c r="E64" s="24" t="s">
        <v>246</v>
      </c>
      <c r="F64" s="24" t="s">
        <v>247</v>
      </c>
      <c r="G64" s="24" t="s">
        <v>248</v>
      </c>
      <c r="H64" s="34" t="s">
        <v>249</v>
      </c>
    </row>
    <row r="65" ht="20" customHeight="1" spans="1:8" x14ac:dyDescent="0.25">
      <c r="A65" s="22" t="s">
        <v>53</v>
      </c>
      <c r="B65" s="22" t="s">
        <v>31</v>
      </c>
      <c r="C65" s="23" t="s">
        <v>71</v>
      </c>
      <c r="D65" s="6" t="s">
        <v>4</v>
      </c>
      <c r="E65" s="22" t="s">
        <v>234</v>
      </c>
      <c r="F65" s="22" t="s">
        <v>182</v>
      </c>
      <c r="G65" s="22" t="s">
        <v>250</v>
      </c>
      <c r="H65" s="29" t="s">
        <v>236</v>
      </c>
    </row>
    <row r="66" ht="20" customHeight="1" spans="1:8" x14ac:dyDescent="0.25">
      <c r="A66" s="24" t="s">
        <v>54</v>
      </c>
      <c r="B66" s="24" t="s">
        <v>34</v>
      </c>
      <c r="C66" s="25" t="s">
        <v>71</v>
      </c>
      <c r="D66" s="6" t="s">
        <v>4</v>
      </c>
      <c r="E66" s="24" t="s">
        <v>251</v>
      </c>
      <c r="F66" s="24" t="s">
        <v>252</v>
      </c>
      <c r="G66" s="24" t="s">
        <v>99</v>
      </c>
      <c r="H66" s="34" t="s">
        <v>253</v>
      </c>
    </row>
    <row r="67" ht="20" customHeight="1" spans="1:8" x14ac:dyDescent="0.25">
      <c r="A67" s="22" t="s">
        <v>55</v>
      </c>
      <c r="B67" s="22" t="s">
        <v>36</v>
      </c>
      <c r="C67" s="23" t="s">
        <v>71</v>
      </c>
      <c r="D67" s="6" t="s">
        <v>4</v>
      </c>
      <c r="E67" s="22" t="s">
        <v>254</v>
      </c>
      <c r="F67" s="22" t="s">
        <v>255</v>
      </c>
      <c r="G67" s="22" t="s">
        <v>99</v>
      </c>
      <c r="H67" s="29" t="s">
        <v>256</v>
      </c>
    </row>
    <row r="68" ht="20" customHeight="1" spans="1:8" x14ac:dyDescent="0.25">
      <c r="A68" s="24" t="s">
        <v>56</v>
      </c>
      <c r="B68" s="24" t="s">
        <v>38</v>
      </c>
      <c r="C68" s="25" t="s">
        <v>71</v>
      </c>
      <c r="D68" s="10" t="s">
        <v>87</v>
      </c>
      <c r="E68" s="24" t="s">
        <v>12</v>
      </c>
      <c r="F68" s="24" t="s">
        <v>12</v>
      </c>
      <c r="G68" s="24" t="s">
        <v>12</v>
      </c>
      <c r="H68" s="24" t="s">
        <v>32</v>
      </c>
    </row>
    <row r="69" ht="20" customHeight="1" spans="1:8" x14ac:dyDescent="0.25">
      <c r="A69" s="22" t="s">
        <v>57</v>
      </c>
      <c r="B69" s="22" t="s">
        <v>40</v>
      </c>
      <c r="C69" s="23" t="s">
        <v>71</v>
      </c>
      <c r="D69" s="6" t="s">
        <v>4</v>
      </c>
      <c r="E69" s="22" t="s">
        <v>257</v>
      </c>
      <c r="F69" s="22" t="s">
        <v>258</v>
      </c>
      <c r="G69" s="22" t="s">
        <v>259</v>
      </c>
      <c r="H69" s="29" t="s">
        <v>260</v>
      </c>
    </row>
    <row r="70" ht="20" customHeight="1" spans="1:8" x14ac:dyDescent="0.25">
      <c r="A70" s="24" t="s">
        <v>58</v>
      </c>
      <c r="B70" s="24" t="s">
        <v>42</v>
      </c>
      <c r="C70" s="25" t="s">
        <v>71</v>
      </c>
      <c r="D70" s="33" t="s">
        <v>86</v>
      </c>
      <c r="E70" s="24" t="s">
        <v>12</v>
      </c>
      <c r="F70" s="24" t="s">
        <v>12</v>
      </c>
      <c r="G70" s="24" t="s">
        <v>12</v>
      </c>
      <c r="H70" s="24" t="s">
        <v>32</v>
      </c>
    </row>
    <row r="71" ht="20" customHeight="1" spans="1:8" x14ac:dyDescent="0.25">
      <c r="A71" s="22" t="s">
        <v>59</v>
      </c>
      <c r="B71" s="22" t="s">
        <v>45</v>
      </c>
      <c r="C71" s="23" t="s">
        <v>71</v>
      </c>
      <c r="D71" s="6" t="s">
        <v>4</v>
      </c>
      <c r="E71" s="22" t="s">
        <v>224</v>
      </c>
      <c r="F71" s="22" t="s">
        <v>245</v>
      </c>
      <c r="G71" s="22" t="s">
        <v>174</v>
      </c>
      <c r="H71" s="29" t="s">
        <v>227</v>
      </c>
    </row>
    <row r="72" ht="20" customHeight="1" spans="1:8" x14ac:dyDescent="0.25">
      <c r="A72" s="24" t="s">
        <v>60</v>
      </c>
      <c r="B72" s="24" t="s">
        <v>31</v>
      </c>
      <c r="C72" s="25" t="s">
        <v>71</v>
      </c>
      <c r="D72" s="6" t="s">
        <v>4</v>
      </c>
      <c r="E72" s="24" t="s">
        <v>199</v>
      </c>
      <c r="F72" s="24" t="s">
        <v>243</v>
      </c>
      <c r="G72" s="24" t="s">
        <v>261</v>
      </c>
      <c r="H72" s="34" t="s">
        <v>200</v>
      </c>
    </row>
    <row r="73" ht="20" customHeight="1" spans="1:8" x14ac:dyDescent="0.25">
      <c r="A73" s="22" t="s">
        <v>61</v>
      </c>
      <c r="B73" s="22" t="s">
        <v>34</v>
      </c>
      <c r="C73" s="23" t="s">
        <v>71</v>
      </c>
      <c r="D73" s="6" t="s">
        <v>4</v>
      </c>
      <c r="E73" s="22" t="s">
        <v>262</v>
      </c>
      <c r="F73" s="22" t="s">
        <v>235</v>
      </c>
      <c r="G73" s="22" t="s">
        <v>263</v>
      </c>
      <c r="H73" s="29" t="s">
        <v>264</v>
      </c>
    </row>
    <row r="74" ht="20" customHeight="1" spans="1:8" x14ac:dyDescent="0.25">
      <c r="A74" s="24" t="s">
        <v>62</v>
      </c>
      <c r="B74" s="24" t="s">
        <v>36</v>
      </c>
      <c r="C74" s="25" t="s">
        <v>71</v>
      </c>
      <c r="D74" s="10" t="s">
        <v>87</v>
      </c>
      <c r="E74" s="24" t="s">
        <v>12</v>
      </c>
      <c r="F74" s="24" t="s">
        <v>12</v>
      </c>
      <c r="G74" s="24" t="s">
        <v>12</v>
      </c>
      <c r="H74" s="24" t="s">
        <v>32</v>
      </c>
    </row>
    <row r="75" ht="20" customHeight="1" spans="1:8" x14ac:dyDescent="0.25">
      <c r="A75" s="22" t="s">
        <v>63</v>
      </c>
      <c r="B75" s="22" t="s">
        <v>38</v>
      </c>
      <c r="C75" s="23" t="s">
        <v>71</v>
      </c>
      <c r="D75" s="36" t="s">
        <v>218</v>
      </c>
      <c r="E75" s="22" t="s">
        <v>189</v>
      </c>
      <c r="F75" s="22" t="s">
        <v>265</v>
      </c>
      <c r="G75" s="22" t="s">
        <v>248</v>
      </c>
      <c r="H75" s="29" t="s">
        <v>266</v>
      </c>
    </row>
    <row r="76" ht="20" customHeight="1" spans="1:8" x14ac:dyDescent="0.25">
      <c r="A76" s="24" t="s">
        <v>64</v>
      </c>
      <c r="B76" s="24" t="s">
        <v>40</v>
      </c>
      <c r="C76" s="25" t="s">
        <v>71</v>
      </c>
      <c r="D76" s="6" t="s">
        <v>4</v>
      </c>
      <c r="E76" s="24" t="s">
        <v>230</v>
      </c>
      <c r="F76" s="24" t="s">
        <v>213</v>
      </c>
      <c r="G76" s="24" t="s">
        <v>147</v>
      </c>
      <c r="H76" s="34" t="s">
        <v>233</v>
      </c>
    </row>
    <row r="77" ht="20" customHeight="1" spans="1:8" x14ac:dyDescent="0.25">
      <c r="A77" s="22" t="s">
        <v>65</v>
      </c>
      <c r="B77" s="22" t="s">
        <v>42</v>
      </c>
      <c r="C77" s="23" t="s">
        <v>71</v>
      </c>
      <c r="D77" s="35" t="s">
        <v>86</v>
      </c>
      <c r="E77" s="22" t="s">
        <v>12</v>
      </c>
      <c r="F77" s="22" t="s">
        <v>12</v>
      </c>
      <c r="G77" s="22" t="s">
        <v>12</v>
      </c>
      <c r="H77" s="22" t="s">
        <v>32</v>
      </c>
    </row>
    <row r="78" ht="20" customHeight="1" spans="1:8" x14ac:dyDescent="0.25">
      <c r="A78" s="24" t="s">
        <v>66</v>
      </c>
      <c r="B78" s="24" t="s">
        <v>45</v>
      </c>
      <c r="C78" s="25" t="s">
        <v>71</v>
      </c>
      <c r="D78" s="6" t="s">
        <v>4</v>
      </c>
      <c r="E78" s="24" t="s">
        <v>251</v>
      </c>
      <c r="F78" s="24" t="s">
        <v>258</v>
      </c>
      <c r="G78" s="24" t="s">
        <v>267</v>
      </c>
      <c r="H78" s="34" t="s">
        <v>253</v>
      </c>
    </row>
    <row r="79" ht="20" customHeight="1" spans="1:8" x14ac:dyDescent="0.25">
      <c r="A79" s="22" t="s">
        <v>67</v>
      </c>
      <c r="B79" s="22" t="s">
        <v>31</v>
      </c>
      <c r="C79" s="23" t="s">
        <v>71</v>
      </c>
      <c r="D79" s="6" t="s">
        <v>4</v>
      </c>
      <c r="E79" s="22" t="s">
        <v>228</v>
      </c>
      <c r="F79" s="22" t="s">
        <v>182</v>
      </c>
      <c r="G79" s="22" t="s">
        <v>267</v>
      </c>
      <c r="H79" s="29" t="s">
        <v>229</v>
      </c>
    </row>
    <row r="80" ht="20" customHeight="1" spans="1:8" x14ac:dyDescent="0.25">
      <c r="A80" s="24" t="s">
        <v>68</v>
      </c>
      <c r="B80" s="24" t="s">
        <v>34</v>
      </c>
      <c r="C80" s="25" t="s">
        <v>71</v>
      </c>
      <c r="D80" s="6" t="s">
        <v>4</v>
      </c>
      <c r="E80" s="24" t="s">
        <v>251</v>
      </c>
      <c r="F80" s="24" t="s">
        <v>258</v>
      </c>
      <c r="G80" s="24" t="s">
        <v>267</v>
      </c>
      <c r="H80" s="34" t="s">
        <v>253</v>
      </c>
    </row>
    <row r="81" ht="22" customHeight="1" spans="1:8" x14ac:dyDescent="0.25">
      <c r="A81" s="26" t="s">
        <v>69</v>
      </c>
      <c r="B81" s="26"/>
      <c r="C81" s="26"/>
      <c r="D81" s="26"/>
      <c r="E81" s="26"/>
      <c r="F81" s="26"/>
      <c r="G81" s="27" t="s">
        <v>268</v>
      </c>
      <c r="H81" s="28" t="s">
        <v>12</v>
      </c>
    </row>
    <row r="83" ht="26" customHeight="1" spans="1:8" x14ac:dyDescent="0.25">
      <c r="A83" s="20" t="s">
        <v>269</v>
      </c>
      <c r="B83" s="20"/>
      <c r="C83" s="20"/>
      <c r="D83" s="20"/>
      <c r="E83" s="20"/>
      <c r="F83" s="20"/>
      <c r="G83" s="20"/>
      <c r="H83" s="20"/>
    </row>
    <row r="84" ht="22" customHeight="1" spans="1:8" x14ac:dyDescent="0.25">
      <c r="A84" s="21" t="s">
        <v>22</v>
      </c>
      <c r="B84" s="21" t="s">
        <v>23</v>
      </c>
      <c r="C84" s="21" t="s">
        <v>24</v>
      </c>
      <c r="D84" s="21" t="s">
        <v>25</v>
      </c>
      <c r="E84" s="21" t="s">
        <v>26</v>
      </c>
      <c r="F84" s="21" t="s">
        <v>27</v>
      </c>
      <c r="G84" s="21" t="s">
        <v>28</v>
      </c>
      <c r="H84" s="21" t="s">
        <v>29</v>
      </c>
    </row>
    <row r="85" ht="20" customHeight="1" spans="1:8" x14ac:dyDescent="0.25">
      <c r="A85" s="22" t="s">
        <v>30</v>
      </c>
      <c r="B85" s="22" t="s">
        <v>31</v>
      </c>
      <c r="C85" s="23" t="s">
        <v>71</v>
      </c>
      <c r="D85" s="6" t="s">
        <v>4</v>
      </c>
      <c r="E85" s="22" t="s">
        <v>125</v>
      </c>
      <c r="F85" s="22" t="s">
        <v>136</v>
      </c>
      <c r="G85" s="22" t="s">
        <v>99</v>
      </c>
      <c r="H85" s="32" t="s">
        <v>79</v>
      </c>
    </row>
    <row r="86" ht="20" customHeight="1" spans="1:8" x14ac:dyDescent="0.25">
      <c r="A86" s="24" t="s">
        <v>33</v>
      </c>
      <c r="B86" s="24" t="s">
        <v>34</v>
      </c>
      <c r="C86" s="25" t="s">
        <v>71</v>
      </c>
      <c r="D86" s="6" t="s">
        <v>4</v>
      </c>
      <c r="E86" s="24" t="s">
        <v>125</v>
      </c>
      <c r="F86" s="24" t="s">
        <v>136</v>
      </c>
      <c r="G86" s="24" t="s">
        <v>99</v>
      </c>
      <c r="H86" s="30" t="s">
        <v>79</v>
      </c>
    </row>
    <row r="87" ht="20" customHeight="1" spans="1:8" x14ac:dyDescent="0.25">
      <c r="A87" s="22" t="s">
        <v>35</v>
      </c>
      <c r="B87" s="22" t="s">
        <v>36</v>
      </c>
      <c r="C87" s="23" t="s">
        <v>71</v>
      </c>
      <c r="D87" s="6" t="s">
        <v>4</v>
      </c>
      <c r="E87" s="22" t="s">
        <v>125</v>
      </c>
      <c r="F87" s="22" t="s">
        <v>136</v>
      </c>
      <c r="G87" s="22" t="s">
        <v>99</v>
      </c>
      <c r="H87" s="32" t="s">
        <v>79</v>
      </c>
    </row>
    <row r="88" ht="20" customHeight="1" spans="1:8" x14ac:dyDescent="0.25">
      <c r="A88" s="24" t="s">
        <v>37</v>
      </c>
      <c r="B88" s="24" t="s">
        <v>38</v>
      </c>
      <c r="C88" s="25" t="s">
        <v>71</v>
      </c>
      <c r="D88" s="31" t="s">
        <v>11</v>
      </c>
      <c r="E88" s="24" t="s">
        <v>12</v>
      </c>
      <c r="F88" s="24" t="s">
        <v>12</v>
      </c>
      <c r="G88" s="24" t="s">
        <v>12</v>
      </c>
      <c r="H88" s="24" t="s">
        <v>32</v>
      </c>
    </row>
    <row r="89" ht="20" customHeight="1" spans="1:8" x14ac:dyDescent="0.25">
      <c r="A89" s="22" t="s">
        <v>39</v>
      </c>
      <c r="B89" s="22" t="s">
        <v>40</v>
      </c>
      <c r="C89" s="23" t="s">
        <v>71</v>
      </c>
      <c r="D89" s="6" t="s">
        <v>4</v>
      </c>
      <c r="E89" s="22" t="s">
        <v>125</v>
      </c>
      <c r="F89" s="22" t="s">
        <v>136</v>
      </c>
      <c r="G89" s="22" t="s">
        <v>99</v>
      </c>
      <c r="H89" s="32" t="s">
        <v>79</v>
      </c>
    </row>
    <row r="90" ht="20" customHeight="1" spans="1:8" x14ac:dyDescent="0.25">
      <c r="A90" s="24" t="s">
        <v>41</v>
      </c>
      <c r="B90" s="24" t="s">
        <v>42</v>
      </c>
      <c r="C90" s="25" t="s">
        <v>71</v>
      </c>
      <c r="D90" s="33" t="s">
        <v>86</v>
      </c>
      <c r="E90" s="24" t="s">
        <v>12</v>
      </c>
      <c r="F90" s="24" t="s">
        <v>12</v>
      </c>
      <c r="G90" s="24" t="s">
        <v>12</v>
      </c>
      <c r="H90" s="24" t="s">
        <v>32</v>
      </c>
    </row>
    <row r="91" ht="20" customHeight="1" spans="1:8" x14ac:dyDescent="0.25">
      <c r="A91" s="22" t="s">
        <v>44</v>
      </c>
      <c r="B91" s="22" t="s">
        <v>45</v>
      </c>
      <c r="C91" s="23" t="s">
        <v>71</v>
      </c>
      <c r="D91" s="6" t="s">
        <v>4</v>
      </c>
      <c r="E91" s="22" t="s">
        <v>125</v>
      </c>
      <c r="F91" s="22" t="s">
        <v>136</v>
      </c>
      <c r="G91" s="22" t="s">
        <v>99</v>
      </c>
      <c r="H91" s="32" t="s">
        <v>79</v>
      </c>
    </row>
    <row r="92" ht="20" customHeight="1" spans="1:8" x14ac:dyDescent="0.25">
      <c r="A92" s="24" t="s">
        <v>46</v>
      </c>
      <c r="B92" s="24" t="s">
        <v>31</v>
      </c>
      <c r="C92" s="25" t="s">
        <v>71</v>
      </c>
      <c r="D92" s="6" t="s">
        <v>4</v>
      </c>
      <c r="E92" s="24" t="s">
        <v>125</v>
      </c>
      <c r="F92" s="24" t="s">
        <v>136</v>
      </c>
      <c r="G92" s="24" t="s">
        <v>99</v>
      </c>
      <c r="H92" s="30" t="s">
        <v>79</v>
      </c>
    </row>
    <row r="93" ht="20" customHeight="1" spans="1:8" x14ac:dyDescent="0.25">
      <c r="A93" s="22" t="s">
        <v>47</v>
      </c>
      <c r="B93" s="22" t="s">
        <v>34</v>
      </c>
      <c r="C93" s="23" t="s">
        <v>71</v>
      </c>
      <c r="D93" s="6" t="s">
        <v>4</v>
      </c>
      <c r="E93" s="22" t="s">
        <v>125</v>
      </c>
      <c r="F93" s="22" t="s">
        <v>136</v>
      </c>
      <c r="G93" s="22" t="s">
        <v>99</v>
      </c>
      <c r="H93" s="32" t="s">
        <v>79</v>
      </c>
    </row>
    <row r="94" ht="20" customHeight="1" spans="1:8" x14ac:dyDescent="0.25">
      <c r="A94" s="24" t="s">
        <v>48</v>
      </c>
      <c r="B94" s="24" t="s">
        <v>36</v>
      </c>
      <c r="C94" s="25" t="s">
        <v>71</v>
      </c>
      <c r="D94" s="6" t="s">
        <v>4</v>
      </c>
      <c r="E94" s="24" t="s">
        <v>125</v>
      </c>
      <c r="F94" s="24" t="s">
        <v>136</v>
      </c>
      <c r="G94" s="24" t="s">
        <v>99</v>
      </c>
      <c r="H94" s="30" t="s">
        <v>79</v>
      </c>
    </row>
    <row r="95" ht="20" customHeight="1" spans="1:8" x14ac:dyDescent="0.25">
      <c r="A95" s="22" t="s">
        <v>49</v>
      </c>
      <c r="B95" s="22" t="s">
        <v>38</v>
      </c>
      <c r="C95" s="23" t="s">
        <v>71</v>
      </c>
      <c r="D95" s="6" t="s">
        <v>4</v>
      </c>
      <c r="E95" s="22" t="s">
        <v>125</v>
      </c>
      <c r="F95" s="22" t="s">
        <v>136</v>
      </c>
      <c r="G95" s="22" t="s">
        <v>99</v>
      </c>
      <c r="H95" s="32" t="s">
        <v>79</v>
      </c>
    </row>
    <row r="96" ht="20" customHeight="1" spans="1:8" x14ac:dyDescent="0.25">
      <c r="A96" s="24" t="s">
        <v>50</v>
      </c>
      <c r="B96" s="24" t="s">
        <v>40</v>
      </c>
      <c r="C96" s="25" t="s">
        <v>71</v>
      </c>
      <c r="D96" s="33" t="s">
        <v>86</v>
      </c>
      <c r="E96" s="24" t="s">
        <v>12</v>
      </c>
      <c r="F96" s="24" t="s">
        <v>12</v>
      </c>
      <c r="G96" s="24" t="s">
        <v>12</v>
      </c>
      <c r="H96" s="24" t="s">
        <v>32</v>
      </c>
    </row>
    <row r="97" ht="20" customHeight="1" spans="1:8" x14ac:dyDescent="0.25">
      <c r="A97" s="22" t="s">
        <v>51</v>
      </c>
      <c r="B97" s="22" t="s">
        <v>42</v>
      </c>
      <c r="C97" s="23" t="s">
        <v>71</v>
      </c>
      <c r="D97" s="35" t="s">
        <v>86</v>
      </c>
      <c r="E97" s="22" t="s">
        <v>12</v>
      </c>
      <c r="F97" s="22" t="s">
        <v>12</v>
      </c>
      <c r="G97" s="22" t="s">
        <v>12</v>
      </c>
      <c r="H97" s="22" t="s">
        <v>32</v>
      </c>
    </row>
    <row r="98" ht="20" customHeight="1" spans="1:8" x14ac:dyDescent="0.25">
      <c r="A98" s="24" t="s">
        <v>52</v>
      </c>
      <c r="B98" s="24" t="s">
        <v>45</v>
      </c>
      <c r="C98" s="25" t="s">
        <v>71</v>
      </c>
      <c r="D98" s="6" t="s">
        <v>4</v>
      </c>
      <c r="E98" s="24" t="s">
        <v>125</v>
      </c>
      <c r="F98" s="24" t="s">
        <v>136</v>
      </c>
      <c r="G98" s="24" t="s">
        <v>99</v>
      </c>
      <c r="H98" s="30" t="s">
        <v>79</v>
      </c>
    </row>
    <row r="99" ht="20" customHeight="1" spans="1:8" x14ac:dyDescent="0.25">
      <c r="A99" s="22" t="s">
        <v>53</v>
      </c>
      <c r="B99" s="22" t="s">
        <v>31</v>
      </c>
      <c r="C99" s="23" t="s">
        <v>71</v>
      </c>
      <c r="D99" s="6" t="s">
        <v>4</v>
      </c>
      <c r="E99" s="22" t="s">
        <v>125</v>
      </c>
      <c r="F99" s="22" t="s">
        <v>136</v>
      </c>
      <c r="G99" s="22" t="s">
        <v>99</v>
      </c>
      <c r="H99" s="32" t="s">
        <v>79</v>
      </c>
    </row>
    <row r="100" ht="20" customHeight="1" spans="1:8" x14ac:dyDescent="0.25">
      <c r="A100" s="24" t="s">
        <v>54</v>
      </c>
      <c r="B100" s="24" t="s">
        <v>34</v>
      </c>
      <c r="C100" s="25" t="s">
        <v>71</v>
      </c>
      <c r="D100" s="6" t="s">
        <v>4</v>
      </c>
      <c r="E100" s="24" t="s">
        <v>125</v>
      </c>
      <c r="F100" s="24" t="s">
        <v>136</v>
      </c>
      <c r="G100" s="24" t="s">
        <v>99</v>
      </c>
      <c r="H100" s="30" t="s">
        <v>79</v>
      </c>
    </row>
    <row r="101" ht="20" customHeight="1" spans="1:8" x14ac:dyDescent="0.25">
      <c r="A101" s="22" t="s">
        <v>55</v>
      </c>
      <c r="B101" s="22" t="s">
        <v>36</v>
      </c>
      <c r="C101" s="23" t="s">
        <v>71</v>
      </c>
      <c r="D101" s="6" t="s">
        <v>4</v>
      </c>
      <c r="E101" s="22" t="s">
        <v>125</v>
      </c>
      <c r="F101" s="22" t="s">
        <v>136</v>
      </c>
      <c r="G101" s="22" t="s">
        <v>99</v>
      </c>
      <c r="H101" s="32" t="s">
        <v>79</v>
      </c>
    </row>
    <row r="102" ht="20" customHeight="1" spans="1:8" x14ac:dyDescent="0.25">
      <c r="A102" s="24" t="s">
        <v>56</v>
      </c>
      <c r="B102" s="24" t="s">
        <v>38</v>
      </c>
      <c r="C102" s="25" t="s">
        <v>71</v>
      </c>
      <c r="D102" s="6" t="s">
        <v>4</v>
      </c>
      <c r="E102" s="24" t="s">
        <v>125</v>
      </c>
      <c r="F102" s="24" t="s">
        <v>136</v>
      </c>
      <c r="G102" s="24" t="s">
        <v>99</v>
      </c>
      <c r="H102" s="30" t="s">
        <v>79</v>
      </c>
    </row>
    <row r="103" ht="20" customHeight="1" spans="1:8" x14ac:dyDescent="0.25">
      <c r="A103" s="22" t="s">
        <v>57</v>
      </c>
      <c r="B103" s="22" t="s">
        <v>40</v>
      </c>
      <c r="C103" s="23" t="s">
        <v>71</v>
      </c>
      <c r="D103" s="6" t="s">
        <v>4</v>
      </c>
      <c r="E103" s="22" t="s">
        <v>125</v>
      </c>
      <c r="F103" s="22" t="s">
        <v>136</v>
      </c>
      <c r="G103" s="22" t="s">
        <v>99</v>
      </c>
      <c r="H103" s="32" t="s">
        <v>79</v>
      </c>
    </row>
    <row r="104" ht="20" customHeight="1" spans="1:8" x14ac:dyDescent="0.25">
      <c r="A104" s="24" t="s">
        <v>58</v>
      </c>
      <c r="B104" s="24" t="s">
        <v>42</v>
      </c>
      <c r="C104" s="25" t="s">
        <v>71</v>
      </c>
      <c r="D104" s="33" t="s">
        <v>86</v>
      </c>
      <c r="E104" s="24" t="s">
        <v>12</v>
      </c>
      <c r="F104" s="24" t="s">
        <v>12</v>
      </c>
      <c r="G104" s="24" t="s">
        <v>12</v>
      </c>
      <c r="H104" s="24" t="s">
        <v>32</v>
      </c>
    </row>
    <row r="105" ht="20" customHeight="1" spans="1:8" x14ac:dyDescent="0.25">
      <c r="A105" s="22" t="s">
        <v>59</v>
      </c>
      <c r="B105" s="22" t="s">
        <v>45</v>
      </c>
      <c r="C105" s="23" t="s">
        <v>71</v>
      </c>
      <c r="D105" s="6" t="s">
        <v>4</v>
      </c>
      <c r="E105" s="22" t="s">
        <v>125</v>
      </c>
      <c r="F105" s="22" t="s">
        <v>136</v>
      </c>
      <c r="G105" s="22" t="s">
        <v>99</v>
      </c>
      <c r="H105" s="32" t="s">
        <v>79</v>
      </c>
    </row>
    <row r="106" ht="20" customHeight="1" spans="1:8" x14ac:dyDescent="0.25">
      <c r="A106" s="24" t="s">
        <v>60</v>
      </c>
      <c r="B106" s="24" t="s">
        <v>31</v>
      </c>
      <c r="C106" s="25" t="s">
        <v>71</v>
      </c>
      <c r="D106" s="6" t="s">
        <v>4</v>
      </c>
      <c r="E106" s="24" t="s">
        <v>125</v>
      </c>
      <c r="F106" s="24" t="s">
        <v>136</v>
      </c>
      <c r="G106" s="24" t="s">
        <v>99</v>
      </c>
      <c r="H106" s="30" t="s">
        <v>79</v>
      </c>
    </row>
    <row r="107" ht="20" customHeight="1" spans="1:8" x14ac:dyDescent="0.25">
      <c r="A107" s="22" t="s">
        <v>61</v>
      </c>
      <c r="B107" s="22" t="s">
        <v>34</v>
      </c>
      <c r="C107" s="23" t="s">
        <v>71</v>
      </c>
      <c r="D107" s="6" t="s">
        <v>4</v>
      </c>
      <c r="E107" s="22" t="s">
        <v>125</v>
      </c>
      <c r="F107" s="22" t="s">
        <v>136</v>
      </c>
      <c r="G107" s="22" t="s">
        <v>99</v>
      </c>
      <c r="H107" s="32" t="s">
        <v>79</v>
      </c>
    </row>
    <row r="108" ht="20" customHeight="1" spans="1:8" x14ac:dyDescent="0.25">
      <c r="A108" s="24" t="s">
        <v>62</v>
      </c>
      <c r="B108" s="24" t="s">
        <v>36</v>
      </c>
      <c r="C108" s="25" t="s">
        <v>71</v>
      </c>
      <c r="D108" s="6" t="s">
        <v>4</v>
      </c>
      <c r="E108" s="24" t="s">
        <v>125</v>
      </c>
      <c r="F108" s="24" t="s">
        <v>136</v>
      </c>
      <c r="G108" s="24" t="s">
        <v>99</v>
      </c>
      <c r="H108" s="30" t="s">
        <v>79</v>
      </c>
    </row>
    <row r="109" ht="20" customHeight="1" spans="1:8" x14ac:dyDescent="0.25">
      <c r="A109" s="22" t="s">
        <v>63</v>
      </c>
      <c r="B109" s="22" t="s">
        <v>38</v>
      </c>
      <c r="C109" s="23" t="s">
        <v>71</v>
      </c>
      <c r="D109" s="6" t="s">
        <v>4</v>
      </c>
      <c r="E109" s="22" t="s">
        <v>125</v>
      </c>
      <c r="F109" s="22" t="s">
        <v>136</v>
      </c>
      <c r="G109" s="22" t="s">
        <v>99</v>
      </c>
      <c r="H109" s="32" t="s">
        <v>79</v>
      </c>
    </row>
    <row r="110" ht="20" customHeight="1" spans="1:8" x14ac:dyDescent="0.25">
      <c r="A110" s="24" t="s">
        <v>64</v>
      </c>
      <c r="B110" s="24" t="s">
        <v>40</v>
      </c>
      <c r="C110" s="25" t="s">
        <v>71</v>
      </c>
      <c r="D110" s="6" t="s">
        <v>4</v>
      </c>
      <c r="E110" s="24" t="s">
        <v>125</v>
      </c>
      <c r="F110" s="24" t="s">
        <v>136</v>
      </c>
      <c r="G110" s="24" t="s">
        <v>99</v>
      </c>
      <c r="H110" s="30" t="s">
        <v>79</v>
      </c>
    </row>
    <row r="111" ht="20" customHeight="1" spans="1:8" x14ac:dyDescent="0.25">
      <c r="A111" s="22" t="s">
        <v>65</v>
      </c>
      <c r="B111" s="22" t="s">
        <v>42</v>
      </c>
      <c r="C111" s="23" t="s">
        <v>71</v>
      </c>
      <c r="D111" s="35" t="s">
        <v>86</v>
      </c>
      <c r="E111" s="22" t="s">
        <v>12</v>
      </c>
      <c r="F111" s="22" t="s">
        <v>12</v>
      </c>
      <c r="G111" s="22" t="s">
        <v>12</v>
      </c>
      <c r="H111" s="22" t="s">
        <v>32</v>
      </c>
    </row>
    <row r="112" ht="20" customHeight="1" spans="1:8" x14ac:dyDescent="0.25">
      <c r="A112" s="24" t="s">
        <v>66</v>
      </c>
      <c r="B112" s="24" t="s">
        <v>45</v>
      </c>
      <c r="C112" s="25" t="s">
        <v>71</v>
      </c>
      <c r="D112" s="6" t="s">
        <v>4</v>
      </c>
      <c r="E112" s="24" t="s">
        <v>125</v>
      </c>
      <c r="F112" s="24" t="s">
        <v>136</v>
      </c>
      <c r="G112" s="24" t="s">
        <v>99</v>
      </c>
      <c r="H112" s="30" t="s">
        <v>79</v>
      </c>
    </row>
    <row r="113" ht="20" customHeight="1" spans="1:8" x14ac:dyDescent="0.25">
      <c r="A113" s="22" t="s">
        <v>67</v>
      </c>
      <c r="B113" s="22" t="s">
        <v>31</v>
      </c>
      <c r="C113" s="23" t="s">
        <v>71</v>
      </c>
      <c r="D113" s="6" t="s">
        <v>4</v>
      </c>
      <c r="E113" s="22" t="s">
        <v>125</v>
      </c>
      <c r="F113" s="22" t="s">
        <v>136</v>
      </c>
      <c r="G113" s="22" t="s">
        <v>99</v>
      </c>
      <c r="H113" s="32" t="s">
        <v>79</v>
      </c>
    </row>
    <row r="114" ht="20" customHeight="1" spans="1:8" x14ac:dyDescent="0.25">
      <c r="A114" s="24" t="s">
        <v>68</v>
      </c>
      <c r="B114" s="24" t="s">
        <v>34</v>
      </c>
      <c r="C114" s="25" t="s">
        <v>71</v>
      </c>
      <c r="D114" s="6" t="s">
        <v>4</v>
      </c>
      <c r="E114" s="24" t="s">
        <v>125</v>
      </c>
      <c r="F114" s="24" t="s">
        <v>136</v>
      </c>
      <c r="G114" s="24" t="s">
        <v>99</v>
      </c>
      <c r="H114" s="30" t="s">
        <v>79</v>
      </c>
    </row>
    <row r="115" ht="22" customHeight="1" spans="1:8" x14ac:dyDescent="0.25">
      <c r="A115" s="26" t="s">
        <v>69</v>
      </c>
      <c r="B115" s="26"/>
      <c r="C115" s="26"/>
      <c r="D115" s="26"/>
      <c r="E115" s="26"/>
      <c r="F115" s="26"/>
      <c r="G115" s="27" t="s">
        <v>270</v>
      </c>
      <c r="H115" s="28" t="s">
        <v>12</v>
      </c>
    </row>
    <row r="117" ht="26" customHeight="1" spans="1:8" x14ac:dyDescent="0.25">
      <c r="A117" s="20" t="s">
        <v>271</v>
      </c>
      <c r="B117" s="20"/>
      <c r="C117" s="20"/>
      <c r="D117" s="20"/>
      <c r="E117" s="20"/>
      <c r="F117" s="20"/>
      <c r="G117" s="20"/>
      <c r="H117" s="20"/>
    </row>
    <row r="118" ht="22" customHeight="1" spans="1:8" x14ac:dyDescent="0.25">
      <c r="A118" s="21" t="s">
        <v>22</v>
      </c>
      <c r="B118" s="21" t="s">
        <v>23</v>
      </c>
      <c r="C118" s="21" t="s">
        <v>24</v>
      </c>
      <c r="D118" s="21" t="s">
        <v>25</v>
      </c>
      <c r="E118" s="21" t="s">
        <v>26</v>
      </c>
      <c r="F118" s="21" t="s">
        <v>27</v>
      </c>
      <c r="G118" s="21" t="s">
        <v>28</v>
      </c>
      <c r="H118" s="21" t="s">
        <v>29</v>
      </c>
    </row>
    <row r="119" ht="20" customHeight="1" spans="1:8" x14ac:dyDescent="0.25">
      <c r="A119" s="22" t="s">
        <v>30</v>
      </c>
      <c r="B119" s="22" t="s">
        <v>31</v>
      </c>
      <c r="C119" s="23" t="s">
        <v>71</v>
      </c>
      <c r="D119" s="6" t="s">
        <v>4</v>
      </c>
      <c r="E119" s="22" t="s">
        <v>128</v>
      </c>
      <c r="F119" s="22" t="s">
        <v>272</v>
      </c>
      <c r="G119" s="22" t="s">
        <v>273</v>
      </c>
      <c r="H119" s="29" t="s">
        <v>274</v>
      </c>
    </row>
    <row r="120" ht="20" customHeight="1" spans="1:8" x14ac:dyDescent="0.25">
      <c r="A120" s="24" t="s">
        <v>33</v>
      </c>
      <c r="B120" s="24" t="s">
        <v>34</v>
      </c>
      <c r="C120" s="25" t="s">
        <v>71</v>
      </c>
      <c r="D120" s="6" t="s">
        <v>4</v>
      </c>
      <c r="E120" s="24" t="s">
        <v>275</v>
      </c>
      <c r="F120" s="24" t="s">
        <v>276</v>
      </c>
      <c r="G120" s="24" t="s">
        <v>277</v>
      </c>
      <c r="H120" s="30" t="s">
        <v>79</v>
      </c>
    </row>
    <row r="121" ht="20" customHeight="1" spans="1:8" x14ac:dyDescent="0.25">
      <c r="A121" s="22" t="s">
        <v>35</v>
      </c>
      <c r="B121" s="22" t="s">
        <v>36</v>
      </c>
      <c r="C121" s="23" t="s">
        <v>71</v>
      </c>
      <c r="D121" s="6" t="s">
        <v>4</v>
      </c>
      <c r="E121" s="22" t="s">
        <v>275</v>
      </c>
      <c r="F121" s="22" t="s">
        <v>278</v>
      </c>
      <c r="G121" s="22" t="s">
        <v>279</v>
      </c>
      <c r="H121" s="32" t="s">
        <v>79</v>
      </c>
    </row>
    <row r="122" ht="20" customHeight="1" spans="1:8" x14ac:dyDescent="0.25">
      <c r="A122" s="24" t="s">
        <v>37</v>
      </c>
      <c r="B122" s="24" t="s">
        <v>38</v>
      </c>
      <c r="C122" s="25" t="s">
        <v>71</v>
      </c>
      <c r="D122" s="31" t="s">
        <v>11</v>
      </c>
      <c r="E122" s="24" t="s">
        <v>12</v>
      </c>
      <c r="F122" s="24" t="s">
        <v>12</v>
      </c>
      <c r="G122" s="24" t="s">
        <v>12</v>
      </c>
      <c r="H122" s="24" t="s">
        <v>32</v>
      </c>
    </row>
    <row r="123" ht="20" customHeight="1" spans="1:8" x14ac:dyDescent="0.25">
      <c r="A123" s="22" t="s">
        <v>39</v>
      </c>
      <c r="B123" s="22" t="s">
        <v>40</v>
      </c>
      <c r="C123" s="23" t="s">
        <v>71</v>
      </c>
      <c r="D123" s="6" t="s">
        <v>4</v>
      </c>
      <c r="E123" s="22" t="s">
        <v>275</v>
      </c>
      <c r="F123" s="22" t="s">
        <v>278</v>
      </c>
      <c r="G123" s="22" t="s">
        <v>279</v>
      </c>
      <c r="H123" s="32" t="s">
        <v>79</v>
      </c>
    </row>
    <row r="124" ht="20" customHeight="1" spans="1:8" x14ac:dyDescent="0.25">
      <c r="A124" s="24" t="s">
        <v>41</v>
      </c>
      <c r="B124" s="24" t="s">
        <v>42</v>
      </c>
      <c r="C124" s="25" t="s">
        <v>71</v>
      </c>
      <c r="D124" s="33" t="s">
        <v>86</v>
      </c>
      <c r="E124" s="24" t="s">
        <v>12</v>
      </c>
      <c r="F124" s="24" t="s">
        <v>12</v>
      </c>
      <c r="G124" s="24" t="s">
        <v>12</v>
      </c>
      <c r="H124" s="24" t="s">
        <v>32</v>
      </c>
    </row>
    <row r="125" ht="20" customHeight="1" spans="1:8" x14ac:dyDescent="0.25">
      <c r="A125" s="22" t="s">
        <v>44</v>
      </c>
      <c r="B125" s="22" t="s">
        <v>45</v>
      </c>
      <c r="C125" s="23" t="s">
        <v>71</v>
      </c>
      <c r="D125" s="6" t="s">
        <v>4</v>
      </c>
      <c r="E125" s="22" t="s">
        <v>275</v>
      </c>
      <c r="F125" s="22" t="s">
        <v>280</v>
      </c>
      <c r="G125" s="22" t="s">
        <v>281</v>
      </c>
      <c r="H125" s="32" t="s">
        <v>79</v>
      </c>
    </row>
    <row r="126" ht="20" customHeight="1" spans="1:8" x14ac:dyDescent="0.25">
      <c r="A126" s="24" t="s">
        <v>46</v>
      </c>
      <c r="B126" s="24" t="s">
        <v>31</v>
      </c>
      <c r="C126" s="25" t="s">
        <v>71</v>
      </c>
      <c r="D126" s="6" t="s">
        <v>4</v>
      </c>
      <c r="E126" s="24" t="s">
        <v>128</v>
      </c>
      <c r="F126" s="24" t="s">
        <v>282</v>
      </c>
      <c r="G126" s="24" t="s">
        <v>283</v>
      </c>
      <c r="H126" s="30" t="s">
        <v>79</v>
      </c>
    </row>
    <row r="127" ht="20" customHeight="1" spans="1:8" x14ac:dyDescent="0.25">
      <c r="A127" s="22" t="s">
        <v>47</v>
      </c>
      <c r="B127" s="22" t="s">
        <v>34</v>
      </c>
      <c r="C127" s="23" t="s">
        <v>71</v>
      </c>
      <c r="D127" s="6" t="s">
        <v>4</v>
      </c>
      <c r="E127" s="22" t="s">
        <v>284</v>
      </c>
      <c r="F127" s="22" t="s">
        <v>278</v>
      </c>
      <c r="G127" s="22" t="s">
        <v>285</v>
      </c>
      <c r="H127" s="32" t="s">
        <v>79</v>
      </c>
    </row>
    <row r="128" ht="20" customHeight="1" spans="1:8" x14ac:dyDescent="0.25">
      <c r="A128" s="24" t="s">
        <v>48</v>
      </c>
      <c r="B128" s="24" t="s">
        <v>36</v>
      </c>
      <c r="C128" s="25" t="s">
        <v>71</v>
      </c>
      <c r="D128" s="6" t="s">
        <v>4</v>
      </c>
      <c r="E128" s="24" t="s">
        <v>275</v>
      </c>
      <c r="F128" s="24" t="s">
        <v>276</v>
      </c>
      <c r="G128" s="24" t="s">
        <v>277</v>
      </c>
      <c r="H128" s="30" t="s">
        <v>79</v>
      </c>
    </row>
    <row r="129" ht="20" customHeight="1" spans="1:8" x14ac:dyDescent="0.25">
      <c r="A129" s="22" t="s">
        <v>49</v>
      </c>
      <c r="B129" s="22" t="s">
        <v>38</v>
      </c>
      <c r="C129" s="23" t="s">
        <v>71</v>
      </c>
      <c r="D129" s="36" t="s">
        <v>218</v>
      </c>
      <c r="E129" s="22" t="s">
        <v>286</v>
      </c>
      <c r="F129" s="22" t="s">
        <v>276</v>
      </c>
      <c r="G129" s="22" t="s">
        <v>287</v>
      </c>
      <c r="H129" s="29" t="s">
        <v>288</v>
      </c>
    </row>
    <row r="130" ht="20" customHeight="1" spans="1:8" x14ac:dyDescent="0.25">
      <c r="A130" s="24" t="s">
        <v>50</v>
      </c>
      <c r="B130" s="24" t="s">
        <v>40</v>
      </c>
      <c r="C130" s="25" t="s">
        <v>71</v>
      </c>
      <c r="D130" s="33" t="s">
        <v>86</v>
      </c>
      <c r="E130" s="24" t="s">
        <v>12</v>
      </c>
      <c r="F130" s="24" t="s">
        <v>12</v>
      </c>
      <c r="G130" s="24" t="s">
        <v>12</v>
      </c>
      <c r="H130" s="24" t="s">
        <v>32</v>
      </c>
    </row>
    <row r="131" ht="20" customHeight="1" spans="1:8" x14ac:dyDescent="0.25">
      <c r="A131" s="22" t="s">
        <v>51</v>
      </c>
      <c r="B131" s="22" t="s">
        <v>42</v>
      </c>
      <c r="C131" s="23" t="s">
        <v>71</v>
      </c>
      <c r="D131" s="35" t="s">
        <v>86</v>
      </c>
      <c r="E131" s="22" t="s">
        <v>12</v>
      </c>
      <c r="F131" s="22" t="s">
        <v>12</v>
      </c>
      <c r="G131" s="22" t="s">
        <v>12</v>
      </c>
      <c r="H131" s="22" t="s">
        <v>32</v>
      </c>
    </row>
    <row r="132" ht="20" customHeight="1" spans="1:8" x14ac:dyDescent="0.25">
      <c r="A132" s="24" t="s">
        <v>52</v>
      </c>
      <c r="B132" s="24" t="s">
        <v>45</v>
      </c>
      <c r="C132" s="25" t="s">
        <v>71</v>
      </c>
      <c r="D132" s="10" t="s">
        <v>87</v>
      </c>
      <c r="E132" s="24" t="s">
        <v>12</v>
      </c>
      <c r="F132" s="24" t="s">
        <v>12</v>
      </c>
      <c r="G132" s="24" t="s">
        <v>12</v>
      </c>
      <c r="H132" s="24" t="s">
        <v>32</v>
      </c>
    </row>
    <row r="133" ht="20" customHeight="1" spans="1:8" x14ac:dyDescent="0.25">
      <c r="A133" s="22" t="s">
        <v>53</v>
      </c>
      <c r="B133" s="22" t="s">
        <v>31</v>
      </c>
      <c r="C133" s="23" t="s">
        <v>71</v>
      </c>
      <c r="D133" s="6" t="s">
        <v>4</v>
      </c>
      <c r="E133" s="22" t="s">
        <v>289</v>
      </c>
      <c r="F133" s="22" t="s">
        <v>280</v>
      </c>
      <c r="G133" s="22" t="s">
        <v>290</v>
      </c>
      <c r="H133" s="32" t="s">
        <v>79</v>
      </c>
    </row>
    <row r="134" ht="20" customHeight="1" spans="1:8" x14ac:dyDescent="0.25">
      <c r="A134" s="24" t="s">
        <v>54</v>
      </c>
      <c r="B134" s="24" t="s">
        <v>34</v>
      </c>
      <c r="C134" s="25" t="s">
        <v>71</v>
      </c>
      <c r="D134" s="6" t="s">
        <v>4</v>
      </c>
      <c r="E134" s="24" t="s">
        <v>106</v>
      </c>
      <c r="F134" s="24" t="s">
        <v>278</v>
      </c>
      <c r="G134" s="24" t="s">
        <v>291</v>
      </c>
      <c r="H134" s="30" t="s">
        <v>79</v>
      </c>
    </row>
    <row r="135" ht="20" customHeight="1" spans="1:8" x14ac:dyDescent="0.25">
      <c r="A135" s="22" t="s">
        <v>55</v>
      </c>
      <c r="B135" s="22" t="s">
        <v>36</v>
      </c>
      <c r="C135" s="23" t="s">
        <v>71</v>
      </c>
      <c r="D135" s="10" t="s">
        <v>87</v>
      </c>
      <c r="E135" s="22" t="s">
        <v>12</v>
      </c>
      <c r="F135" s="22" t="s">
        <v>12</v>
      </c>
      <c r="G135" s="22" t="s">
        <v>12</v>
      </c>
      <c r="H135" s="22" t="s">
        <v>32</v>
      </c>
    </row>
    <row r="136" ht="20" customHeight="1" spans="1:8" x14ac:dyDescent="0.25">
      <c r="A136" s="24" t="s">
        <v>56</v>
      </c>
      <c r="B136" s="24" t="s">
        <v>38</v>
      </c>
      <c r="C136" s="25" t="s">
        <v>71</v>
      </c>
      <c r="D136" s="36" t="s">
        <v>218</v>
      </c>
      <c r="E136" s="24" t="s">
        <v>292</v>
      </c>
      <c r="F136" s="24" t="s">
        <v>293</v>
      </c>
      <c r="G136" s="24" t="s">
        <v>294</v>
      </c>
      <c r="H136" s="34" t="s">
        <v>295</v>
      </c>
    </row>
    <row r="137" ht="20" customHeight="1" spans="1:8" x14ac:dyDescent="0.25">
      <c r="A137" s="22" t="s">
        <v>57</v>
      </c>
      <c r="B137" s="22" t="s">
        <v>40</v>
      </c>
      <c r="C137" s="23" t="s">
        <v>71</v>
      </c>
      <c r="D137" s="6" t="s">
        <v>4</v>
      </c>
      <c r="E137" s="22" t="s">
        <v>106</v>
      </c>
      <c r="F137" s="22" t="s">
        <v>136</v>
      </c>
      <c r="G137" s="22" t="s">
        <v>296</v>
      </c>
      <c r="H137" s="32" t="s">
        <v>79</v>
      </c>
    </row>
    <row r="138" ht="20" customHeight="1" spans="1:8" x14ac:dyDescent="0.25">
      <c r="A138" s="24" t="s">
        <v>58</v>
      </c>
      <c r="B138" s="24" t="s">
        <v>42</v>
      </c>
      <c r="C138" s="25" t="s">
        <v>71</v>
      </c>
      <c r="D138" s="33" t="s">
        <v>86</v>
      </c>
      <c r="E138" s="24" t="s">
        <v>12</v>
      </c>
      <c r="F138" s="24" t="s">
        <v>12</v>
      </c>
      <c r="G138" s="24" t="s">
        <v>12</v>
      </c>
      <c r="H138" s="24" t="s">
        <v>32</v>
      </c>
    </row>
    <row r="139" ht="20" customHeight="1" spans="1:8" x14ac:dyDescent="0.25">
      <c r="A139" s="22" t="s">
        <v>59</v>
      </c>
      <c r="B139" s="22" t="s">
        <v>45</v>
      </c>
      <c r="C139" s="23" t="s">
        <v>71</v>
      </c>
      <c r="D139" s="6" t="s">
        <v>4</v>
      </c>
      <c r="E139" s="22" t="s">
        <v>297</v>
      </c>
      <c r="F139" s="22" t="s">
        <v>298</v>
      </c>
      <c r="G139" s="22" t="s">
        <v>299</v>
      </c>
      <c r="H139" s="32" t="s">
        <v>79</v>
      </c>
    </row>
    <row r="140" ht="20" customHeight="1" spans="1:8" x14ac:dyDescent="0.25">
      <c r="A140" s="24" t="s">
        <v>60</v>
      </c>
      <c r="B140" s="24" t="s">
        <v>31</v>
      </c>
      <c r="C140" s="25" t="s">
        <v>71</v>
      </c>
      <c r="D140" s="6" t="s">
        <v>4</v>
      </c>
      <c r="E140" s="24" t="s">
        <v>106</v>
      </c>
      <c r="F140" s="24" t="s">
        <v>278</v>
      </c>
      <c r="G140" s="24" t="s">
        <v>74</v>
      </c>
      <c r="H140" s="30" t="s">
        <v>79</v>
      </c>
    </row>
    <row r="141" ht="20" customHeight="1" spans="1:8" x14ac:dyDescent="0.25">
      <c r="A141" s="22" t="s">
        <v>61</v>
      </c>
      <c r="B141" s="22" t="s">
        <v>34</v>
      </c>
      <c r="C141" s="23" t="s">
        <v>71</v>
      </c>
      <c r="D141" s="6" t="s">
        <v>4</v>
      </c>
      <c r="E141" s="22" t="s">
        <v>300</v>
      </c>
      <c r="F141" s="22" t="s">
        <v>301</v>
      </c>
      <c r="G141" s="22" t="s">
        <v>302</v>
      </c>
      <c r="H141" s="32" t="s">
        <v>79</v>
      </c>
    </row>
    <row r="142" ht="20" customHeight="1" spans="1:8" x14ac:dyDescent="0.25">
      <c r="A142" s="24" t="s">
        <v>62</v>
      </c>
      <c r="B142" s="24" t="s">
        <v>36</v>
      </c>
      <c r="C142" s="25" t="s">
        <v>71</v>
      </c>
      <c r="D142" s="36" t="s">
        <v>218</v>
      </c>
      <c r="E142" s="24" t="s">
        <v>303</v>
      </c>
      <c r="F142" s="24" t="s">
        <v>304</v>
      </c>
      <c r="G142" s="24" t="s">
        <v>305</v>
      </c>
      <c r="H142" s="34" t="s">
        <v>306</v>
      </c>
    </row>
    <row r="143" ht="20" customHeight="1" spans="1:8" x14ac:dyDescent="0.25">
      <c r="A143" s="22" t="s">
        <v>63</v>
      </c>
      <c r="B143" s="22" t="s">
        <v>38</v>
      </c>
      <c r="C143" s="23" t="s">
        <v>71</v>
      </c>
      <c r="D143" s="6" t="s">
        <v>4</v>
      </c>
      <c r="E143" s="22" t="s">
        <v>307</v>
      </c>
      <c r="F143" s="22" t="s">
        <v>276</v>
      </c>
      <c r="G143" s="22" t="s">
        <v>291</v>
      </c>
      <c r="H143" s="32" t="s">
        <v>79</v>
      </c>
    </row>
    <row r="144" ht="20" customHeight="1" spans="1:8" x14ac:dyDescent="0.25">
      <c r="A144" s="24" t="s">
        <v>64</v>
      </c>
      <c r="B144" s="24" t="s">
        <v>40</v>
      </c>
      <c r="C144" s="25" t="s">
        <v>71</v>
      </c>
      <c r="D144" s="36" t="s">
        <v>218</v>
      </c>
      <c r="E144" s="24" t="s">
        <v>308</v>
      </c>
      <c r="F144" s="24" t="s">
        <v>280</v>
      </c>
      <c r="G144" s="24" t="s">
        <v>309</v>
      </c>
      <c r="H144" s="34" t="s">
        <v>310</v>
      </c>
    </row>
    <row r="145" ht="20" customHeight="1" spans="1:8" x14ac:dyDescent="0.25">
      <c r="A145" s="22" t="s">
        <v>65</v>
      </c>
      <c r="B145" s="22" t="s">
        <v>42</v>
      </c>
      <c r="C145" s="23" t="s">
        <v>71</v>
      </c>
      <c r="D145" s="6" t="s">
        <v>4</v>
      </c>
      <c r="E145" s="22" t="s">
        <v>311</v>
      </c>
      <c r="F145" s="22" t="s">
        <v>312</v>
      </c>
      <c r="G145" s="22" t="s">
        <v>313</v>
      </c>
      <c r="H145" s="32" t="s">
        <v>79</v>
      </c>
    </row>
    <row r="146" ht="20" customHeight="1" spans="1:8" x14ac:dyDescent="0.25">
      <c r="A146" s="24" t="s">
        <v>66</v>
      </c>
      <c r="B146" s="24" t="s">
        <v>45</v>
      </c>
      <c r="C146" s="25" t="s">
        <v>71</v>
      </c>
      <c r="D146" s="36" t="s">
        <v>218</v>
      </c>
      <c r="E146" s="24" t="s">
        <v>128</v>
      </c>
      <c r="F146" s="24" t="s">
        <v>314</v>
      </c>
      <c r="G146" s="24" t="s">
        <v>315</v>
      </c>
      <c r="H146" s="34" t="s">
        <v>316</v>
      </c>
    </row>
    <row r="147" ht="20" customHeight="1" spans="1:8" x14ac:dyDescent="0.25">
      <c r="A147" s="22" t="s">
        <v>67</v>
      </c>
      <c r="B147" s="22" t="s">
        <v>31</v>
      </c>
      <c r="C147" s="23" t="s">
        <v>71</v>
      </c>
      <c r="D147" s="6" t="s">
        <v>4</v>
      </c>
      <c r="E147" s="22" t="s">
        <v>300</v>
      </c>
      <c r="F147" s="22" t="s">
        <v>317</v>
      </c>
      <c r="G147" s="22" t="s">
        <v>161</v>
      </c>
      <c r="H147" s="32" t="s">
        <v>79</v>
      </c>
    </row>
    <row r="148" ht="20" customHeight="1" spans="1:8" x14ac:dyDescent="0.25">
      <c r="A148" s="24" t="s">
        <v>68</v>
      </c>
      <c r="B148" s="24" t="s">
        <v>34</v>
      </c>
      <c r="C148" s="25" t="s">
        <v>71</v>
      </c>
      <c r="D148" s="6" t="s">
        <v>4</v>
      </c>
      <c r="E148" s="24" t="s">
        <v>128</v>
      </c>
      <c r="F148" s="24" t="s">
        <v>278</v>
      </c>
      <c r="G148" s="24" t="s">
        <v>281</v>
      </c>
      <c r="H148" s="30" t="s">
        <v>79</v>
      </c>
    </row>
    <row r="149" ht="22" customHeight="1" spans="1:8" x14ac:dyDescent="0.25">
      <c r="A149" s="26" t="s">
        <v>69</v>
      </c>
      <c r="B149" s="26"/>
      <c r="C149" s="26"/>
      <c r="D149" s="26"/>
      <c r="E149" s="26"/>
      <c r="F149" s="26"/>
      <c r="G149" s="27" t="s">
        <v>318</v>
      </c>
      <c r="H149" s="28" t="s">
        <v>12</v>
      </c>
    </row>
    <row r="151" ht="26" customHeight="1" spans="1:8" x14ac:dyDescent="0.25">
      <c r="A151" s="20" t="s">
        <v>319</v>
      </c>
      <c r="B151" s="20"/>
      <c r="C151" s="20"/>
      <c r="D151" s="20"/>
      <c r="E151" s="20"/>
      <c r="F151" s="20"/>
      <c r="G151" s="20"/>
      <c r="H151" s="20"/>
    </row>
    <row r="152" ht="22" customHeight="1" spans="1:8" x14ac:dyDescent="0.25">
      <c r="A152" s="21" t="s">
        <v>22</v>
      </c>
      <c r="B152" s="21" t="s">
        <v>23</v>
      </c>
      <c r="C152" s="21" t="s">
        <v>24</v>
      </c>
      <c r="D152" s="21" t="s">
        <v>25</v>
      </c>
      <c r="E152" s="21" t="s">
        <v>26</v>
      </c>
      <c r="F152" s="21" t="s">
        <v>27</v>
      </c>
      <c r="G152" s="21" t="s">
        <v>28</v>
      </c>
      <c r="H152" s="21" t="s">
        <v>29</v>
      </c>
    </row>
    <row r="153" ht="20" customHeight="1" spans="1:8" x14ac:dyDescent="0.25">
      <c r="A153" s="22" t="s">
        <v>30</v>
      </c>
      <c r="B153" s="22" t="s">
        <v>31</v>
      </c>
      <c r="C153" s="23" t="s">
        <v>71</v>
      </c>
      <c r="D153" s="6" t="s">
        <v>4</v>
      </c>
      <c r="E153" s="22" t="s">
        <v>320</v>
      </c>
      <c r="F153" s="22" t="s">
        <v>321</v>
      </c>
      <c r="G153" s="22" t="s">
        <v>154</v>
      </c>
      <c r="H153" s="32" t="s">
        <v>79</v>
      </c>
    </row>
    <row r="154" ht="20" customHeight="1" spans="1:8" x14ac:dyDescent="0.25">
      <c r="A154" s="24" t="s">
        <v>33</v>
      </c>
      <c r="B154" s="24" t="s">
        <v>34</v>
      </c>
      <c r="C154" s="25" t="s">
        <v>71</v>
      </c>
      <c r="D154" s="6" t="s">
        <v>4</v>
      </c>
      <c r="E154" s="24" t="s">
        <v>322</v>
      </c>
      <c r="F154" s="24" t="s">
        <v>301</v>
      </c>
      <c r="G154" s="24" t="s">
        <v>130</v>
      </c>
      <c r="H154" s="34" t="s">
        <v>323</v>
      </c>
    </row>
    <row r="155" ht="20" customHeight="1" spans="1:8" x14ac:dyDescent="0.25">
      <c r="A155" s="22" t="s">
        <v>35</v>
      </c>
      <c r="B155" s="22" t="s">
        <v>36</v>
      </c>
      <c r="C155" s="23" t="s">
        <v>71</v>
      </c>
      <c r="D155" s="6" t="s">
        <v>4</v>
      </c>
      <c r="E155" s="22" t="s">
        <v>189</v>
      </c>
      <c r="F155" s="22" t="s">
        <v>324</v>
      </c>
      <c r="G155" s="22" t="s">
        <v>325</v>
      </c>
      <c r="H155" s="29" t="s">
        <v>191</v>
      </c>
    </row>
    <row r="156" ht="20" customHeight="1" spans="1:8" x14ac:dyDescent="0.25">
      <c r="A156" s="24" t="s">
        <v>37</v>
      </c>
      <c r="B156" s="24" t="s">
        <v>38</v>
      </c>
      <c r="C156" s="25" t="s">
        <v>71</v>
      </c>
      <c r="D156" s="31" t="s">
        <v>11</v>
      </c>
      <c r="E156" s="24" t="s">
        <v>12</v>
      </c>
      <c r="F156" s="24" t="s">
        <v>12</v>
      </c>
      <c r="G156" s="24" t="s">
        <v>12</v>
      </c>
      <c r="H156" s="24" t="s">
        <v>32</v>
      </c>
    </row>
    <row r="157" ht="20" customHeight="1" spans="1:8" x14ac:dyDescent="0.25">
      <c r="A157" s="22" t="s">
        <v>39</v>
      </c>
      <c r="B157" s="22" t="s">
        <v>40</v>
      </c>
      <c r="C157" s="23" t="s">
        <v>71</v>
      </c>
      <c r="D157" s="6" t="s">
        <v>4</v>
      </c>
      <c r="E157" s="22" t="s">
        <v>326</v>
      </c>
      <c r="F157" s="22" t="s">
        <v>164</v>
      </c>
      <c r="G157" s="22" t="s">
        <v>183</v>
      </c>
      <c r="H157" s="29" t="s">
        <v>327</v>
      </c>
    </row>
    <row r="158" ht="20" customHeight="1" spans="1:8" x14ac:dyDescent="0.25">
      <c r="A158" s="24" t="s">
        <v>41</v>
      </c>
      <c r="B158" s="24" t="s">
        <v>42</v>
      </c>
      <c r="C158" s="25" t="s">
        <v>71</v>
      </c>
      <c r="D158" s="33" t="s">
        <v>86</v>
      </c>
      <c r="E158" s="24" t="s">
        <v>12</v>
      </c>
      <c r="F158" s="24" t="s">
        <v>12</v>
      </c>
      <c r="G158" s="24" t="s">
        <v>12</v>
      </c>
      <c r="H158" s="24" t="s">
        <v>32</v>
      </c>
    </row>
    <row r="159" ht="20" customHeight="1" spans="1:8" x14ac:dyDescent="0.25">
      <c r="A159" s="22" t="s">
        <v>44</v>
      </c>
      <c r="B159" s="22" t="s">
        <v>45</v>
      </c>
      <c r="C159" s="23" t="s">
        <v>71</v>
      </c>
      <c r="D159" s="6" t="s">
        <v>4</v>
      </c>
      <c r="E159" s="22" t="s">
        <v>169</v>
      </c>
      <c r="F159" s="22" t="s">
        <v>258</v>
      </c>
      <c r="G159" s="22" t="s">
        <v>232</v>
      </c>
      <c r="H159" s="29" t="s">
        <v>172</v>
      </c>
    </row>
    <row r="160" ht="20" customHeight="1" spans="1:8" x14ac:dyDescent="0.25">
      <c r="A160" s="24" t="s">
        <v>46</v>
      </c>
      <c r="B160" s="24" t="s">
        <v>31</v>
      </c>
      <c r="C160" s="25" t="s">
        <v>71</v>
      </c>
      <c r="D160" s="6" t="s">
        <v>4</v>
      </c>
      <c r="E160" s="24" t="s">
        <v>185</v>
      </c>
      <c r="F160" s="24" t="s">
        <v>235</v>
      </c>
      <c r="G160" s="24" t="s">
        <v>328</v>
      </c>
      <c r="H160" s="34" t="s">
        <v>188</v>
      </c>
    </row>
    <row r="161" ht="20" customHeight="1" spans="1:8" x14ac:dyDescent="0.25">
      <c r="A161" s="22" t="s">
        <v>47</v>
      </c>
      <c r="B161" s="22" t="s">
        <v>34</v>
      </c>
      <c r="C161" s="23" t="s">
        <v>71</v>
      </c>
      <c r="D161" s="6" t="s">
        <v>4</v>
      </c>
      <c r="E161" s="22" t="s">
        <v>230</v>
      </c>
      <c r="F161" s="22" t="s">
        <v>258</v>
      </c>
      <c r="G161" s="22" t="s">
        <v>329</v>
      </c>
      <c r="H161" s="29" t="s">
        <v>233</v>
      </c>
    </row>
    <row r="162" ht="20" customHeight="1" spans="1:8" x14ac:dyDescent="0.25">
      <c r="A162" s="24" t="s">
        <v>48</v>
      </c>
      <c r="B162" s="24" t="s">
        <v>36</v>
      </c>
      <c r="C162" s="25" t="s">
        <v>71</v>
      </c>
      <c r="D162" s="6" t="s">
        <v>4</v>
      </c>
      <c r="E162" s="24" t="s">
        <v>156</v>
      </c>
      <c r="F162" s="24" t="s">
        <v>153</v>
      </c>
      <c r="G162" s="24" t="s">
        <v>238</v>
      </c>
      <c r="H162" s="34" t="s">
        <v>158</v>
      </c>
    </row>
    <row r="163" ht="20" customHeight="1" spans="1:8" x14ac:dyDescent="0.25">
      <c r="A163" s="22" t="s">
        <v>49</v>
      </c>
      <c r="B163" s="22" t="s">
        <v>38</v>
      </c>
      <c r="C163" s="23" t="s">
        <v>71</v>
      </c>
      <c r="D163" s="6" t="s">
        <v>4</v>
      </c>
      <c r="E163" s="22" t="s">
        <v>239</v>
      </c>
      <c r="F163" s="22" t="s">
        <v>12</v>
      </c>
      <c r="G163" s="22" t="s">
        <v>12</v>
      </c>
      <c r="H163" s="29" t="s">
        <v>241</v>
      </c>
    </row>
    <row r="164" ht="20" customHeight="1" spans="1:8" x14ac:dyDescent="0.25">
      <c r="A164" s="24" t="s">
        <v>50</v>
      </c>
      <c r="B164" s="24" t="s">
        <v>40</v>
      </c>
      <c r="C164" s="25" t="s">
        <v>71</v>
      </c>
      <c r="D164" s="33" t="s">
        <v>86</v>
      </c>
      <c r="E164" s="24" t="s">
        <v>12</v>
      </c>
      <c r="F164" s="24" t="s">
        <v>12</v>
      </c>
      <c r="G164" s="24" t="s">
        <v>12</v>
      </c>
      <c r="H164" s="24" t="s">
        <v>32</v>
      </c>
    </row>
    <row r="165" ht="20" customHeight="1" spans="1:8" x14ac:dyDescent="0.25">
      <c r="A165" s="22" t="s">
        <v>51</v>
      </c>
      <c r="B165" s="22" t="s">
        <v>42</v>
      </c>
      <c r="C165" s="23" t="s">
        <v>71</v>
      </c>
      <c r="D165" s="35" t="s">
        <v>86</v>
      </c>
      <c r="E165" s="22" t="s">
        <v>12</v>
      </c>
      <c r="F165" s="22" t="s">
        <v>12</v>
      </c>
      <c r="G165" s="22" t="s">
        <v>12</v>
      </c>
      <c r="H165" s="22" t="s">
        <v>32</v>
      </c>
    </row>
    <row r="166" ht="20" customHeight="1" spans="1:8" x14ac:dyDescent="0.25">
      <c r="A166" s="24" t="s">
        <v>52</v>
      </c>
      <c r="B166" s="24" t="s">
        <v>45</v>
      </c>
      <c r="C166" s="25" t="s">
        <v>71</v>
      </c>
      <c r="D166" s="6" t="s">
        <v>4</v>
      </c>
      <c r="E166" s="24" t="s">
        <v>330</v>
      </c>
      <c r="F166" s="24" t="s">
        <v>331</v>
      </c>
      <c r="G166" s="24" t="s">
        <v>332</v>
      </c>
      <c r="H166" s="34" t="s">
        <v>333</v>
      </c>
    </row>
    <row r="167" ht="20" customHeight="1" spans="1:8" x14ac:dyDescent="0.25">
      <c r="A167" s="22" t="s">
        <v>53</v>
      </c>
      <c r="B167" s="22" t="s">
        <v>31</v>
      </c>
      <c r="C167" s="23" t="s">
        <v>71</v>
      </c>
      <c r="D167" s="6" t="s">
        <v>4</v>
      </c>
      <c r="E167" s="22" t="s">
        <v>334</v>
      </c>
      <c r="F167" s="22" t="s">
        <v>335</v>
      </c>
      <c r="G167" s="22" t="s">
        <v>336</v>
      </c>
      <c r="H167" s="29" t="s">
        <v>337</v>
      </c>
    </row>
    <row r="168" ht="20" customHeight="1" spans="1:8" x14ac:dyDescent="0.25">
      <c r="A168" s="24" t="s">
        <v>54</v>
      </c>
      <c r="B168" s="24" t="s">
        <v>34</v>
      </c>
      <c r="C168" s="25" t="s">
        <v>71</v>
      </c>
      <c r="D168" s="6" t="s">
        <v>4</v>
      </c>
      <c r="E168" s="24" t="s">
        <v>163</v>
      </c>
      <c r="F168" s="24" t="s">
        <v>338</v>
      </c>
      <c r="G168" s="24" t="s">
        <v>339</v>
      </c>
      <c r="H168" s="34" t="s">
        <v>166</v>
      </c>
    </row>
    <row r="169" ht="20" customHeight="1" spans="1:8" x14ac:dyDescent="0.25">
      <c r="A169" s="22" t="s">
        <v>55</v>
      </c>
      <c r="B169" s="22" t="s">
        <v>36</v>
      </c>
      <c r="C169" s="23" t="s">
        <v>71</v>
      </c>
      <c r="D169" s="6" t="s">
        <v>4</v>
      </c>
      <c r="E169" s="22" t="s">
        <v>205</v>
      </c>
      <c r="F169" s="22" t="s">
        <v>12</v>
      </c>
      <c r="G169" s="22" t="s">
        <v>12</v>
      </c>
      <c r="H169" s="29" t="s">
        <v>207</v>
      </c>
    </row>
    <row r="170" ht="20" customHeight="1" spans="1:8" x14ac:dyDescent="0.25">
      <c r="A170" s="24" t="s">
        <v>56</v>
      </c>
      <c r="B170" s="24" t="s">
        <v>38</v>
      </c>
      <c r="C170" s="25" t="s">
        <v>71</v>
      </c>
      <c r="D170" s="6" t="s">
        <v>4</v>
      </c>
      <c r="E170" s="24" t="s">
        <v>340</v>
      </c>
      <c r="F170" s="24" t="s">
        <v>341</v>
      </c>
      <c r="G170" s="24" t="s">
        <v>277</v>
      </c>
      <c r="H170" s="34" t="s">
        <v>342</v>
      </c>
    </row>
    <row r="171" ht="20" customHeight="1" spans="1:8" x14ac:dyDescent="0.25">
      <c r="A171" s="22" t="s">
        <v>57</v>
      </c>
      <c r="B171" s="22" t="s">
        <v>40</v>
      </c>
      <c r="C171" s="23" t="s">
        <v>71</v>
      </c>
      <c r="D171" s="6" t="s">
        <v>4</v>
      </c>
      <c r="E171" s="22" t="s">
        <v>216</v>
      </c>
      <c r="F171" s="22" t="s">
        <v>343</v>
      </c>
      <c r="G171" s="22" t="s">
        <v>238</v>
      </c>
      <c r="H171" s="29" t="s">
        <v>217</v>
      </c>
    </row>
    <row r="172" ht="20" customHeight="1" spans="1:8" x14ac:dyDescent="0.25">
      <c r="A172" s="24" t="s">
        <v>58</v>
      </c>
      <c r="B172" s="24" t="s">
        <v>42</v>
      </c>
      <c r="C172" s="25" t="s">
        <v>71</v>
      </c>
      <c r="D172" s="33" t="s">
        <v>86</v>
      </c>
      <c r="E172" s="24" t="s">
        <v>12</v>
      </c>
      <c r="F172" s="24" t="s">
        <v>12</v>
      </c>
      <c r="G172" s="24" t="s">
        <v>12</v>
      </c>
      <c r="H172" s="24" t="s">
        <v>32</v>
      </c>
    </row>
    <row r="173" ht="20" customHeight="1" spans="1:8" x14ac:dyDescent="0.25">
      <c r="A173" s="22" t="s">
        <v>59</v>
      </c>
      <c r="B173" s="22" t="s">
        <v>45</v>
      </c>
      <c r="C173" s="23" t="s">
        <v>71</v>
      </c>
      <c r="D173" s="6" t="s">
        <v>4</v>
      </c>
      <c r="E173" s="22" t="s">
        <v>208</v>
      </c>
      <c r="F173" s="22" t="s">
        <v>344</v>
      </c>
      <c r="G173" s="22" t="s">
        <v>339</v>
      </c>
      <c r="H173" s="29" t="s">
        <v>210</v>
      </c>
    </row>
    <row r="174" ht="20" customHeight="1" spans="1:8" x14ac:dyDescent="0.25">
      <c r="A174" s="24" t="s">
        <v>60</v>
      </c>
      <c r="B174" s="24" t="s">
        <v>31</v>
      </c>
      <c r="C174" s="25" t="s">
        <v>71</v>
      </c>
      <c r="D174" s="6" t="s">
        <v>4</v>
      </c>
      <c r="E174" s="24" t="s">
        <v>173</v>
      </c>
      <c r="F174" s="24" t="s">
        <v>255</v>
      </c>
      <c r="G174" s="24" t="s">
        <v>261</v>
      </c>
      <c r="H174" s="34" t="s">
        <v>175</v>
      </c>
    </row>
    <row r="175" ht="20" customHeight="1" spans="1:8" x14ac:dyDescent="0.25">
      <c r="A175" s="22" t="s">
        <v>61</v>
      </c>
      <c r="B175" s="22" t="s">
        <v>34</v>
      </c>
      <c r="C175" s="23" t="s">
        <v>71</v>
      </c>
      <c r="D175" s="6" t="s">
        <v>4</v>
      </c>
      <c r="E175" s="22" t="s">
        <v>152</v>
      </c>
      <c r="F175" s="22" t="s">
        <v>186</v>
      </c>
      <c r="G175" s="22" t="s">
        <v>267</v>
      </c>
      <c r="H175" s="29" t="s">
        <v>155</v>
      </c>
    </row>
    <row r="176" ht="20" customHeight="1" spans="1:8" x14ac:dyDescent="0.25">
      <c r="A176" s="24" t="s">
        <v>62</v>
      </c>
      <c r="B176" s="24" t="s">
        <v>36</v>
      </c>
      <c r="C176" s="25" t="s">
        <v>71</v>
      </c>
      <c r="D176" s="6" t="s">
        <v>4</v>
      </c>
      <c r="E176" s="24" t="s">
        <v>169</v>
      </c>
      <c r="F176" s="24" t="s">
        <v>170</v>
      </c>
      <c r="G176" s="24" t="s">
        <v>171</v>
      </c>
      <c r="H176" s="34" t="s">
        <v>172</v>
      </c>
    </row>
    <row r="177" ht="20" customHeight="1" spans="1:8" x14ac:dyDescent="0.25">
      <c r="A177" s="22" t="s">
        <v>63</v>
      </c>
      <c r="B177" s="22" t="s">
        <v>38</v>
      </c>
      <c r="C177" s="23" t="s">
        <v>71</v>
      </c>
      <c r="D177" s="6" t="s">
        <v>4</v>
      </c>
      <c r="E177" s="22" t="s">
        <v>254</v>
      </c>
      <c r="F177" s="22" t="s">
        <v>186</v>
      </c>
      <c r="G177" s="22" t="s">
        <v>259</v>
      </c>
      <c r="H177" s="29" t="s">
        <v>256</v>
      </c>
    </row>
    <row r="178" ht="20" customHeight="1" spans="1:8" x14ac:dyDescent="0.25">
      <c r="A178" s="24" t="s">
        <v>64</v>
      </c>
      <c r="B178" s="24" t="s">
        <v>40</v>
      </c>
      <c r="C178" s="25" t="s">
        <v>71</v>
      </c>
      <c r="D178" s="6" t="s">
        <v>4</v>
      </c>
      <c r="E178" s="24" t="s">
        <v>228</v>
      </c>
      <c r="F178" s="24" t="s">
        <v>345</v>
      </c>
      <c r="G178" s="24" t="s">
        <v>119</v>
      </c>
      <c r="H178" s="34" t="s">
        <v>229</v>
      </c>
    </row>
    <row r="179" ht="20" customHeight="1" spans="1:8" x14ac:dyDescent="0.25">
      <c r="A179" s="22" t="s">
        <v>65</v>
      </c>
      <c r="B179" s="22" t="s">
        <v>42</v>
      </c>
      <c r="C179" s="23" t="s">
        <v>71</v>
      </c>
      <c r="D179" s="35" t="s">
        <v>86</v>
      </c>
      <c r="E179" s="22" t="s">
        <v>12</v>
      </c>
      <c r="F179" s="22" t="s">
        <v>12</v>
      </c>
      <c r="G179" s="22" t="s">
        <v>12</v>
      </c>
      <c r="H179" s="22" t="s">
        <v>32</v>
      </c>
    </row>
    <row r="180" ht="20" customHeight="1" spans="1:8" x14ac:dyDescent="0.25">
      <c r="A180" s="24" t="s">
        <v>66</v>
      </c>
      <c r="B180" s="24" t="s">
        <v>45</v>
      </c>
      <c r="C180" s="25" t="s">
        <v>71</v>
      </c>
      <c r="D180" s="6" t="s">
        <v>4</v>
      </c>
      <c r="E180" s="24" t="s">
        <v>224</v>
      </c>
      <c r="F180" s="24" t="s">
        <v>186</v>
      </c>
      <c r="G180" s="24" t="s">
        <v>329</v>
      </c>
      <c r="H180" s="34" t="s">
        <v>227</v>
      </c>
    </row>
    <row r="181" ht="20" customHeight="1" spans="1:8" x14ac:dyDescent="0.25">
      <c r="A181" s="22" t="s">
        <v>67</v>
      </c>
      <c r="B181" s="22" t="s">
        <v>31</v>
      </c>
      <c r="C181" s="23" t="s">
        <v>71</v>
      </c>
      <c r="D181" s="6" t="s">
        <v>4</v>
      </c>
      <c r="E181" s="22" t="s">
        <v>205</v>
      </c>
      <c r="F181" s="22" t="s">
        <v>170</v>
      </c>
      <c r="G181" s="22" t="s">
        <v>99</v>
      </c>
      <c r="H181" s="29" t="s">
        <v>207</v>
      </c>
    </row>
    <row r="182" ht="20" customHeight="1" spans="1:8" x14ac:dyDescent="0.25">
      <c r="A182" s="24" t="s">
        <v>68</v>
      </c>
      <c r="B182" s="24" t="s">
        <v>34</v>
      </c>
      <c r="C182" s="25" t="s">
        <v>71</v>
      </c>
      <c r="D182" s="6" t="s">
        <v>4</v>
      </c>
      <c r="E182" s="24" t="s">
        <v>251</v>
      </c>
      <c r="F182" s="24" t="s">
        <v>197</v>
      </c>
      <c r="G182" s="24" t="s">
        <v>203</v>
      </c>
      <c r="H182" s="34" t="s">
        <v>253</v>
      </c>
    </row>
    <row r="183" ht="22" customHeight="1" spans="1:8" x14ac:dyDescent="0.25">
      <c r="A183" s="26" t="s">
        <v>69</v>
      </c>
      <c r="B183" s="26"/>
      <c r="C183" s="26"/>
      <c r="D183" s="26"/>
      <c r="E183" s="26"/>
      <c r="F183" s="26"/>
      <c r="G183" s="27" t="s">
        <v>346</v>
      </c>
      <c r="H183" s="28" t="s">
        <v>12</v>
      </c>
    </row>
    <row r="185" ht="26" customHeight="1" spans="1:8" x14ac:dyDescent="0.25">
      <c r="A185" s="20" t="s">
        <v>347</v>
      </c>
      <c r="B185" s="20"/>
      <c r="C185" s="20"/>
      <c r="D185" s="20"/>
      <c r="E185" s="20"/>
      <c r="F185" s="20"/>
      <c r="G185" s="20"/>
      <c r="H185" s="20"/>
    </row>
    <row r="186" ht="22" customHeight="1" spans="1:8" x14ac:dyDescent="0.25">
      <c r="A186" s="21" t="s">
        <v>22</v>
      </c>
      <c r="B186" s="21" t="s">
        <v>23</v>
      </c>
      <c r="C186" s="21" t="s">
        <v>24</v>
      </c>
      <c r="D186" s="21" t="s">
        <v>25</v>
      </c>
      <c r="E186" s="21" t="s">
        <v>26</v>
      </c>
      <c r="F186" s="21" t="s">
        <v>27</v>
      </c>
      <c r="G186" s="21" t="s">
        <v>28</v>
      </c>
      <c r="H186" s="21" t="s">
        <v>29</v>
      </c>
    </row>
    <row r="187" ht="20" customHeight="1" spans="1:8" x14ac:dyDescent="0.25">
      <c r="A187" s="22" t="s">
        <v>30</v>
      </c>
      <c r="B187" s="22" t="s">
        <v>31</v>
      </c>
      <c r="C187" s="23" t="s">
        <v>71</v>
      </c>
      <c r="D187" s="6" t="s">
        <v>4</v>
      </c>
      <c r="E187" s="22" t="s">
        <v>348</v>
      </c>
      <c r="F187" s="22" t="s">
        <v>349</v>
      </c>
      <c r="G187" s="22" t="s">
        <v>350</v>
      </c>
      <c r="H187" s="29" t="s">
        <v>351</v>
      </c>
    </row>
    <row r="188" ht="20" customHeight="1" spans="1:8" x14ac:dyDescent="0.25">
      <c r="A188" s="24" t="s">
        <v>33</v>
      </c>
      <c r="B188" s="24" t="s">
        <v>34</v>
      </c>
      <c r="C188" s="25" t="s">
        <v>71</v>
      </c>
      <c r="D188" s="6" t="s">
        <v>4</v>
      </c>
      <c r="E188" s="24" t="s">
        <v>205</v>
      </c>
      <c r="F188" s="24" t="s">
        <v>352</v>
      </c>
      <c r="G188" s="24" t="s">
        <v>203</v>
      </c>
      <c r="H188" s="34" t="s">
        <v>207</v>
      </c>
    </row>
    <row r="189" ht="20" customHeight="1" spans="1:8" x14ac:dyDescent="0.25">
      <c r="A189" s="22" t="s">
        <v>35</v>
      </c>
      <c r="B189" s="22" t="s">
        <v>36</v>
      </c>
      <c r="C189" s="23" t="s">
        <v>71</v>
      </c>
      <c r="D189" s="6" t="s">
        <v>4</v>
      </c>
      <c r="E189" s="22" t="s">
        <v>185</v>
      </c>
      <c r="F189" s="22" t="s">
        <v>115</v>
      </c>
      <c r="G189" s="22" t="s">
        <v>290</v>
      </c>
      <c r="H189" s="29" t="s">
        <v>188</v>
      </c>
    </row>
    <row r="190" ht="20" customHeight="1" spans="1:8" x14ac:dyDescent="0.25">
      <c r="A190" s="24" t="s">
        <v>37</v>
      </c>
      <c r="B190" s="24" t="s">
        <v>38</v>
      </c>
      <c r="C190" s="25" t="s">
        <v>71</v>
      </c>
      <c r="D190" s="31" t="s">
        <v>11</v>
      </c>
      <c r="E190" s="24" t="s">
        <v>12</v>
      </c>
      <c r="F190" s="24" t="s">
        <v>12</v>
      </c>
      <c r="G190" s="24" t="s">
        <v>12</v>
      </c>
      <c r="H190" s="24" t="s">
        <v>32</v>
      </c>
    </row>
    <row r="191" ht="20" customHeight="1" spans="1:8" x14ac:dyDescent="0.25">
      <c r="A191" s="22" t="s">
        <v>39</v>
      </c>
      <c r="B191" s="22" t="s">
        <v>40</v>
      </c>
      <c r="C191" s="23" t="s">
        <v>71</v>
      </c>
      <c r="D191" s="6" t="s">
        <v>4</v>
      </c>
      <c r="E191" s="22" t="s">
        <v>353</v>
      </c>
      <c r="F191" s="22" t="s">
        <v>354</v>
      </c>
      <c r="G191" s="22" t="s">
        <v>187</v>
      </c>
      <c r="H191" s="29" t="s">
        <v>355</v>
      </c>
    </row>
    <row r="192" ht="20" customHeight="1" spans="1:8" x14ac:dyDescent="0.25">
      <c r="A192" s="24" t="s">
        <v>41</v>
      </c>
      <c r="B192" s="24" t="s">
        <v>42</v>
      </c>
      <c r="C192" s="25" t="s">
        <v>71</v>
      </c>
      <c r="D192" s="33" t="s">
        <v>86</v>
      </c>
      <c r="E192" s="24" t="s">
        <v>12</v>
      </c>
      <c r="F192" s="24" t="s">
        <v>12</v>
      </c>
      <c r="G192" s="24" t="s">
        <v>12</v>
      </c>
      <c r="H192" s="24" t="s">
        <v>32</v>
      </c>
    </row>
    <row r="193" ht="20" customHeight="1" spans="1:8" x14ac:dyDescent="0.25">
      <c r="A193" s="22" t="s">
        <v>44</v>
      </c>
      <c r="B193" s="22" t="s">
        <v>45</v>
      </c>
      <c r="C193" s="23" t="s">
        <v>71</v>
      </c>
      <c r="D193" s="6" t="s">
        <v>4</v>
      </c>
      <c r="E193" s="22" t="s">
        <v>356</v>
      </c>
      <c r="F193" s="22" t="s">
        <v>324</v>
      </c>
      <c r="G193" s="22" t="s">
        <v>232</v>
      </c>
      <c r="H193" s="29" t="s">
        <v>357</v>
      </c>
    </row>
    <row r="194" ht="20" customHeight="1" spans="1:8" x14ac:dyDescent="0.25">
      <c r="A194" s="24" t="s">
        <v>46</v>
      </c>
      <c r="B194" s="24" t="s">
        <v>31</v>
      </c>
      <c r="C194" s="25" t="s">
        <v>71</v>
      </c>
      <c r="D194" s="6" t="s">
        <v>4</v>
      </c>
      <c r="E194" s="24" t="s">
        <v>262</v>
      </c>
      <c r="F194" s="24" t="s">
        <v>358</v>
      </c>
      <c r="G194" s="24" t="s">
        <v>187</v>
      </c>
      <c r="H194" s="34" t="s">
        <v>264</v>
      </c>
    </row>
    <row r="195" ht="20" customHeight="1" spans="1:8" x14ac:dyDescent="0.25">
      <c r="A195" s="22" t="s">
        <v>47</v>
      </c>
      <c r="B195" s="22" t="s">
        <v>34</v>
      </c>
      <c r="C195" s="23" t="s">
        <v>71</v>
      </c>
      <c r="D195" s="6" t="s">
        <v>4</v>
      </c>
      <c r="E195" s="22" t="s">
        <v>359</v>
      </c>
      <c r="F195" s="22" t="s">
        <v>193</v>
      </c>
      <c r="G195" s="22" t="s">
        <v>259</v>
      </c>
      <c r="H195" s="29" t="s">
        <v>360</v>
      </c>
    </row>
    <row r="196" ht="20" customHeight="1" spans="1:8" x14ac:dyDescent="0.25">
      <c r="A196" s="24" t="s">
        <v>48</v>
      </c>
      <c r="B196" s="24" t="s">
        <v>36</v>
      </c>
      <c r="C196" s="25" t="s">
        <v>71</v>
      </c>
      <c r="D196" s="6" t="s">
        <v>4</v>
      </c>
      <c r="E196" s="24" t="s">
        <v>361</v>
      </c>
      <c r="F196" s="24" t="s">
        <v>321</v>
      </c>
      <c r="G196" s="24" t="s">
        <v>99</v>
      </c>
      <c r="H196" s="30" t="s">
        <v>79</v>
      </c>
    </row>
    <row r="197" ht="20" customHeight="1" spans="1:8" x14ac:dyDescent="0.25">
      <c r="A197" s="22" t="s">
        <v>49</v>
      </c>
      <c r="B197" s="22" t="s">
        <v>38</v>
      </c>
      <c r="C197" s="23" t="s">
        <v>71</v>
      </c>
      <c r="D197" s="6" t="s">
        <v>4</v>
      </c>
      <c r="E197" s="22" t="s">
        <v>362</v>
      </c>
      <c r="F197" s="22" t="s">
        <v>77</v>
      </c>
      <c r="G197" s="22" t="s">
        <v>299</v>
      </c>
      <c r="H197" s="32" t="s">
        <v>79</v>
      </c>
    </row>
    <row r="198" ht="20" customHeight="1" spans="1:8" x14ac:dyDescent="0.25">
      <c r="A198" s="24" t="s">
        <v>50</v>
      </c>
      <c r="B198" s="24" t="s">
        <v>40</v>
      </c>
      <c r="C198" s="25" t="s">
        <v>71</v>
      </c>
      <c r="D198" s="33" t="s">
        <v>86</v>
      </c>
      <c r="E198" s="24" t="s">
        <v>12</v>
      </c>
      <c r="F198" s="24" t="s">
        <v>12</v>
      </c>
      <c r="G198" s="24" t="s">
        <v>12</v>
      </c>
      <c r="H198" s="24" t="s">
        <v>32</v>
      </c>
    </row>
    <row r="199" ht="20" customHeight="1" spans="1:8" x14ac:dyDescent="0.25">
      <c r="A199" s="22" t="s">
        <v>51</v>
      </c>
      <c r="B199" s="22" t="s">
        <v>42</v>
      </c>
      <c r="C199" s="23" t="s">
        <v>71</v>
      </c>
      <c r="D199" s="35" t="s">
        <v>86</v>
      </c>
      <c r="E199" s="22" t="s">
        <v>12</v>
      </c>
      <c r="F199" s="22" t="s">
        <v>12</v>
      </c>
      <c r="G199" s="22" t="s">
        <v>12</v>
      </c>
      <c r="H199" s="22" t="s">
        <v>32</v>
      </c>
    </row>
    <row r="200" ht="20" customHeight="1" spans="1:8" x14ac:dyDescent="0.25">
      <c r="A200" s="24" t="s">
        <v>52</v>
      </c>
      <c r="B200" s="24" t="s">
        <v>45</v>
      </c>
      <c r="C200" s="25" t="s">
        <v>71</v>
      </c>
      <c r="D200" s="6" t="s">
        <v>4</v>
      </c>
      <c r="E200" s="24" t="s">
        <v>330</v>
      </c>
      <c r="F200" s="24" t="s">
        <v>245</v>
      </c>
      <c r="G200" s="24" t="s">
        <v>339</v>
      </c>
      <c r="H200" s="34" t="s">
        <v>333</v>
      </c>
    </row>
    <row r="201" ht="20" customHeight="1" spans="1:8" x14ac:dyDescent="0.25">
      <c r="A201" s="22" t="s">
        <v>53</v>
      </c>
      <c r="B201" s="22" t="s">
        <v>31</v>
      </c>
      <c r="C201" s="23" t="s">
        <v>71</v>
      </c>
      <c r="D201" s="6" t="s">
        <v>4</v>
      </c>
      <c r="E201" s="22" t="s">
        <v>156</v>
      </c>
      <c r="F201" s="22" t="s">
        <v>211</v>
      </c>
      <c r="G201" s="22" t="s">
        <v>99</v>
      </c>
      <c r="H201" s="29" t="s">
        <v>158</v>
      </c>
    </row>
    <row r="202" ht="20" customHeight="1" spans="1:8" x14ac:dyDescent="0.25">
      <c r="A202" s="24" t="s">
        <v>54</v>
      </c>
      <c r="B202" s="24" t="s">
        <v>34</v>
      </c>
      <c r="C202" s="25" t="s">
        <v>71</v>
      </c>
      <c r="D202" s="10" t="s">
        <v>87</v>
      </c>
      <c r="E202" s="24" t="s">
        <v>12</v>
      </c>
      <c r="F202" s="24" t="s">
        <v>12</v>
      </c>
      <c r="G202" s="24" t="s">
        <v>12</v>
      </c>
      <c r="H202" s="24" t="s">
        <v>32</v>
      </c>
    </row>
    <row r="203" ht="20" customHeight="1" spans="1:8" x14ac:dyDescent="0.25">
      <c r="A203" s="22" t="s">
        <v>55</v>
      </c>
      <c r="B203" s="22" t="s">
        <v>36</v>
      </c>
      <c r="C203" s="23" t="s">
        <v>71</v>
      </c>
      <c r="D203" s="6" t="s">
        <v>4</v>
      </c>
      <c r="E203" s="22" t="s">
        <v>189</v>
      </c>
      <c r="F203" s="22" t="s">
        <v>363</v>
      </c>
      <c r="G203" s="22" t="s">
        <v>261</v>
      </c>
      <c r="H203" s="29" t="s">
        <v>191</v>
      </c>
    </row>
    <row r="204" ht="20" customHeight="1" spans="1:8" x14ac:dyDescent="0.25">
      <c r="A204" s="24" t="s">
        <v>56</v>
      </c>
      <c r="B204" s="24" t="s">
        <v>38</v>
      </c>
      <c r="C204" s="25" t="s">
        <v>71</v>
      </c>
      <c r="D204" s="10" t="s">
        <v>87</v>
      </c>
      <c r="E204" s="24" t="s">
        <v>12</v>
      </c>
      <c r="F204" s="24" t="s">
        <v>12</v>
      </c>
      <c r="G204" s="24" t="s">
        <v>12</v>
      </c>
      <c r="H204" s="24" t="s">
        <v>32</v>
      </c>
    </row>
    <row r="205" ht="20" customHeight="1" spans="1:8" x14ac:dyDescent="0.25">
      <c r="A205" s="22" t="s">
        <v>57</v>
      </c>
      <c r="B205" s="22" t="s">
        <v>40</v>
      </c>
      <c r="C205" s="23" t="s">
        <v>71</v>
      </c>
      <c r="D205" s="6" t="s">
        <v>4</v>
      </c>
      <c r="E205" s="22" t="s">
        <v>364</v>
      </c>
      <c r="F205" s="22" t="s">
        <v>321</v>
      </c>
      <c r="G205" s="22" t="s">
        <v>187</v>
      </c>
      <c r="H205" s="32" t="s">
        <v>79</v>
      </c>
    </row>
    <row r="206" ht="20" customHeight="1" spans="1:8" x14ac:dyDescent="0.25">
      <c r="A206" s="24" t="s">
        <v>58</v>
      </c>
      <c r="B206" s="24" t="s">
        <v>42</v>
      </c>
      <c r="C206" s="25" t="s">
        <v>71</v>
      </c>
      <c r="D206" s="33" t="s">
        <v>86</v>
      </c>
      <c r="E206" s="24" t="s">
        <v>12</v>
      </c>
      <c r="F206" s="24" t="s">
        <v>12</v>
      </c>
      <c r="G206" s="24" t="s">
        <v>12</v>
      </c>
      <c r="H206" s="24" t="s">
        <v>32</v>
      </c>
    </row>
    <row r="207" ht="20" customHeight="1" spans="1:8" x14ac:dyDescent="0.25">
      <c r="A207" s="22" t="s">
        <v>59</v>
      </c>
      <c r="B207" s="22" t="s">
        <v>45</v>
      </c>
      <c r="C207" s="23" t="s">
        <v>71</v>
      </c>
      <c r="D207" s="6" t="s">
        <v>4</v>
      </c>
      <c r="E207" s="22" t="s">
        <v>365</v>
      </c>
      <c r="F207" s="22" t="s">
        <v>366</v>
      </c>
      <c r="G207" s="22" t="s">
        <v>367</v>
      </c>
      <c r="H207" s="29" t="s">
        <v>368</v>
      </c>
    </row>
    <row r="208" ht="20" customHeight="1" spans="1:8" x14ac:dyDescent="0.25">
      <c r="A208" s="24" t="s">
        <v>60</v>
      </c>
      <c r="B208" s="24" t="s">
        <v>31</v>
      </c>
      <c r="C208" s="25" t="s">
        <v>71</v>
      </c>
      <c r="D208" s="6" t="s">
        <v>4</v>
      </c>
      <c r="E208" s="24" t="s">
        <v>369</v>
      </c>
      <c r="F208" s="24" t="s">
        <v>370</v>
      </c>
      <c r="G208" s="24" t="s">
        <v>259</v>
      </c>
      <c r="H208" s="34" t="s">
        <v>371</v>
      </c>
    </row>
    <row r="209" ht="20" customHeight="1" spans="1:8" x14ac:dyDescent="0.25">
      <c r="A209" s="22" t="s">
        <v>61</v>
      </c>
      <c r="B209" s="22" t="s">
        <v>34</v>
      </c>
      <c r="C209" s="23" t="s">
        <v>71</v>
      </c>
      <c r="D209" s="6" t="s">
        <v>4</v>
      </c>
      <c r="E209" s="22" t="s">
        <v>372</v>
      </c>
      <c r="F209" s="22" t="s">
        <v>373</v>
      </c>
      <c r="G209" s="22" t="s">
        <v>130</v>
      </c>
      <c r="H209" s="32" t="s">
        <v>79</v>
      </c>
    </row>
    <row r="210" ht="20" customHeight="1" spans="1:8" x14ac:dyDescent="0.25">
      <c r="A210" s="24" t="s">
        <v>62</v>
      </c>
      <c r="B210" s="24" t="s">
        <v>36</v>
      </c>
      <c r="C210" s="25" t="s">
        <v>71</v>
      </c>
      <c r="D210" s="6" t="s">
        <v>4</v>
      </c>
      <c r="E210" s="24" t="s">
        <v>228</v>
      </c>
      <c r="F210" s="24" t="s">
        <v>243</v>
      </c>
      <c r="G210" s="24" t="s">
        <v>259</v>
      </c>
      <c r="H210" s="34" t="s">
        <v>229</v>
      </c>
    </row>
    <row r="211" ht="20" customHeight="1" spans="1:8" x14ac:dyDescent="0.25">
      <c r="A211" s="22" t="s">
        <v>63</v>
      </c>
      <c r="B211" s="22" t="s">
        <v>38</v>
      </c>
      <c r="C211" s="23" t="s">
        <v>71</v>
      </c>
      <c r="D211" s="6" t="s">
        <v>4</v>
      </c>
      <c r="E211" s="22" t="s">
        <v>361</v>
      </c>
      <c r="F211" s="22" t="s">
        <v>374</v>
      </c>
      <c r="G211" s="22" t="s">
        <v>259</v>
      </c>
      <c r="H211" s="32" t="s">
        <v>79</v>
      </c>
    </row>
    <row r="212" ht="20" customHeight="1" spans="1:8" x14ac:dyDescent="0.25">
      <c r="A212" s="24" t="s">
        <v>64</v>
      </c>
      <c r="B212" s="24" t="s">
        <v>40</v>
      </c>
      <c r="C212" s="25" t="s">
        <v>71</v>
      </c>
      <c r="D212" s="6" t="s">
        <v>4</v>
      </c>
      <c r="E212" s="24" t="s">
        <v>125</v>
      </c>
      <c r="F212" s="24" t="s">
        <v>321</v>
      </c>
      <c r="G212" s="24" t="s">
        <v>180</v>
      </c>
      <c r="H212" s="30" t="s">
        <v>79</v>
      </c>
    </row>
    <row r="213" ht="20" customHeight="1" spans="1:8" x14ac:dyDescent="0.25">
      <c r="A213" s="22" t="s">
        <v>65</v>
      </c>
      <c r="B213" s="22" t="s">
        <v>42</v>
      </c>
      <c r="C213" s="23" t="s">
        <v>71</v>
      </c>
      <c r="D213" s="35" t="s">
        <v>86</v>
      </c>
      <c r="E213" s="22" t="s">
        <v>12</v>
      </c>
      <c r="F213" s="22" t="s">
        <v>12</v>
      </c>
      <c r="G213" s="22" t="s">
        <v>12</v>
      </c>
      <c r="H213" s="22" t="s">
        <v>32</v>
      </c>
    </row>
    <row r="214" ht="20" customHeight="1" spans="1:8" x14ac:dyDescent="0.25">
      <c r="A214" s="24" t="s">
        <v>66</v>
      </c>
      <c r="B214" s="24" t="s">
        <v>45</v>
      </c>
      <c r="C214" s="25" t="s">
        <v>71</v>
      </c>
      <c r="D214" s="6" t="s">
        <v>4</v>
      </c>
      <c r="E214" s="24" t="s">
        <v>375</v>
      </c>
      <c r="F214" s="24" t="s">
        <v>376</v>
      </c>
      <c r="G214" s="24" t="s">
        <v>99</v>
      </c>
      <c r="H214" s="30" t="s">
        <v>79</v>
      </c>
    </row>
    <row r="215" ht="20" customHeight="1" spans="1:8" x14ac:dyDescent="0.25">
      <c r="A215" s="22" t="s">
        <v>67</v>
      </c>
      <c r="B215" s="22" t="s">
        <v>31</v>
      </c>
      <c r="C215" s="23" t="s">
        <v>71</v>
      </c>
      <c r="D215" s="6" t="s">
        <v>4</v>
      </c>
      <c r="E215" s="22" t="s">
        <v>377</v>
      </c>
      <c r="F215" s="22" t="s">
        <v>252</v>
      </c>
      <c r="G215" s="22" t="s">
        <v>81</v>
      </c>
      <c r="H215" s="29" t="s">
        <v>378</v>
      </c>
    </row>
    <row r="216" ht="20" customHeight="1" spans="1:8" x14ac:dyDescent="0.25">
      <c r="A216" s="24" t="s">
        <v>68</v>
      </c>
      <c r="B216" s="24" t="s">
        <v>34</v>
      </c>
      <c r="C216" s="25" t="s">
        <v>71</v>
      </c>
      <c r="D216" s="6" t="s">
        <v>4</v>
      </c>
      <c r="E216" s="24" t="s">
        <v>379</v>
      </c>
      <c r="F216" s="24" t="s">
        <v>376</v>
      </c>
      <c r="G216" s="24" t="s">
        <v>232</v>
      </c>
      <c r="H216" s="34" t="s">
        <v>380</v>
      </c>
    </row>
    <row r="217" ht="22" customHeight="1" spans="1:8" x14ac:dyDescent="0.25">
      <c r="A217" s="26" t="s">
        <v>69</v>
      </c>
      <c r="B217" s="26"/>
      <c r="C217" s="26"/>
      <c r="D217" s="26"/>
      <c r="E217" s="26"/>
      <c r="F217" s="26"/>
      <c r="G217" s="27" t="s">
        <v>381</v>
      </c>
      <c r="H217" s="28" t="s">
        <v>12</v>
      </c>
    </row>
    <row r="219" ht="26" customHeight="1" spans="1:8" x14ac:dyDescent="0.25">
      <c r="A219" s="20" t="s">
        <v>382</v>
      </c>
      <c r="B219" s="20"/>
      <c r="C219" s="20"/>
      <c r="D219" s="20"/>
      <c r="E219" s="20"/>
      <c r="F219" s="20"/>
      <c r="G219" s="20"/>
      <c r="H219" s="20"/>
    </row>
    <row r="220" ht="22" customHeight="1" spans="1:8" x14ac:dyDescent="0.25">
      <c r="A220" s="21" t="s">
        <v>22</v>
      </c>
      <c r="B220" s="21" t="s">
        <v>23</v>
      </c>
      <c r="C220" s="21" t="s">
        <v>24</v>
      </c>
      <c r="D220" s="21" t="s">
        <v>25</v>
      </c>
      <c r="E220" s="21" t="s">
        <v>26</v>
      </c>
      <c r="F220" s="21" t="s">
        <v>27</v>
      </c>
      <c r="G220" s="21" t="s">
        <v>28</v>
      </c>
      <c r="H220" s="21" t="s">
        <v>29</v>
      </c>
    </row>
    <row r="221" ht="20" customHeight="1" spans="1:8" x14ac:dyDescent="0.25">
      <c r="A221" s="22" t="s">
        <v>30</v>
      </c>
      <c r="B221" s="22" t="s">
        <v>31</v>
      </c>
      <c r="C221" s="23" t="s">
        <v>71</v>
      </c>
      <c r="D221" s="6" t="s">
        <v>4</v>
      </c>
      <c r="E221" s="22" t="s">
        <v>383</v>
      </c>
      <c r="F221" s="22" t="s">
        <v>321</v>
      </c>
      <c r="G221" s="22" t="s">
        <v>329</v>
      </c>
      <c r="H221" s="32" t="s">
        <v>79</v>
      </c>
    </row>
    <row r="222" ht="20" customHeight="1" spans="1:8" x14ac:dyDescent="0.25">
      <c r="A222" s="24" t="s">
        <v>33</v>
      </c>
      <c r="B222" s="24" t="s">
        <v>34</v>
      </c>
      <c r="C222" s="25" t="s">
        <v>71</v>
      </c>
      <c r="D222" s="6" t="s">
        <v>4</v>
      </c>
      <c r="E222" s="24" t="s">
        <v>383</v>
      </c>
      <c r="F222" s="24" t="s">
        <v>384</v>
      </c>
      <c r="G222" s="24" t="s">
        <v>99</v>
      </c>
      <c r="H222" s="30" t="s">
        <v>79</v>
      </c>
    </row>
    <row r="223" ht="20" customHeight="1" spans="1:8" x14ac:dyDescent="0.25">
      <c r="A223" s="22" t="s">
        <v>35</v>
      </c>
      <c r="B223" s="22" t="s">
        <v>36</v>
      </c>
      <c r="C223" s="23" t="s">
        <v>71</v>
      </c>
      <c r="D223" s="6" t="s">
        <v>4</v>
      </c>
      <c r="E223" s="22" t="s">
        <v>385</v>
      </c>
      <c r="F223" s="22" t="s">
        <v>386</v>
      </c>
      <c r="G223" s="22" t="s">
        <v>279</v>
      </c>
      <c r="H223" s="32" t="s">
        <v>79</v>
      </c>
    </row>
    <row r="224" ht="20" customHeight="1" spans="1:8" x14ac:dyDescent="0.25">
      <c r="A224" s="24" t="s">
        <v>37</v>
      </c>
      <c r="B224" s="24" t="s">
        <v>38</v>
      </c>
      <c r="C224" s="25" t="s">
        <v>71</v>
      </c>
      <c r="D224" s="31" t="s">
        <v>11</v>
      </c>
      <c r="E224" s="24" t="s">
        <v>12</v>
      </c>
      <c r="F224" s="24" t="s">
        <v>12</v>
      </c>
      <c r="G224" s="24" t="s">
        <v>12</v>
      </c>
      <c r="H224" s="24" t="s">
        <v>32</v>
      </c>
    </row>
    <row r="225" ht="20" customHeight="1" spans="1:8" x14ac:dyDescent="0.25">
      <c r="A225" s="22" t="s">
        <v>39</v>
      </c>
      <c r="B225" s="22" t="s">
        <v>40</v>
      </c>
      <c r="C225" s="23" t="s">
        <v>71</v>
      </c>
      <c r="D225" s="6" t="s">
        <v>4</v>
      </c>
      <c r="E225" s="22" t="s">
        <v>387</v>
      </c>
      <c r="F225" s="22" t="s">
        <v>386</v>
      </c>
      <c r="G225" s="22" t="s">
        <v>180</v>
      </c>
      <c r="H225" s="32" t="s">
        <v>79</v>
      </c>
    </row>
    <row r="226" ht="20" customHeight="1" spans="1:8" x14ac:dyDescent="0.25">
      <c r="A226" s="24" t="s">
        <v>41</v>
      </c>
      <c r="B226" s="24" t="s">
        <v>42</v>
      </c>
      <c r="C226" s="25" t="s">
        <v>71</v>
      </c>
      <c r="D226" s="33" t="s">
        <v>86</v>
      </c>
      <c r="E226" s="24" t="s">
        <v>12</v>
      </c>
      <c r="F226" s="24" t="s">
        <v>12</v>
      </c>
      <c r="G226" s="24" t="s">
        <v>12</v>
      </c>
      <c r="H226" s="24" t="s">
        <v>32</v>
      </c>
    </row>
    <row r="227" ht="20" customHeight="1" spans="1:8" x14ac:dyDescent="0.25">
      <c r="A227" s="22" t="s">
        <v>44</v>
      </c>
      <c r="B227" s="22" t="s">
        <v>45</v>
      </c>
      <c r="C227" s="23" t="s">
        <v>71</v>
      </c>
      <c r="D227" s="6" t="s">
        <v>4</v>
      </c>
      <c r="E227" s="22" t="s">
        <v>388</v>
      </c>
      <c r="F227" s="22" t="s">
        <v>389</v>
      </c>
      <c r="G227" s="22" t="s">
        <v>190</v>
      </c>
      <c r="H227" s="32" t="s">
        <v>79</v>
      </c>
    </row>
    <row r="228" ht="20" customHeight="1" spans="1:8" x14ac:dyDescent="0.25">
      <c r="A228" s="24" t="s">
        <v>46</v>
      </c>
      <c r="B228" s="24" t="s">
        <v>31</v>
      </c>
      <c r="C228" s="25" t="s">
        <v>71</v>
      </c>
      <c r="D228" s="6" t="s">
        <v>4</v>
      </c>
      <c r="E228" s="24" t="s">
        <v>390</v>
      </c>
      <c r="F228" s="24" t="s">
        <v>384</v>
      </c>
      <c r="G228" s="24" t="s">
        <v>180</v>
      </c>
      <c r="H228" s="30" t="s">
        <v>79</v>
      </c>
    </row>
    <row r="229" ht="20" customHeight="1" spans="1:8" x14ac:dyDescent="0.25">
      <c r="A229" s="22" t="s">
        <v>47</v>
      </c>
      <c r="B229" s="22" t="s">
        <v>34</v>
      </c>
      <c r="C229" s="23" t="s">
        <v>71</v>
      </c>
      <c r="D229" s="6" t="s">
        <v>4</v>
      </c>
      <c r="E229" s="22" t="s">
        <v>387</v>
      </c>
      <c r="F229" s="22" t="s">
        <v>136</v>
      </c>
      <c r="G229" s="22" t="s">
        <v>267</v>
      </c>
      <c r="H229" s="32" t="s">
        <v>79</v>
      </c>
    </row>
    <row r="230" ht="20" customHeight="1" spans="1:8" x14ac:dyDescent="0.25">
      <c r="A230" s="24" t="s">
        <v>48</v>
      </c>
      <c r="B230" s="24" t="s">
        <v>36</v>
      </c>
      <c r="C230" s="25" t="s">
        <v>71</v>
      </c>
      <c r="D230" s="6" t="s">
        <v>4</v>
      </c>
      <c r="E230" s="24" t="s">
        <v>391</v>
      </c>
      <c r="F230" s="24" t="s">
        <v>136</v>
      </c>
      <c r="G230" s="24" t="s">
        <v>206</v>
      </c>
      <c r="H230" s="30" t="s">
        <v>79</v>
      </c>
    </row>
    <row r="231" ht="20" customHeight="1" spans="1:8" x14ac:dyDescent="0.25">
      <c r="A231" s="22" t="s">
        <v>49</v>
      </c>
      <c r="B231" s="22" t="s">
        <v>38</v>
      </c>
      <c r="C231" s="23" t="s">
        <v>71</v>
      </c>
      <c r="D231" s="6" t="s">
        <v>4</v>
      </c>
      <c r="E231" s="22" t="s">
        <v>390</v>
      </c>
      <c r="F231" s="22" t="s">
        <v>136</v>
      </c>
      <c r="G231" s="22" t="s">
        <v>267</v>
      </c>
      <c r="H231" s="32" t="s">
        <v>79</v>
      </c>
    </row>
    <row r="232" ht="20" customHeight="1" spans="1:8" x14ac:dyDescent="0.25">
      <c r="A232" s="24" t="s">
        <v>50</v>
      </c>
      <c r="B232" s="24" t="s">
        <v>40</v>
      </c>
      <c r="C232" s="25" t="s">
        <v>71</v>
      </c>
      <c r="D232" s="33" t="s">
        <v>86</v>
      </c>
      <c r="E232" s="24" t="s">
        <v>12</v>
      </c>
      <c r="F232" s="24" t="s">
        <v>12</v>
      </c>
      <c r="G232" s="24" t="s">
        <v>12</v>
      </c>
      <c r="H232" s="24" t="s">
        <v>32</v>
      </c>
    </row>
    <row r="233" ht="20" customHeight="1" spans="1:8" x14ac:dyDescent="0.25">
      <c r="A233" s="22" t="s">
        <v>51</v>
      </c>
      <c r="B233" s="22" t="s">
        <v>42</v>
      </c>
      <c r="C233" s="23" t="s">
        <v>71</v>
      </c>
      <c r="D233" s="35" t="s">
        <v>86</v>
      </c>
      <c r="E233" s="22" t="s">
        <v>12</v>
      </c>
      <c r="F233" s="22" t="s">
        <v>12</v>
      </c>
      <c r="G233" s="22" t="s">
        <v>12</v>
      </c>
      <c r="H233" s="22" t="s">
        <v>32</v>
      </c>
    </row>
    <row r="234" ht="20" customHeight="1" spans="1:8" x14ac:dyDescent="0.25">
      <c r="A234" s="24" t="s">
        <v>52</v>
      </c>
      <c r="B234" s="24" t="s">
        <v>45</v>
      </c>
      <c r="C234" s="25" t="s">
        <v>71</v>
      </c>
      <c r="D234" s="6" t="s">
        <v>4</v>
      </c>
      <c r="E234" s="24" t="s">
        <v>392</v>
      </c>
      <c r="F234" s="24" t="s">
        <v>384</v>
      </c>
      <c r="G234" s="24" t="s">
        <v>393</v>
      </c>
      <c r="H234" s="34" t="s">
        <v>394</v>
      </c>
    </row>
    <row r="235" ht="20" customHeight="1" spans="1:8" x14ac:dyDescent="0.25">
      <c r="A235" s="22" t="s">
        <v>53</v>
      </c>
      <c r="B235" s="22" t="s">
        <v>31</v>
      </c>
      <c r="C235" s="23" t="s">
        <v>71</v>
      </c>
      <c r="D235" s="6" t="s">
        <v>4</v>
      </c>
      <c r="E235" s="22" t="s">
        <v>125</v>
      </c>
      <c r="F235" s="22" t="s">
        <v>395</v>
      </c>
      <c r="G235" s="22" t="s">
        <v>267</v>
      </c>
      <c r="H235" s="32" t="s">
        <v>79</v>
      </c>
    </row>
    <row r="236" ht="20" customHeight="1" spans="1:8" x14ac:dyDescent="0.25">
      <c r="A236" s="24" t="s">
        <v>54</v>
      </c>
      <c r="B236" s="24" t="s">
        <v>34</v>
      </c>
      <c r="C236" s="25" t="s">
        <v>71</v>
      </c>
      <c r="D236" s="6" t="s">
        <v>4</v>
      </c>
      <c r="E236" s="24" t="s">
        <v>300</v>
      </c>
      <c r="F236" s="24" t="s">
        <v>389</v>
      </c>
      <c r="G236" s="24" t="s">
        <v>396</v>
      </c>
      <c r="H236" s="30" t="s">
        <v>79</v>
      </c>
    </row>
    <row r="237" ht="20" customHeight="1" spans="1:8" x14ac:dyDescent="0.25">
      <c r="A237" s="22" t="s">
        <v>55</v>
      </c>
      <c r="B237" s="22" t="s">
        <v>36</v>
      </c>
      <c r="C237" s="23" t="s">
        <v>71</v>
      </c>
      <c r="D237" s="6" t="s">
        <v>4</v>
      </c>
      <c r="E237" s="22" t="s">
        <v>383</v>
      </c>
      <c r="F237" s="22" t="s">
        <v>384</v>
      </c>
      <c r="G237" s="22" t="s">
        <v>99</v>
      </c>
      <c r="H237" s="32" t="s">
        <v>79</v>
      </c>
    </row>
    <row r="238" ht="20" customHeight="1" spans="1:8" x14ac:dyDescent="0.25">
      <c r="A238" s="24" t="s">
        <v>56</v>
      </c>
      <c r="B238" s="24" t="s">
        <v>38</v>
      </c>
      <c r="C238" s="25" t="s">
        <v>71</v>
      </c>
      <c r="D238" s="6" t="s">
        <v>4</v>
      </c>
      <c r="E238" s="24" t="s">
        <v>230</v>
      </c>
      <c r="F238" s="24" t="s">
        <v>386</v>
      </c>
      <c r="G238" s="24" t="s">
        <v>339</v>
      </c>
      <c r="H238" s="34" t="s">
        <v>233</v>
      </c>
    </row>
    <row r="239" ht="20" customHeight="1" spans="1:8" x14ac:dyDescent="0.25">
      <c r="A239" s="22" t="s">
        <v>57</v>
      </c>
      <c r="B239" s="22" t="s">
        <v>40</v>
      </c>
      <c r="C239" s="23" t="s">
        <v>71</v>
      </c>
      <c r="D239" s="6" t="s">
        <v>4</v>
      </c>
      <c r="E239" s="22" t="s">
        <v>390</v>
      </c>
      <c r="F239" s="22" t="s">
        <v>136</v>
      </c>
      <c r="G239" s="22" t="s">
        <v>329</v>
      </c>
      <c r="H239" s="32" t="s">
        <v>79</v>
      </c>
    </row>
    <row r="240" ht="20" customHeight="1" spans="1:8" x14ac:dyDescent="0.25">
      <c r="A240" s="24" t="s">
        <v>58</v>
      </c>
      <c r="B240" s="24" t="s">
        <v>42</v>
      </c>
      <c r="C240" s="25" t="s">
        <v>71</v>
      </c>
      <c r="D240" s="33" t="s">
        <v>86</v>
      </c>
      <c r="E240" s="24" t="s">
        <v>12</v>
      </c>
      <c r="F240" s="24" t="s">
        <v>12</v>
      </c>
      <c r="G240" s="24" t="s">
        <v>12</v>
      </c>
      <c r="H240" s="24" t="s">
        <v>32</v>
      </c>
    </row>
    <row r="241" ht="20" customHeight="1" spans="1:8" x14ac:dyDescent="0.25">
      <c r="A241" s="22" t="s">
        <v>59</v>
      </c>
      <c r="B241" s="22" t="s">
        <v>45</v>
      </c>
      <c r="C241" s="23" t="s">
        <v>71</v>
      </c>
      <c r="D241" s="10" t="s">
        <v>87</v>
      </c>
      <c r="E241" s="22" t="s">
        <v>12</v>
      </c>
      <c r="F241" s="22" t="s">
        <v>12</v>
      </c>
      <c r="G241" s="22" t="s">
        <v>12</v>
      </c>
      <c r="H241" s="22" t="s">
        <v>32</v>
      </c>
    </row>
    <row r="242" ht="20" customHeight="1" spans="1:8" x14ac:dyDescent="0.25">
      <c r="A242" s="24" t="s">
        <v>60</v>
      </c>
      <c r="B242" s="24" t="s">
        <v>31</v>
      </c>
      <c r="C242" s="25" t="s">
        <v>71</v>
      </c>
      <c r="D242" s="6" t="s">
        <v>4</v>
      </c>
      <c r="E242" s="24" t="s">
        <v>387</v>
      </c>
      <c r="F242" s="24" t="s">
        <v>384</v>
      </c>
      <c r="G242" s="24" t="s">
        <v>329</v>
      </c>
      <c r="H242" s="30" t="s">
        <v>79</v>
      </c>
    </row>
    <row r="243" ht="20" customHeight="1" spans="1:8" x14ac:dyDescent="0.25">
      <c r="A243" s="22" t="s">
        <v>61</v>
      </c>
      <c r="B243" s="22" t="s">
        <v>34</v>
      </c>
      <c r="C243" s="23" t="s">
        <v>71</v>
      </c>
      <c r="D243" s="6" t="s">
        <v>4</v>
      </c>
      <c r="E243" s="22" t="s">
        <v>372</v>
      </c>
      <c r="F243" s="22" t="s">
        <v>321</v>
      </c>
      <c r="G243" s="22" t="s">
        <v>267</v>
      </c>
      <c r="H243" s="32" t="s">
        <v>79</v>
      </c>
    </row>
    <row r="244" ht="20" customHeight="1" spans="1:8" x14ac:dyDescent="0.25">
      <c r="A244" s="24" t="s">
        <v>62</v>
      </c>
      <c r="B244" s="24" t="s">
        <v>36</v>
      </c>
      <c r="C244" s="25" t="s">
        <v>71</v>
      </c>
      <c r="D244" s="6" t="s">
        <v>4</v>
      </c>
      <c r="E244" s="24" t="s">
        <v>361</v>
      </c>
      <c r="F244" s="24" t="s">
        <v>321</v>
      </c>
      <c r="G244" s="24" t="s">
        <v>99</v>
      </c>
      <c r="H244" s="30" t="s">
        <v>79</v>
      </c>
    </row>
    <row r="245" ht="20" customHeight="1" spans="1:8" x14ac:dyDescent="0.25">
      <c r="A245" s="22" t="s">
        <v>63</v>
      </c>
      <c r="B245" s="22" t="s">
        <v>38</v>
      </c>
      <c r="C245" s="23" t="s">
        <v>71</v>
      </c>
      <c r="D245" s="6" t="s">
        <v>4</v>
      </c>
      <c r="E245" s="22" t="s">
        <v>383</v>
      </c>
      <c r="F245" s="22" t="s">
        <v>237</v>
      </c>
      <c r="G245" s="22" t="s">
        <v>206</v>
      </c>
      <c r="H245" s="32" t="s">
        <v>79</v>
      </c>
    </row>
    <row r="246" ht="20" customHeight="1" spans="1:8" x14ac:dyDescent="0.25">
      <c r="A246" s="24" t="s">
        <v>64</v>
      </c>
      <c r="B246" s="24" t="s">
        <v>40</v>
      </c>
      <c r="C246" s="25" t="s">
        <v>71</v>
      </c>
      <c r="D246" s="6" t="s">
        <v>4</v>
      </c>
      <c r="E246" s="24" t="s">
        <v>397</v>
      </c>
      <c r="F246" s="24" t="s">
        <v>386</v>
      </c>
      <c r="G246" s="24" t="s">
        <v>161</v>
      </c>
      <c r="H246" s="30" t="s">
        <v>79</v>
      </c>
    </row>
    <row r="247" ht="20" customHeight="1" spans="1:8" x14ac:dyDescent="0.25">
      <c r="A247" s="22" t="s">
        <v>65</v>
      </c>
      <c r="B247" s="22" t="s">
        <v>42</v>
      </c>
      <c r="C247" s="23" t="s">
        <v>71</v>
      </c>
      <c r="D247" s="35" t="s">
        <v>86</v>
      </c>
      <c r="E247" s="22" t="s">
        <v>12</v>
      </c>
      <c r="F247" s="22" t="s">
        <v>12</v>
      </c>
      <c r="G247" s="22" t="s">
        <v>12</v>
      </c>
      <c r="H247" s="22" t="s">
        <v>32</v>
      </c>
    </row>
    <row r="248" ht="20" customHeight="1" spans="1:8" x14ac:dyDescent="0.25">
      <c r="A248" s="24" t="s">
        <v>66</v>
      </c>
      <c r="B248" s="24" t="s">
        <v>45</v>
      </c>
      <c r="C248" s="25" t="s">
        <v>71</v>
      </c>
      <c r="D248" s="6" t="s">
        <v>4</v>
      </c>
      <c r="E248" s="24" t="s">
        <v>311</v>
      </c>
      <c r="F248" s="24" t="s">
        <v>252</v>
      </c>
      <c r="G248" s="24" t="s">
        <v>291</v>
      </c>
      <c r="H248" s="30" t="s">
        <v>79</v>
      </c>
    </row>
    <row r="249" ht="20" customHeight="1" spans="1:8" x14ac:dyDescent="0.25">
      <c r="A249" s="22" t="s">
        <v>67</v>
      </c>
      <c r="B249" s="22" t="s">
        <v>31</v>
      </c>
      <c r="C249" s="23" t="s">
        <v>71</v>
      </c>
      <c r="D249" s="6" t="s">
        <v>4</v>
      </c>
      <c r="E249" s="22" t="s">
        <v>375</v>
      </c>
      <c r="F249" s="22" t="s">
        <v>398</v>
      </c>
      <c r="G249" s="22" t="s">
        <v>259</v>
      </c>
      <c r="H249" s="32" t="s">
        <v>79</v>
      </c>
    </row>
    <row r="250" ht="20" customHeight="1" spans="1:8" x14ac:dyDescent="0.25">
      <c r="A250" s="24" t="s">
        <v>68</v>
      </c>
      <c r="B250" s="24" t="s">
        <v>34</v>
      </c>
      <c r="C250" s="25" t="s">
        <v>71</v>
      </c>
      <c r="D250" s="6" t="s">
        <v>4</v>
      </c>
      <c r="E250" s="24" t="s">
        <v>311</v>
      </c>
      <c r="F250" s="24" t="s">
        <v>389</v>
      </c>
      <c r="G250" s="24" t="s">
        <v>161</v>
      </c>
      <c r="H250" s="30" t="s">
        <v>79</v>
      </c>
    </row>
    <row r="251" ht="22" customHeight="1" spans="1:8" x14ac:dyDescent="0.25">
      <c r="A251" s="26" t="s">
        <v>69</v>
      </c>
      <c r="B251" s="26"/>
      <c r="C251" s="26"/>
      <c r="D251" s="26"/>
      <c r="E251" s="26"/>
      <c r="F251" s="26"/>
      <c r="G251" s="27" t="s">
        <v>399</v>
      </c>
      <c r="H251" s="28" t="s">
        <v>12</v>
      </c>
    </row>
    <row r="253" ht="26" customHeight="1" spans="1:8" x14ac:dyDescent="0.25">
      <c r="A253" s="20" t="s">
        <v>400</v>
      </c>
      <c r="B253" s="20"/>
      <c r="C253" s="20"/>
      <c r="D253" s="20"/>
      <c r="E253" s="20"/>
      <c r="F253" s="20"/>
      <c r="G253" s="20"/>
      <c r="H253" s="20"/>
    </row>
    <row r="254" ht="22" customHeight="1" spans="1:8" x14ac:dyDescent="0.25">
      <c r="A254" s="21" t="s">
        <v>22</v>
      </c>
      <c r="B254" s="21" t="s">
        <v>23</v>
      </c>
      <c r="C254" s="21" t="s">
        <v>24</v>
      </c>
      <c r="D254" s="21" t="s">
        <v>25</v>
      </c>
      <c r="E254" s="21" t="s">
        <v>26</v>
      </c>
      <c r="F254" s="21" t="s">
        <v>27</v>
      </c>
      <c r="G254" s="21" t="s">
        <v>28</v>
      </c>
      <c r="H254" s="21" t="s">
        <v>29</v>
      </c>
    </row>
    <row r="255" ht="20" customHeight="1" spans="1:8" x14ac:dyDescent="0.25">
      <c r="A255" s="22" t="s">
        <v>30</v>
      </c>
      <c r="B255" s="22" t="s">
        <v>31</v>
      </c>
      <c r="C255" s="23" t="s">
        <v>71</v>
      </c>
      <c r="D255" s="6" t="s">
        <v>4</v>
      </c>
      <c r="E255" s="22" t="s">
        <v>401</v>
      </c>
      <c r="F255" s="22" t="s">
        <v>402</v>
      </c>
      <c r="G255" s="22" t="s">
        <v>281</v>
      </c>
      <c r="H255" s="32" t="s">
        <v>79</v>
      </c>
    </row>
    <row r="256" ht="20" customHeight="1" spans="1:8" x14ac:dyDescent="0.25">
      <c r="A256" s="24" t="s">
        <v>33</v>
      </c>
      <c r="B256" s="24" t="s">
        <v>34</v>
      </c>
      <c r="C256" s="25" t="s">
        <v>71</v>
      </c>
      <c r="D256" s="6" t="s">
        <v>4</v>
      </c>
      <c r="E256" s="24" t="s">
        <v>403</v>
      </c>
      <c r="F256" s="24" t="s">
        <v>404</v>
      </c>
      <c r="G256" s="24" t="s">
        <v>281</v>
      </c>
      <c r="H256" s="30" t="s">
        <v>79</v>
      </c>
    </row>
    <row r="257" ht="20" customHeight="1" spans="1:8" x14ac:dyDescent="0.25">
      <c r="A257" s="22" t="s">
        <v>35</v>
      </c>
      <c r="B257" s="22" t="s">
        <v>36</v>
      </c>
      <c r="C257" s="23" t="s">
        <v>71</v>
      </c>
      <c r="D257" s="6" t="s">
        <v>4</v>
      </c>
      <c r="E257" s="22" t="s">
        <v>405</v>
      </c>
      <c r="F257" s="22" t="s">
        <v>258</v>
      </c>
      <c r="G257" s="22" t="s">
        <v>406</v>
      </c>
      <c r="H257" s="32" t="s">
        <v>79</v>
      </c>
    </row>
    <row r="258" ht="20" customHeight="1" spans="1:8" x14ac:dyDescent="0.25">
      <c r="A258" s="24" t="s">
        <v>37</v>
      </c>
      <c r="B258" s="24" t="s">
        <v>38</v>
      </c>
      <c r="C258" s="25" t="s">
        <v>71</v>
      </c>
      <c r="D258" s="31" t="s">
        <v>11</v>
      </c>
      <c r="E258" s="24" t="s">
        <v>12</v>
      </c>
      <c r="F258" s="24" t="s">
        <v>12</v>
      </c>
      <c r="G258" s="24" t="s">
        <v>12</v>
      </c>
      <c r="H258" s="24" t="s">
        <v>32</v>
      </c>
    </row>
    <row r="259" ht="20" customHeight="1" spans="1:8" x14ac:dyDescent="0.25">
      <c r="A259" s="22" t="s">
        <v>39</v>
      </c>
      <c r="B259" s="22" t="s">
        <v>40</v>
      </c>
      <c r="C259" s="23" t="s">
        <v>71</v>
      </c>
      <c r="D259" s="6" t="s">
        <v>4</v>
      </c>
      <c r="E259" s="22" t="s">
        <v>405</v>
      </c>
      <c r="F259" s="22" t="s">
        <v>376</v>
      </c>
      <c r="G259" s="22" t="s">
        <v>407</v>
      </c>
      <c r="H259" s="32" t="s">
        <v>79</v>
      </c>
    </row>
    <row r="260" ht="20" customHeight="1" spans="1:8" x14ac:dyDescent="0.25">
      <c r="A260" s="24" t="s">
        <v>41</v>
      </c>
      <c r="B260" s="24" t="s">
        <v>42</v>
      </c>
      <c r="C260" s="25" t="s">
        <v>71</v>
      </c>
      <c r="D260" s="33" t="s">
        <v>86</v>
      </c>
      <c r="E260" s="24" t="s">
        <v>12</v>
      </c>
      <c r="F260" s="24" t="s">
        <v>12</v>
      </c>
      <c r="G260" s="24" t="s">
        <v>12</v>
      </c>
      <c r="H260" s="24" t="s">
        <v>32</v>
      </c>
    </row>
    <row r="261" ht="20" customHeight="1" spans="1:8" x14ac:dyDescent="0.25">
      <c r="A261" s="22" t="s">
        <v>44</v>
      </c>
      <c r="B261" s="22" t="s">
        <v>45</v>
      </c>
      <c r="C261" s="23" t="s">
        <v>71</v>
      </c>
      <c r="D261" s="6" t="s">
        <v>4</v>
      </c>
      <c r="E261" s="22" t="s">
        <v>390</v>
      </c>
      <c r="F261" s="22" t="s">
        <v>343</v>
      </c>
      <c r="G261" s="22" t="s">
        <v>119</v>
      </c>
      <c r="H261" s="32" t="s">
        <v>79</v>
      </c>
    </row>
    <row r="262" ht="20" customHeight="1" spans="1:8" x14ac:dyDescent="0.25">
      <c r="A262" s="24" t="s">
        <v>46</v>
      </c>
      <c r="B262" s="24" t="s">
        <v>31</v>
      </c>
      <c r="C262" s="25" t="s">
        <v>71</v>
      </c>
      <c r="D262" s="6" t="s">
        <v>4</v>
      </c>
      <c r="E262" s="24" t="s">
        <v>408</v>
      </c>
      <c r="F262" s="24" t="s">
        <v>298</v>
      </c>
      <c r="G262" s="24" t="s">
        <v>20</v>
      </c>
      <c r="H262" s="30" t="s">
        <v>79</v>
      </c>
    </row>
    <row r="263" ht="20" customHeight="1" spans="1:8" x14ac:dyDescent="0.25">
      <c r="A263" s="22" t="s">
        <v>47</v>
      </c>
      <c r="B263" s="22" t="s">
        <v>34</v>
      </c>
      <c r="C263" s="23" t="s">
        <v>71</v>
      </c>
      <c r="D263" s="6" t="s">
        <v>4</v>
      </c>
      <c r="E263" s="22" t="s">
        <v>311</v>
      </c>
      <c r="F263" s="22" t="s">
        <v>398</v>
      </c>
      <c r="G263" s="22" t="s">
        <v>130</v>
      </c>
      <c r="H263" s="32" t="s">
        <v>79</v>
      </c>
    </row>
    <row r="264" ht="20" customHeight="1" spans="1:8" x14ac:dyDescent="0.25">
      <c r="A264" s="24" t="s">
        <v>48</v>
      </c>
      <c r="B264" s="24" t="s">
        <v>36</v>
      </c>
      <c r="C264" s="25" t="s">
        <v>71</v>
      </c>
      <c r="D264" s="6" t="s">
        <v>4</v>
      </c>
      <c r="E264" s="24" t="s">
        <v>409</v>
      </c>
      <c r="F264" s="24" t="s">
        <v>354</v>
      </c>
      <c r="G264" s="24" t="s">
        <v>407</v>
      </c>
      <c r="H264" s="30" t="s">
        <v>79</v>
      </c>
    </row>
    <row r="265" ht="20" customHeight="1" spans="1:8" x14ac:dyDescent="0.25">
      <c r="A265" s="22" t="s">
        <v>49</v>
      </c>
      <c r="B265" s="22" t="s">
        <v>38</v>
      </c>
      <c r="C265" s="23" t="s">
        <v>71</v>
      </c>
      <c r="D265" s="6" t="s">
        <v>4</v>
      </c>
      <c r="E265" s="22" t="s">
        <v>409</v>
      </c>
      <c r="F265" s="22" t="s">
        <v>404</v>
      </c>
      <c r="G265" s="22" t="s">
        <v>396</v>
      </c>
      <c r="H265" s="32" t="s">
        <v>79</v>
      </c>
    </row>
    <row r="266" ht="20" customHeight="1" spans="1:8" x14ac:dyDescent="0.25">
      <c r="A266" s="24" t="s">
        <v>50</v>
      </c>
      <c r="B266" s="24" t="s">
        <v>40</v>
      </c>
      <c r="C266" s="25" t="s">
        <v>71</v>
      </c>
      <c r="D266" s="33" t="s">
        <v>86</v>
      </c>
      <c r="E266" s="24" t="s">
        <v>12</v>
      </c>
      <c r="F266" s="24" t="s">
        <v>12</v>
      </c>
      <c r="G266" s="24" t="s">
        <v>12</v>
      </c>
      <c r="H266" s="24" t="s">
        <v>32</v>
      </c>
    </row>
    <row r="267" ht="20" customHeight="1" spans="1:8" x14ac:dyDescent="0.25">
      <c r="A267" s="22" t="s">
        <v>51</v>
      </c>
      <c r="B267" s="22" t="s">
        <v>42</v>
      </c>
      <c r="C267" s="23" t="s">
        <v>71</v>
      </c>
      <c r="D267" s="35" t="s">
        <v>86</v>
      </c>
      <c r="E267" s="22" t="s">
        <v>12</v>
      </c>
      <c r="F267" s="22" t="s">
        <v>12</v>
      </c>
      <c r="G267" s="22" t="s">
        <v>12</v>
      </c>
      <c r="H267" s="22" t="s">
        <v>32</v>
      </c>
    </row>
    <row r="268" ht="20" customHeight="1" spans="1:8" x14ac:dyDescent="0.25">
      <c r="A268" s="24" t="s">
        <v>52</v>
      </c>
      <c r="B268" s="24" t="s">
        <v>45</v>
      </c>
      <c r="C268" s="25" t="s">
        <v>71</v>
      </c>
      <c r="D268" s="6" t="s">
        <v>4</v>
      </c>
      <c r="E268" s="24" t="s">
        <v>377</v>
      </c>
      <c r="F268" s="24" t="s">
        <v>301</v>
      </c>
      <c r="G268" s="24" t="s">
        <v>410</v>
      </c>
      <c r="H268" s="34" t="s">
        <v>378</v>
      </c>
    </row>
    <row r="269" ht="20" customHeight="1" spans="1:8" x14ac:dyDescent="0.25">
      <c r="A269" s="22" t="s">
        <v>53</v>
      </c>
      <c r="B269" s="22" t="s">
        <v>31</v>
      </c>
      <c r="C269" s="23" t="s">
        <v>71</v>
      </c>
      <c r="D269" s="6" t="s">
        <v>4</v>
      </c>
      <c r="E269" s="22" t="s">
        <v>383</v>
      </c>
      <c r="F269" s="22" t="s">
        <v>301</v>
      </c>
      <c r="G269" s="22" t="s">
        <v>119</v>
      </c>
      <c r="H269" s="32" t="s">
        <v>79</v>
      </c>
    </row>
    <row r="270" ht="20" customHeight="1" spans="1:8" x14ac:dyDescent="0.25">
      <c r="A270" s="24" t="s">
        <v>54</v>
      </c>
      <c r="B270" s="24" t="s">
        <v>34</v>
      </c>
      <c r="C270" s="25" t="s">
        <v>71</v>
      </c>
      <c r="D270" s="6" t="s">
        <v>4</v>
      </c>
      <c r="E270" s="24" t="s">
        <v>125</v>
      </c>
      <c r="F270" s="24" t="s">
        <v>235</v>
      </c>
      <c r="G270" s="24" t="s">
        <v>281</v>
      </c>
      <c r="H270" s="30" t="s">
        <v>79</v>
      </c>
    </row>
    <row r="271" ht="20" customHeight="1" spans="1:8" x14ac:dyDescent="0.25">
      <c r="A271" s="22" t="s">
        <v>55</v>
      </c>
      <c r="B271" s="22" t="s">
        <v>36</v>
      </c>
      <c r="C271" s="23" t="s">
        <v>71</v>
      </c>
      <c r="D271" s="6" t="s">
        <v>4</v>
      </c>
      <c r="E271" s="22" t="s">
        <v>403</v>
      </c>
      <c r="F271" s="22" t="s">
        <v>324</v>
      </c>
      <c r="G271" s="22" t="s">
        <v>81</v>
      </c>
      <c r="H271" s="32" t="s">
        <v>79</v>
      </c>
    </row>
    <row r="272" ht="20" customHeight="1" spans="1:8" x14ac:dyDescent="0.25">
      <c r="A272" s="24" t="s">
        <v>56</v>
      </c>
      <c r="B272" s="24" t="s">
        <v>38</v>
      </c>
      <c r="C272" s="25" t="s">
        <v>71</v>
      </c>
      <c r="D272" s="6" t="s">
        <v>4</v>
      </c>
      <c r="E272" s="24" t="s">
        <v>411</v>
      </c>
      <c r="F272" s="24" t="s">
        <v>412</v>
      </c>
      <c r="G272" s="24" t="s">
        <v>413</v>
      </c>
      <c r="H272" s="30" t="s">
        <v>79</v>
      </c>
    </row>
    <row r="273" ht="20" customHeight="1" spans="1:8" x14ac:dyDescent="0.25">
      <c r="A273" s="22" t="s">
        <v>57</v>
      </c>
      <c r="B273" s="22" t="s">
        <v>40</v>
      </c>
      <c r="C273" s="23" t="s">
        <v>71</v>
      </c>
      <c r="D273" s="6" t="s">
        <v>4</v>
      </c>
      <c r="E273" s="22" t="s">
        <v>387</v>
      </c>
      <c r="F273" s="22" t="s">
        <v>376</v>
      </c>
      <c r="G273" s="22" t="s">
        <v>285</v>
      </c>
      <c r="H273" s="32" t="s">
        <v>79</v>
      </c>
    </row>
    <row r="274" ht="20" customHeight="1" spans="1:8" x14ac:dyDescent="0.25">
      <c r="A274" s="24" t="s">
        <v>58</v>
      </c>
      <c r="B274" s="24" t="s">
        <v>42</v>
      </c>
      <c r="C274" s="25" t="s">
        <v>71</v>
      </c>
      <c r="D274" s="33" t="s">
        <v>86</v>
      </c>
      <c r="E274" s="24" t="s">
        <v>12</v>
      </c>
      <c r="F274" s="24" t="s">
        <v>12</v>
      </c>
      <c r="G274" s="24" t="s">
        <v>12</v>
      </c>
      <c r="H274" s="24" t="s">
        <v>32</v>
      </c>
    </row>
    <row r="275" ht="20" customHeight="1" spans="1:8" x14ac:dyDescent="0.25">
      <c r="A275" s="22" t="s">
        <v>59</v>
      </c>
      <c r="B275" s="22" t="s">
        <v>45</v>
      </c>
      <c r="C275" s="23" t="s">
        <v>71</v>
      </c>
      <c r="D275" s="6" t="s">
        <v>4</v>
      </c>
      <c r="E275" s="22" t="s">
        <v>364</v>
      </c>
      <c r="F275" s="22" t="s">
        <v>373</v>
      </c>
      <c r="G275" s="22" t="s">
        <v>99</v>
      </c>
      <c r="H275" s="32" t="s">
        <v>79</v>
      </c>
    </row>
    <row r="276" ht="20" customHeight="1" spans="1:8" x14ac:dyDescent="0.25">
      <c r="A276" s="24" t="s">
        <v>60</v>
      </c>
      <c r="B276" s="24" t="s">
        <v>31</v>
      </c>
      <c r="C276" s="25" t="s">
        <v>71</v>
      </c>
      <c r="D276" s="6" t="s">
        <v>4</v>
      </c>
      <c r="E276" s="24" t="s">
        <v>383</v>
      </c>
      <c r="F276" s="24" t="s">
        <v>324</v>
      </c>
      <c r="G276" s="24" t="s">
        <v>130</v>
      </c>
      <c r="H276" s="30" t="s">
        <v>79</v>
      </c>
    </row>
    <row r="277" ht="20" customHeight="1" spans="1:8" x14ac:dyDescent="0.25">
      <c r="A277" s="22" t="s">
        <v>61</v>
      </c>
      <c r="B277" s="22" t="s">
        <v>34</v>
      </c>
      <c r="C277" s="23" t="s">
        <v>71</v>
      </c>
      <c r="D277" s="6" t="s">
        <v>4</v>
      </c>
      <c r="E277" s="22" t="s">
        <v>125</v>
      </c>
      <c r="F277" s="22" t="s">
        <v>373</v>
      </c>
      <c r="G277" s="22" t="s">
        <v>410</v>
      </c>
      <c r="H277" s="32" t="s">
        <v>79</v>
      </c>
    </row>
    <row r="278" ht="20" customHeight="1" spans="1:8" x14ac:dyDescent="0.25">
      <c r="A278" s="24" t="s">
        <v>62</v>
      </c>
      <c r="B278" s="24" t="s">
        <v>36</v>
      </c>
      <c r="C278" s="25" t="s">
        <v>71</v>
      </c>
      <c r="D278" s="6" t="s">
        <v>4</v>
      </c>
      <c r="E278" s="24" t="s">
        <v>300</v>
      </c>
      <c r="F278" s="24" t="s">
        <v>255</v>
      </c>
      <c r="G278" s="24" t="s">
        <v>332</v>
      </c>
      <c r="H278" s="30" t="s">
        <v>79</v>
      </c>
    </row>
    <row r="279" ht="20" customHeight="1" spans="1:8" x14ac:dyDescent="0.25">
      <c r="A279" s="22" t="s">
        <v>63</v>
      </c>
      <c r="B279" s="22" t="s">
        <v>38</v>
      </c>
      <c r="C279" s="23" t="s">
        <v>71</v>
      </c>
      <c r="D279" s="6" t="s">
        <v>4</v>
      </c>
      <c r="E279" s="22" t="s">
        <v>311</v>
      </c>
      <c r="F279" s="22" t="s">
        <v>298</v>
      </c>
      <c r="G279" s="22" t="s">
        <v>407</v>
      </c>
      <c r="H279" s="32" t="s">
        <v>79</v>
      </c>
    </row>
    <row r="280" ht="20" customHeight="1" spans="1:8" x14ac:dyDescent="0.25">
      <c r="A280" s="24" t="s">
        <v>64</v>
      </c>
      <c r="B280" s="24" t="s">
        <v>40</v>
      </c>
      <c r="C280" s="25" t="s">
        <v>71</v>
      </c>
      <c r="D280" s="6" t="s">
        <v>4</v>
      </c>
      <c r="E280" s="24" t="s">
        <v>401</v>
      </c>
      <c r="F280" s="24" t="s">
        <v>237</v>
      </c>
      <c r="G280" s="24" t="s">
        <v>414</v>
      </c>
      <c r="H280" s="30" t="s">
        <v>79</v>
      </c>
    </row>
    <row r="281" ht="20" customHeight="1" spans="1:8" x14ac:dyDescent="0.25">
      <c r="A281" s="22" t="s">
        <v>65</v>
      </c>
      <c r="B281" s="22" t="s">
        <v>42</v>
      </c>
      <c r="C281" s="23" t="s">
        <v>71</v>
      </c>
      <c r="D281" s="35" t="s">
        <v>86</v>
      </c>
      <c r="E281" s="22" t="s">
        <v>12</v>
      </c>
      <c r="F281" s="22" t="s">
        <v>12</v>
      </c>
      <c r="G281" s="22" t="s">
        <v>12</v>
      </c>
      <c r="H281" s="22" t="s">
        <v>32</v>
      </c>
    </row>
    <row r="282" ht="20" customHeight="1" spans="1:8" x14ac:dyDescent="0.25">
      <c r="A282" s="24" t="s">
        <v>66</v>
      </c>
      <c r="B282" s="24" t="s">
        <v>45</v>
      </c>
      <c r="C282" s="25" t="s">
        <v>71</v>
      </c>
      <c r="D282" s="6" t="s">
        <v>4</v>
      </c>
      <c r="E282" s="24" t="s">
        <v>397</v>
      </c>
      <c r="F282" s="24" t="s">
        <v>398</v>
      </c>
      <c r="G282" s="24" t="s">
        <v>206</v>
      </c>
      <c r="H282" s="30" t="s">
        <v>79</v>
      </c>
    </row>
    <row r="283" ht="20" customHeight="1" spans="1:8" x14ac:dyDescent="0.25">
      <c r="A283" s="22" t="s">
        <v>67</v>
      </c>
      <c r="B283" s="22" t="s">
        <v>31</v>
      </c>
      <c r="C283" s="23" t="s">
        <v>71</v>
      </c>
      <c r="D283" s="6" t="s">
        <v>4</v>
      </c>
      <c r="E283" s="22" t="s">
        <v>411</v>
      </c>
      <c r="F283" s="22" t="s">
        <v>12</v>
      </c>
      <c r="G283" s="22" t="s">
        <v>12</v>
      </c>
      <c r="H283" s="32" t="s">
        <v>79</v>
      </c>
    </row>
    <row r="284" ht="20" customHeight="1" spans="1:8" x14ac:dyDescent="0.25">
      <c r="A284" s="24" t="s">
        <v>68</v>
      </c>
      <c r="B284" s="24" t="s">
        <v>34</v>
      </c>
      <c r="C284" s="25" t="s">
        <v>71</v>
      </c>
      <c r="D284" s="6" t="s">
        <v>4</v>
      </c>
      <c r="E284" s="24" t="s">
        <v>397</v>
      </c>
      <c r="F284" s="24" t="s">
        <v>298</v>
      </c>
      <c r="G284" s="24" t="s">
        <v>396</v>
      </c>
      <c r="H284" s="30" t="s">
        <v>79</v>
      </c>
    </row>
    <row r="285" ht="22" customHeight="1" spans="1:8" x14ac:dyDescent="0.25">
      <c r="A285" s="26" t="s">
        <v>69</v>
      </c>
      <c r="B285" s="26"/>
      <c r="C285" s="26"/>
      <c r="D285" s="26"/>
      <c r="E285" s="26"/>
      <c r="F285" s="26"/>
      <c r="G285" s="27" t="s">
        <v>415</v>
      </c>
      <c r="H285" s="28" t="s">
        <v>12</v>
      </c>
    </row>
  </sheetData>
  <mergeCells count="18">
    <mergeCell ref="A1:P1"/>
    <mergeCell ref="A2:P2"/>
    <mergeCell ref="A15:H15"/>
    <mergeCell ref="A47:F47"/>
    <mergeCell ref="A49:H49"/>
    <mergeCell ref="A81:F81"/>
    <mergeCell ref="A83:H83"/>
    <mergeCell ref="A115:F115"/>
    <mergeCell ref="A117:H117"/>
    <mergeCell ref="A149:F149"/>
    <mergeCell ref="A151:H151"/>
    <mergeCell ref="A183:F183"/>
    <mergeCell ref="A185:H185"/>
    <mergeCell ref="A217:F217"/>
    <mergeCell ref="A219:H219"/>
    <mergeCell ref="A251:F251"/>
    <mergeCell ref="A253:H253"/>
    <mergeCell ref="A285:F28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0"/>
  <sheetViews>
    <sheetView workbookViewId="0"/>
  </sheetViews>
  <sheetFormatPr defaultRowHeight="15" outlineLevelRow="0" outlineLevelCol="0" x14ac:dyDescent="55"/>
  <cols>
    <col min="1" max="1" width="28" customWidth="1"/>
    <col min="2" max="2" width="20" customWidth="1"/>
    <col min="3" max="4" width="13" customWidth="1"/>
    <col min="5" max="7" width="18" customWidth="1"/>
    <col min="8" max="10" width="14" customWidth="1"/>
    <col min="11" max="12" width="6" customWidth="1"/>
    <col min="13" max="13" width="28" customWidth="1"/>
    <col min="14" max="14" width="14" customWidth="1"/>
    <col min="15" max="16" width="18" customWidth="1"/>
  </cols>
  <sheetData>
    <row r="1" ht="30" customHeight="1" spans="1:16" x14ac:dyDescent="0.25">
      <c r="A1" s="1" t="s">
        <v>416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2" customHeight="1" spans="1:16" x14ac:dyDescent="0.25">
      <c r="A2" s="2" t="s">
        <v>417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26" customHeight="1" spans="1:1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</row>
    <row r="5" ht="22" customHeight="1" spans="1:16" x14ac:dyDescent="0.25">
      <c r="A5" s="4" t="s">
        <v>418</v>
      </c>
      <c r="B5" s="5">
        <v>29</v>
      </c>
      <c r="C5" s="6">
        <v>22</v>
      </c>
      <c r="D5" s="7">
        <v>0</v>
      </c>
      <c r="E5" s="8">
        <v>0</v>
      </c>
      <c r="F5" s="9">
        <v>0</v>
      </c>
      <c r="G5" s="10">
        <v>0</v>
      </c>
      <c r="H5" s="11">
        <v>1</v>
      </c>
      <c r="I5" s="12">
        <v>6</v>
      </c>
      <c r="J5" s="13">
        <v>1</v>
      </c>
      <c r="K5" s="14" t="s">
        <v>12</v>
      </c>
      <c r="L5" s="14" t="s">
        <v>12</v>
      </c>
      <c r="M5" s="15">
        <v>17</v>
      </c>
      <c r="N5" s="16">
        <v>0</v>
      </c>
      <c r="O5" s="17">
        <v>17</v>
      </c>
      <c r="P5" s="18" t="s">
        <v>147</v>
      </c>
    </row>
    <row r="6" ht="22" customHeight="1" spans="1:16" x14ac:dyDescent="0.25">
      <c r="A6" s="19" t="s">
        <v>419</v>
      </c>
      <c r="B6" s="5">
        <v>30</v>
      </c>
      <c r="C6" s="6">
        <v>22</v>
      </c>
      <c r="D6" s="7">
        <v>0</v>
      </c>
      <c r="E6" s="8">
        <v>0</v>
      </c>
      <c r="F6" s="9">
        <v>1</v>
      </c>
      <c r="G6" s="10">
        <v>1</v>
      </c>
      <c r="H6" s="11">
        <v>0</v>
      </c>
      <c r="I6" s="12">
        <v>6</v>
      </c>
      <c r="J6" s="13">
        <v>1</v>
      </c>
      <c r="K6" s="14" t="s">
        <v>12</v>
      </c>
      <c r="L6" s="14" t="s">
        <v>12</v>
      </c>
      <c r="M6" s="15">
        <v>20.5</v>
      </c>
      <c r="N6" s="16">
        <v>1</v>
      </c>
      <c r="O6" s="17">
        <v>19.5</v>
      </c>
      <c r="P6" s="18" t="s">
        <v>99</v>
      </c>
    </row>
    <row r="7" ht="22" customHeight="1" spans="1:16" x14ac:dyDescent="0.25">
      <c r="A7" s="4" t="s">
        <v>420</v>
      </c>
      <c r="B7" s="5">
        <v>30</v>
      </c>
      <c r="C7" s="6">
        <v>12</v>
      </c>
      <c r="D7" s="7">
        <v>0</v>
      </c>
      <c r="E7" s="8">
        <v>0</v>
      </c>
      <c r="F7" s="9">
        <v>14</v>
      </c>
      <c r="G7" s="10">
        <v>14</v>
      </c>
      <c r="H7" s="11">
        <v>0</v>
      </c>
      <c r="I7" s="12">
        <v>3</v>
      </c>
      <c r="J7" s="13">
        <v>1</v>
      </c>
      <c r="K7" s="14" t="s">
        <v>12</v>
      </c>
      <c r="L7" s="14" t="s">
        <v>12</v>
      </c>
      <c r="M7" s="15">
        <v>14</v>
      </c>
      <c r="N7" s="16">
        <v>14</v>
      </c>
      <c r="O7" s="17">
        <v>0</v>
      </c>
      <c r="P7" s="18" t="s">
        <v>232</v>
      </c>
    </row>
    <row r="8" ht="22" customHeight="1" spans="1:16" x14ac:dyDescent="0.25">
      <c r="A8" s="19" t="s">
        <v>421</v>
      </c>
      <c r="B8" s="5">
        <v>30</v>
      </c>
      <c r="C8" s="6">
        <v>22</v>
      </c>
      <c r="D8" s="7">
        <v>0</v>
      </c>
      <c r="E8" s="8">
        <v>0</v>
      </c>
      <c r="F8" s="9">
        <v>1</v>
      </c>
      <c r="G8" s="10">
        <v>1</v>
      </c>
      <c r="H8" s="11">
        <v>0</v>
      </c>
      <c r="I8" s="12">
        <v>6</v>
      </c>
      <c r="J8" s="13">
        <v>1</v>
      </c>
      <c r="K8" s="14" t="s">
        <v>12</v>
      </c>
      <c r="L8" s="14" t="s">
        <v>12</v>
      </c>
      <c r="M8" s="15">
        <v>17.5</v>
      </c>
      <c r="N8" s="16">
        <v>1</v>
      </c>
      <c r="O8" s="17">
        <v>16.5</v>
      </c>
      <c r="P8" s="18" t="s">
        <v>99</v>
      </c>
    </row>
    <row r="9" ht="22" customHeight="1" spans="1:16" x14ac:dyDescent="0.25">
      <c r="A9" s="4" t="s">
        <v>422</v>
      </c>
      <c r="B9" s="5">
        <v>30</v>
      </c>
      <c r="C9" s="6">
        <v>22</v>
      </c>
      <c r="D9" s="7">
        <v>0</v>
      </c>
      <c r="E9" s="8">
        <v>0</v>
      </c>
      <c r="F9" s="9">
        <v>1</v>
      </c>
      <c r="G9" s="10">
        <v>1</v>
      </c>
      <c r="H9" s="11">
        <v>0</v>
      </c>
      <c r="I9" s="12">
        <v>6</v>
      </c>
      <c r="J9" s="13">
        <v>1</v>
      </c>
      <c r="K9" s="14" t="s">
        <v>12</v>
      </c>
      <c r="L9" s="14" t="s">
        <v>12</v>
      </c>
      <c r="M9" s="15">
        <v>13</v>
      </c>
      <c r="N9" s="16">
        <v>1</v>
      </c>
      <c r="O9" s="17">
        <v>12</v>
      </c>
      <c r="P9" s="18" t="s">
        <v>99</v>
      </c>
    </row>
    <row r="10" ht="22" customHeight="1" spans="1:16" x14ac:dyDescent="0.25">
      <c r="A10" s="19" t="s">
        <v>423</v>
      </c>
      <c r="B10" s="5">
        <v>0</v>
      </c>
      <c r="C10" s="6">
        <v>0</v>
      </c>
      <c r="D10" s="7">
        <v>26</v>
      </c>
      <c r="E10" s="8">
        <v>0</v>
      </c>
      <c r="F10" s="9">
        <v>0</v>
      </c>
      <c r="G10" s="10">
        <v>0</v>
      </c>
      <c r="H10" s="11">
        <v>4</v>
      </c>
      <c r="I10" s="12">
        <v>0</v>
      </c>
      <c r="J10" s="13">
        <v>0</v>
      </c>
      <c r="K10" s="14" t="s">
        <v>12</v>
      </c>
      <c r="L10" s="14" t="s">
        <v>12</v>
      </c>
      <c r="M10" s="15">
        <v>0</v>
      </c>
      <c r="N10" s="16">
        <v>0</v>
      </c>
      <c r="O10" s="17">
        <v>0</v>
      </c>
      <c r="P10" s="18" t="s">
        <v>18</v>
      </c>
    </row>
    <row r="11" ht="22" customHeight="1" spans="1:16" x14ac:dyDescent="0.25">
      <c r="A11" s="4" t="s">
        <v>424</v>
      </c>
      <c r="B11" s="5">
        <v>30</v>
      </c>
      <c r="C11" s="6">
        <v>23</v>
      </c>
      <c r="D11" s="7">
        <v>0</v>
      </c>
      <c r="E11" s="8">
        <v>0</v>
      </c>
      <c r="F11" s="9">
        <v>0</v>
      </c>
      <c r="G11" s="10">
        <v>0</v>
      </c>
      <c r="H11" s="11">
        <v>0</v>
      </c>
      <c r="I11" s="12">
        <v>6</v>
      </c>
      <c r="J11" s="13">
        <v>1</v>
      </c>
      <c r="K11" s="14" t="s">
        <v>12</v>
      </c>
      <c r="L11" s="14" t="s">
        <v>12</v>
      </c>
      <c r="M11" s="15">
        <v>0</v>
      </c>
      <c r="N11" s="16">
        <v>0</v>
      </c>
      <c r="O11" s="17">
        <v>0</v>
      </c>
      <c r="P11" s="18" t="s">
        <v>414</v>
      </c>
    </row>
    <row r="12" ht="22" customHeight="1" spans="1:16" x14ac:dyDescent="0.25">
      <c r="A12" s="19" t="s">
        <v>425</v>
      </c>
      <c r="B12" s="5">
        <v>30</v>
      </c>
      <c r="C12" s="6">
        <v>23</v>
      </c>
      <c r="D12" s="7">
        <v>0</v>
      </c>
      <c r="E12" s="8">
        <v>0</v>
      </c>
      <c r="F12" s="9">
        <v>1</v>
      </c>
      <c r="G12" s="10">
        <v>1</v>
      </c>
      <c r="H12" s="11">
        <v>0</v>
      </c>
      <c r="I12" s="12">
        <v>5</v>
      </c>
      <c r="J12" s="13">
        <v>1</v>
      </c>
      <c r="K12" s="14" t="s">
        <v>12</v>
      </c>
      <c r="L12" s="14" t="s">
        <v>12</v>
      </c>
      <c r="M12" s="15">
        <v>13</v>
      </c>
      <c r="N12" s="16">
        <v>1</v>
      </c>
      <c r="O12" s="17">
        <v>12</v>
      </c>
      <c r="P12" s="18" t="s">
        <v>142</v>
      </c>
    </row>
    <row r="13" ht="22" customHeight="1" spans="1:16" x14ac:dyDescent="0.25">
      <c r="A13" s="4" t="s">
        <v>426</v>
      </c>
      <c r="B13" s="5">
        <v>30</v>
      </c>
      <c r="C13" s="6">
        <v>23</v>
      </c>
      <c r="D13" s="7">
        <v>0</v>
      </c>
      <c r="E13" s="8">
        <v>0</v>
      </c>
      <c r="F13" s="9">
        <v>0</v>
      </c>
      <c r="G13" s="10">
        <v>0</v>
      </c>
      <c r="H13" s="11">
        <v>0</v>
      </c>
      <c r="I13" s="12">
        <v>6</v>
      </c>
      <c r="J13" s="13">
        <v>1</v>
      </c>
      <c r="K13" s="14" t="s">
        <v>12</v>
      </c>
      <c r="L13" s="14" t="s">
        <v>12</v>
      </c>
      <c r="M13" s="15">
        <v>23</v>
      </c>
      <c r="N13" s="16">
        <v>0</v>
      </c>
      <c r="O13" s="17">
        <v>23</v>
      </c>
      <c r="P13" s="18" t="s">
        <v>142</v>
      </c>
    </row>
    <row r="14" ht="22" customHeight="1" spans="1:16" x14ac:dyDescent="0.25">
      <c r="A14" s="19" t="s">
        <v>427</v>
      </c>
      <c r="B14" s="5">
        <v>0</v>
      </c>
      <c r="C14" s="6">
        <v>0</v>
      </c>
      <c r="D14" s="7">
        <v>26</v>
      </c>
      <c r="E14" s="8">
        <v>0</v>
      </c>
      <c r="F14" s="9">
        <v>0</v>
      </c>
      <c r="G14" s="10">
        <v>0</v>
      </c>
      <c r="H14" s="11">
        <v>4</v>
      </c>
      <c r="I14" s="12">
        <v>0</v>
      </c>
      <c r="J14" s="13">
        <v>0</v>
      </c>
      <c r="K14" s="14" t="s">
        <v>12</v>
      </c>
      <c r="L14" s="14" t="s">
        <v>12</v>
      </c>
      <c r="M14" s="15">
        <v>0</v>
      </c>
      <c r="N14" s="16">
        <v>0</v>
      </c>
      <c r="O14" s="17">
        <v>0</v>
      </c>
      <c r="P14" s="18" t="s">
        <v>18</v>
      </c>
    </row>
    <row r="15" ht="22" customHeight="1" spans="1:16" x14ac:dyDescent="0.25">
      <c r="A15" s="4" t="s">
        <v>428</v>
      </c>
      <c r="B15" s="5">
        <v>29</v>
      </c>
      <c r="C15" s="6">
        <v>22</v>
      </c>
      <c r="D15" s="7">
        <v>0</v>
      </c>
      <c r="E15" s="8">
        <v>0</v>
      </c>
      <c r="F15" s="9">
        <v>0</v>
      </c>
      <c r="G15" s="10">
        <v>0</v>
      </c>
      <c r="H15" s="11">
        <v>1</v>
      </c>
      <c r="I15" s="12">
        <v>6</v>
      </c>
      <c r="J15" s="13">
        <v>1</v>
      </c>
      <c r="K15" s="14" t="s">
        <v>12</v>
      </c>
      <c r="L15" s="14" t="s">
        <v>12</v>
      </c>
      <c r="M15" s="15">
        <v>0</v>
      </c>
      <c r="N15" s="16">
        <v>0</v>
      </c>
      <c r="O15" s="17">
        <v>0</v>
      </c>
      <c r="P15" s="18" t="s">
        <v>429</v>
      </c>
    </row>
    <row r="16" ht="22" customHeight="1" spans="1:16" x14ac:dyDescent="0.25">
      <c r="A16" s="19" t="s">
        <v>430</v>
      </c>
      <c r="B16" s="5">
        <v>30</v>
      </c>
      <c r="C16" s="6">
        <v>22</v>
      </c>
      <c r="D16" s="7">
        <v>0</v>
      </c>
      <c r="E16" s="8">
        <v>2</v>
      </c>
      <c r="F16" s="9">
        <v>0</v>
      </c>
      <c r="G16" s="10">
        <v>1</v>
      </c>
      <c r="H16" s="11">
        <v>0</v>
      </c>
      <c r="I16" s="12">
        <v>6</v>
      </c>
      <c r="J16" s="13">
        <v>1</v>
      </c>
      <c r="K16" s="14" t="s">
        <v>12</v>
      </c>
      <c r="L16" s="14" t="s">
        <v>12</v>
      </c>
      <c r="M16" s="15">
        <v>8</v>
      </c>
      <c r="N16" s="16">
        <v>1</v>
      </c>
      <c r="O16" s="17">
        <v>7</v>
      </c>
      <c r="P16" s="18" t="s">
        <v>147</v>
      </c>
    </row>
    <row r="17" ht="22" customHeight="1" spans="1:16" x14ac:dyDescent="0.25">
      <c r="A17" s="4" t="s">
        <v>431</v>
      </c>
      <c r="B17" s="5">
        <v>30</v>
      </c>
      <c r="C17" s="6">
        <v>19</v>
      </c>
      <c r="D17" s="7">
        <v>0</v>
      </c>
      <c r="E17" s="8">
        <v>2</v>
      </c>
      <c r="F17" s="9">
        <v>3</v>
      </c>
      <c r="G17" s="10">
        <v>4</v>
      </c>
      <c r="H17" s="11">
        <v>0</v>
      </c>
      <c r="I17" s="12">
        <v>6</v>
      </c>
      <c r="J17" s="13">
        <v>1</v>
      </c>
      <c r="K17" s="14" t="s">
        <v>12</v>
      </c>
      <c r="L17" s="14" t="s">
        <v>12</v>
      </c>
      <c r="M17" s="15">
        <v>11</v>
      </c>
      <c r="N17" s="16">
        <v>4</v>
      </c>
      <c r="O17" s="17">
        <v>7</v>
      </c>
      <c r="P17" s="18" t="s">
        <v>142</v>
      </c>
    </row>
    <row r="20" ht="26" customHeight="1" spans="1:8" x14ac:dyDescent="0.25">
      <c r="A20" s="20" t="s">
        <v>432</v>
      </c>
      <c r="B20" s="20"/>
      <c r="C20" s="20"/>
      <c r="D20" s="20"/>
      <c r="E20" s="20"/>
      <c r="F20" s="20"/>
      <c r="G20" s="20"/>
      <c r="H20" s="20"/>
    </row>
    <row r="21" ht="22" customHeight="1" spans="1:8" x14ac:dyDescent="0.25">
      <c r="A21" s="21" t="s">
        <v>22</v>
      </c>
      <c r="B21" s="21" t="s">
        <v>23</v>
      </c>
      <c r="C21" s="21" t="s">
        <v>24</v>
      </c>
      <c r="D21" s="21" t="s">
        <v>25</v>
      </c>
      <c r="E21" s="21" t="s">
        <v>26</v>
      </c>
      <c r="F21" s="21" t="s">
        <v>27</v>
      </c>
      <c r="G21" s="21" t="s">
        <v>28</v>
      </c>
      <c r="H21" s="21" t="s">
        <v>29</v>
      </c>
    </row>
    <row r="22" ht="20" customHeight="1" spans="1:8" x14ac:dyDescent="0.25">
      <c r="A22" s="22" t="s">
        <v>30</v>
      </c>
      <c r="B22" s="22" t="s">
        <v>31</v>
      </c>
      <c r="C22" s="23" t="s">
        <v>71</v>
      </c>
      <c r="D22" s="6" t="s">
        <v>4</v>
      </c>
      <c r="E22" s="22" t="s">
        <v>403</v>
      </c>
      <c r="F22" s="22" t="s">
        <v>433</v>
      </c>
      <c r="G22" s="22" t="s">
        <v>259</v>
      </c>
      <c r="H22" s="32" t="s">
        <v>79</v>
      </c>
    </row>
    <row r="23" ht="20" customHeight="1" spans="1:8" x14ac:dyDescent="0.25">
      <c r="A23" s="24" t="s">
        <v>33</v>
      </c>
      <c r="B23" s="24" t="s">
        <v>34</v>
      </c>
      <c r="C23" s="25" t="s">
        <v>71</v>
      </c>
      <c r="D23" s="6" t="s">
        <v>4</v>
      </c>
      <c r="E23" s="24" t="s">
        <v>434</v>
      </c>
      <c r="F23" s="24" t="s">
        <v>373</v>
      </c>
      <c r="G23" s="24" t="s">
        <v>396</v>
      </c>
      <c r="H23" s="30" t="s">
        <v>79</v>
      </c>
    </row>
    <row r="24" ht="20" customHeight="1" spans="1:8" x14ac:dyDescent="0.25">
      <c r="A24" s="22" t="s">
        <v>35</v>
      </c>
      <c r="B24" s="22" t="s">
        <v>36</v>
      </c>
      <c r="C24" s="23" t="s">
        <v>71</v>
      </c>
      <c r="D24" s="6" t="s">
        <v>4</v>
      </c>
      <c r="E24" s="22" t="s">
        <v>401</v>
      </c>
      <c r="F24" s="22" t="s">
        <v>395</v>
      </c>
      <c r="G24" s="22" t="s">
        <v>194</v>
      </c>
      <c r="H24" s="32" t="s">
        <v>79</v>
      </c>
    </row>
    <row r="25" ht="20" customHeight="1" spans="1:8" x14ac:dyDescent="0.25">
      <c r="A25" s="24" t="s">
        <v>37</v>
      </c>
      <c r="B25" s="24" t="s">
        <v>38</v>
      </c>
      <c r="C25" s="25" t="s">
        <v>71</v>
      </c>
      <c r="D25" s="31" t="s">
        <v>11</v>
      </c>
      <c r="E25" s="24" t="s">
        <v>12</v>
      </c>
      <c r="F25" s="24" t="s">
        <v>12</v>
      </c>
      <c r="G25" s="24" t="s">
        <v>12</v>
      </c>
      <c r="H25" s="24" t="s">
        <v>32</v>
      </c>
    </row>
    <row r="26" ht="20" customHeight="1" spans="1:8" x14ac:dyDescent="0.25">
      <c r="A26" s="22" t="s">
        <v>39</v>
      </c>
      <c r="B26" s="22" t="s">
        <v>40</v>
      </c>
      <c r="C26" s="23" t="s">
        <v>71</v>
      </c>
      <c r="D26" s="6" t="s">
        <v>4</v>
      </c>
      <c r="E26" s="22" t="s">
        <v>401</v>
      </c>
      <c r="F26" s="22" t="s">
        <v>278</v>
      </c>
      <c r="G26" s="22" t="s">
        <v>259</v>
      </c>
      <c r="H26" s="32" t="s">
        <v>79</v>
      </c>
    </row>
    <row r="27" ht="20" customHeight="1" spans="1:8" x14ac:dyDescent="0.25">
      <c r="A27" s="24" t="s">
        <v>41</v>
      </c>
      <c r="B27" s="24" t="s">
        <v>42</v>
      </c>
      <c r="C27" s="25" t="s">
        <v>71</v>
      </c>
      <c r="D27" s="33" t="s">
        <v>86</v>
      </c>
      <c r="E27" s="24" t="s">
        <v>12</v>
      </c>
      <c r="F27" s="24" t="s">
        <v>12</v>
      </c>
      <c r="G27" s="24" t="s">
        <v>12</v>
      </c>
      <c r="H27" s="24" t="s">
        <v>32</v>
      </c>
    </row>
    <row r="28" ht="20" customHeight="1" spans="1:8" x14ac:dyDescent="0.25">
      <c r="A28" s="22" t="s">
        <v>44</v>
      </c>
      <c r="B28" s="22" t="s">
        <v>45</v>
      </c>
      <c r="C28" s="23" t="s">
        <v>71</v>
      </c>
      <c r="D28" s="6" t="s">
        <v>4</v>
      </c>
      <c r="E28" s="22" t="s">
        <v>403</v>
      </c>
      <c r="F28" s="22" t="s">
        <v>395</v>
      </c>
      <c r="G28" s="22" t="s">
        <v>410</v>
      </c>
      <c r="H28" s="32" t="s">
        <v>79</v>
      </c>
    </row>
    <row r="29" ht="20" customHeight="1" spans="1:8" x14ac:dyDescent="0.25">
      <c r="A29" s="24" t="s">
        <v>46</v>
      </c>
      <c r="B29" s="24" t="s">
        <v>31</v>
      </c>
      <c r="C29" s="25" t="s">
        <v>71</v>
      </c>
      <c r="D29" s="6" t="s">
        <v>4</v>
      </c>
      <c r="E29" s="24" t="s">
        <v>387</v>
      </c>
      <c r="F29" s="24" t="s">
        <v>136</v>
      </c>
      <c r="G29" s="24" t="s">
        <v>267</v>
      </c>
      <c r="H29" s="30" t="s">
        <v>79</v>
      </c>
    </row>
    <row r="30" ht="20" customHeight="1" spans="1:8" x14ac:dyDescent="0.25">
      <c r="A30" s="22" t="s">
        <v>47</v>
      </c>
      <c r="B30" s="22" t="s">
        <v>34</v>
      </c>
      <c r="C30" s="23" t="s">
        <v>71</v>
      </c>
      <c r="D30" s="6" t="s">
        <v>4</v>
      </c>
      <c r="E30" s="22" t="s">
        <v>435</v>
      </c>
      <c r="F30" s="22" t="s">
        <v>436</v>
      </c>
      <c r="G30" s="22" t="s">
        <v>142</v>
      </c>
      <c r="H30" s="32" t="s">
        <v>79</v>
      </c>
    </row>
    <row r="31" ht="20" customHeight="1" spans="1:8" x14ac:dyDescent="0.25">
      <c r="A31" s="24" t="s">
        <v>48</v>
      </c>
      <c r="B31" s="24" t="s">
        <v>36</v>
      </c>
      <c r="C31" s="25" t="s">
        <v>71</v>
      </c>
      <c r="D31" s="6" t="s">
        <v>4</v>
      </c>
      <c r="E31" s="24" t="s">
        <v>437</v>
      </c>
      <c r="F31" s="24" t="s">
        <v>436</v>
      </c>
      <c r="G31" s="24" t="s">
        <v>194</v>
      </c>
      <c r="H31" s="30" t="s">
        <v>79</v>
      </c>
    </row>
    <row r="32" ht="20" customHeight="1" spans="1:8" x14ac:dyDescent="0.25">
      <c r="A32" s="22" t="s">
        <v>49</v>
      </c>
      <c r="B32" s="22" t="s">
        <v>38</v>
      </c>
      <c r="C32" s="23" t="s">
        <v>71</v>
      </c>
      <c r="D32" s="6" t="s">
        <v>4</v>
      </c>
      <c r="E32" s="22" t="s">
        <v>391</v>
      </c>
      <c r="F32" s="22" t="s">
        <v>438</v>
      </c>
      <c r="G32" s="22" t="s">
        <v>259</v>
      </c>
      <c r="H32" s="32" t="s">
        <v>79</v>
      </c>
    </row>
    <row r="33" ht="20" customHeight="1" spans="1:8" x14ac:dyDescent="0.25">
      <c r="A33" s="24" t="s">
        <v>50</v>
      </c>
      <c r="B33" s="24" t="s">
        <v>40</v>
      </c>
      <c r="C33" s="25" t="s">
        <v>71</v>
      </c>
      <c r="D33" s="33" t="s">
        <v>86</v>
      </c>
      <c r="E33" s="24" t="s">
        <v>12</v>
      </c>
      <c r="F33" s="24" t="s">
        <v>12</v>
      </c>
      <c r="G33" s="24" t="s">
        <v>12</v>
      </c>
      <c r="H33" s="24" t="s">
        <v>32</v>
      </c>
    </row>
    <row r="34" ht="20" customHeight="1" spans="1:8" x14ac:dyDescent="0.25">
      <c r="A34" s="22" t="s">
        <v>51</v>
      </c>
      <c r="B34" s="22" t="s">
        <v>42</v>
      </c>
      <c r="C34" s="23" t="s">
        <v>71</v>
      </c>
      <c r="D34" s="35" t="s">
        <v>86</v>
      </c>
      <c r="E34" s="22" t="s">
        <v>12</v>
      </c>
      <c r="F34" s="22" t="s">
        <v>12</v>
      </c>
      <c r="G34" s="22" t="s">
        <v>12</v>
      </c>
      <c r="H34" s="22" t="s">
        <v>32</v>
      </c>
    </row>
    <row r="35" ht="20" customHeight="1" spans="1:8" x14ac:dyDescent="0.25">
      <c r="A35" s="24" t="s">
        <v>52</v>
      </c>
      <c r="B35" s="24" t="s">
        <v>45</v>
      </c>
      <c r="C35" s="25" t="s">
        <v>71</v>
      </c>
      <c r="D35" s="6" t="s">
        <v>4</v>
      </c>
      <c r="E35" s="24" t="s">
        <v>189</v>
      </c>
      <c r="F35" s="24" t="s">
        <v>439</v>
      </c>
      <c r="G35" s="24" t="s">
        <v>81</v>
      </c>
      <c r="H35" s="34" t="s">
        <v>191</v>
      </c>
    </row>
    <row r="36" ht="20" customHeight="1" spans="1:8" x14ac:dyDescent="0.25">
      <c r="A36" s="22" t="s">
        <v>53</v>
      </c>
      <c r="B36" s="22" t="s">
        <v>31</v>
      </c>
      <c r="C36" s="23" t="s">
        <v>71</v>
      </c>
      <c r="D36" s="6" t="s">
        <v>4</v>
      </c>
      <c r="E36" s="22" t="s">
        <v>391</v>
      </c>
      <c r="F36" s="22" t="s">
        <v>280</v>
      </c>
      <c r="G36" s="22" t="s">
        <v>142</v>
      </c>
      <c r="H36" s="32" t="s">
        <v>79</v>
      </c>
    </row>
    <row r="37" ht="20" customHeight="1" spans="1:8" x14ac:dyDescent="0.25">
      <c r="A37" s="24" t="s">
        <v>54</v>
      </c>
      <c r="B37" s="24" t="s">
        <v>34</v>
      </c>
      <c r="C37" s="25" t="s">
        <v>71</v>
      </c>
      <c r="D37" s="6" t="s">
        <v>4</v>
      </c>
      <c r="E37" s="24" t="s">
        <v>383</v>
      </c>
      <c r="F37" s="24" t="s">
        <v>157</v>
      </c>
      <c r="G37" s="24" t="s">
        <v>440</v>
      </c>
      <c r="H37" s="30" t="s">
        <v>79</v>
      </c>
    </row>
    <row r="38" ht="20" customHeight="1" spans="1:8" x14ac:dyDescent="0.25">
      <c r="A38" s="22" t="s">
        <v>55</v>
      </c>
      <c r="B38" s="22" t="s">
        <v>36</v>
      </c>
      <c r="C38" s="23" t="s">
        <v>71</v>
      </c>
      <c r="D38" s="6" t="s">
        <v>4</v>
      </c>
      <c r="E38" s="22" t="s">
        <v>125</v>
      </c>
      <c r="F38" s="22" t="s">
        <v>386</v>
      </c>
      <c r="G38" s="22" t="s">
        <v>267</v>
      </c>
      <c r="H38" s="32" t="s">
        <v>79</v>
      </c>
    </row>
    <row r="39" ht="20" customHeight="1" spans="1:8" x14ac:dyDescent="0.25">
      <c r="A39" s="24" t="s">
        <v>56</v>
      </c>
      <c r="B39" s="24" t="s">
        <v>38</v>
      </c>
      <c r="C39" s="25" t="s">
        <v>71</v>
      </c>
      <c r="D39" s="16" t="s">
        <v>43</v>
      </c>
      <c r="E39" s="24" t="s">
        <v>12</v>
      </c>
      <c r="F39" s="24" t="s">
        <v>12</v>
      </c>
      <c r="G39" s="24" t="s">
        <v>12</v>
      </c>
      <c r="H39" s="24" t="s">
        <v>32</v>
      </c>
    </row>
    <row r="40" ht="20" customHeight="1" spans="1:8" x14ac:dyDescent="0.25">
      <c r="A40" s="22" t="s">
        <v>57</v>
      </c>
      <c r="B40" s="22" t="s">
        <v>40</v>
      </c>
      <c r="C40" s="23" t="s">
        <v>71</v>
      </c>
      <c r="D40" s="6" t="s">
        <v>4</v>
      </c>
      <c r="E40" s="22" t="s">
        <v>284</v>
      </c>
      <c r="F40" s="22" t="s">
        <v>317</v>
      </c>
      <c r="G40" s="22" t="s">
        <v>194</v>
      </c>
      <c r="H40" s="32" t="s">
        <v>79</v>
      </c>
    </row>
    <row r="41" ht="20" customHeight="1" spans="1:8" x14ac:dyDescent="0.25">
      <c r="A41" s="24" t="s">
        <v>58</v>
      </c>
      <c r="B41" s="24" t="s">
        <v>42</v>
      </c>
      <c r="C41" s="25" t="s">
        <v>71</v>
      </c>
      <c r="D41" s="33" t="s">
        <v>86</v>
      </c>
      <c r="E41" s="24" t="s">
        <v>12</v>
      </c>
      <c r="F41" s="24" t="s">
        <v>12</v>
      </c>
      <c r="G41" s="24" t="s">
        <v>12</v>
      </c>
      <c r="H41" s="24" t="s">
        <v>32</v>
      </c>
    </row>
    <row r="42" ht="20" customHeight="1" spans="1:8" x14ac:dyDescent="0.25">
      <c r="A42" s="22" t="s">
        <v>59</v>
      </c>
      <c r="B42" s="22" t="s">
        <v>45</v>
      </c>
      <c r="C42" s="23" t="s">
        <v>71</v>
      </c>
      <c r="D42" s="6" t="s">
        <v>4</v>
      </c>
      <c r="E42" s="22" t="s">
        <v>441</v>
      </c>
      <c r="F42" s="22" t="s">
        <v>442</v>
      </c>
      <c r="G42" s="22" t="s">
        <v>329</v>
      </c>
      <c r="H42" s="32" t="s">
        <v>79</v>
      </c>
    </row>
    <row r="43" ht="20" customHeight="1" spans="1:8" x14ac:dyDescent="0.25">
      <c r="A43" s="24" t="s">
        <v>60</v>
      </c>
      <c r="B43" s="24" t="s">
        <v>31</v>
      </c>
      <c r="C43" s="25" t="s">
        <v>71</v>
      </c>
      <c r="D43" s="6" t="s">
        <v>4</v>
      </c>
      <c r="E43" s="24" t="s">
        <v>443</v>
      </c>
      <c r="F43" s="24" t="s">
        <v>444</v>
      </c>
      <c r="G43" s="24" t="s">
        <v>99</v>
      </c>
      <c r="H43" s="34" t="s">
        <v>445</v>
      </c>
    </row>
    <row r="44" ht="20" customHeight="1" spans="1:8" x14ac:dyDescent="0.25">
      <c r="A44" s="22" t="s">
        <v>61</v>
      </c>
      <c r="B44" s="22" t="s">
        <v>34</v>
      </c>
      <c r="C44" s="23" t="s">
        <v>71</v>
      </c>
      <c r="D44" s="6" t="s">
        <v>4</v>
      </c>
      <c r="E44" s="22" t="s">
        <v>446</v>
      </c>
      <c r="F44" s="22" t="s">
        <v>447</v>
      </c>
      <c r="G44" s="22" t="s">
        <v>329</v>
      </c>
      <c r="H44" s="32" t="s">
        <v>79</v>
      </c>
    </row>
    <row r="45" ht="20" customHeight="1" spans="1:8" x14ac:dyDescent="0.25">
      <c r="A45" s="24" t="s">
        <v>62</v>
      </c>
      <c r="B45" s="24" t="s">
        <v>36</v>
      </c>
      <c r="C45" s="25" t="s">
        <v>71</v>
      </c>
      <c r="D45" s="6" t="s">
        <v>4</v>
      </c>
      <c r="E45" s="24" t="s">
        <v>441</v>
      </c>
      <c r="F45" s="24" t="s">
        <v>136</v>
      </c>
      <c r="G45" s="24" t="s">
        <v>177</v>
      </c>
      <c r="H45" s="30" t="s">
        <v>79</v>
      </c>
    </row>
    <row r="46" ht="20" customHeight="1" spans="1:8" x14ac:dyDescent="0.25">
      <c r="A46" s="22" t="s">
        <v>63</v>
      </c>
      <c r="B46" s="22" t="s">
        <v>38</v>
      </c>
      <c r="C46" s="23" t="s">
        <v>71</v>
      </c>
      <c r="D46" s="6" t="s">
        <v>4</v>
      </c>
      <c r="E46" s="22" t="s">
        <v>284</v>
      </c>
      <c r="F46" s="22" t="s">
        <v>442</v>
      </c>
      <c r="G46" s="22" t="s">
        <v>267</v>
      </c>
      <c r="H46" s="32" t="s">
        <v>79</v>
      </c>
    </row>
    <row r="47" ht="20" customHeight="1" spans="1:8" x14ac:dyDescent="0.25">
      <c r="A47" s="24" t="s">
        <v>64</v>
      </c>
      <c r="B47" s="24" t="s">
        <v>40</v>
      </c>
      <c r="C47" s="25" t="s">
        <v>71</v>
      </c>
      <c r="D47" s="33" t="s">
        <v>86</v>
      </c>
      <c r="E47" s="24" t="s">
        <v>12</v>
      </c>
      <c r="F47" s="24" t="s">
        <v>12</v>
      </c>
      <c r="G47" s="24" t="s">
        <v>12</v>
      </c>
      <c r="H47" s="24" t="s">
        <v>32</v>
      </c>
    </row>
    <row r="48" ht="20" customHeight="1" spans="1:8" x14ac:dyDescent="0.25">
      <c r="A48" s="22" t="s">
        <v>65</v>
      </c>
      <c r="B48" s="22" t="s">
        <v>42</v>
      </c>
      <c r="C48" s="23" t="s">
        <v>71</v>
      </c>
      <c r="D48" s="35" t="s">
        <v>86</v>
      </c>
      <c r="E48" s="22" t="s">
        <v>12</v>
      </c>
      <c r="F48" s="22" t="s">
        <v>12</v>
      </c>
      <c r="G48" s="22" t="s">
        <v>12</v>
      </c>
      <c r="H48" s="22" t="s">
        <v>32</v>
      </c>
    </row>
    <row r="49" ht="20" customHeight="1" spans="1:8" x14ac:dyDescent="0.25">
      <c r="A49" s="24" t="s">
        <v>66</v>
      </c>
      <c r="B49" s="24" t="s">
        <v>45</v>
      </c>
      <c r="C49" s="25" t="s">
        <v>71</v>
      </c>
      <c r="D49" s="6" t="s">
        <v>4</v>
      </c>
      <c r="E49" s="24" t="s">
        <v>405</v>
      </c>
      <c r="F49" s="24" t="s">
        <v>317</v>
      </c>
      <c r="G49" s="24" t="s">
        <v>99</v>
      </c>
      <c r="H49" s="30" t="s">
        <v>79</v>
      </c>
    </row>
    <row r="50" ht="20" customHeight="1" spans="1:8" x14ac:dyDescent="0.25">
      <c r="A50" s="22" t="s">
        <v>67</v>
      </c>
      <c r="B50" s="22" t="s">
        <v>31</v>
      </c>
      <c r="C50" s="23" t="s">
        <v>71</v>
      </c>
      <c r="D50" s="6" t="s">
        <v>4</v>
      </c>
      <c r="E50" s="22" t="s">
        <v>300</v>
      </c>
      <c r="F50" s="22" t="s">
        <v>447</v>
      </c>
      <c r="G50" s="22" t="s">
        <v>180</v>
      </c>
      <c r="H50" s="32" t="s">
        <v>79</v>
      </c>
    </row>
    <row r="51" ht="20" customHeight="1" spans="1:8" x14ac:dyDescent="0.25">
      <c r="A51" s="24" t="s">
        <v>68</v>
      </c>
      <c r="B51" s="24" t="s">
        <v>34</v>
      </c>
      <c r="C51" s="25" t="s">
        <v>71</v>
      </c>
      <c r="D51" s="6" t="s">
        <v>4</v>
      </c>
      <c r="E51" s="24" t="s">
        <v>446</v>
      </c>
      <c r="F51" s="24" t="s">
        <v>448</v>
      </c>
      <c r="G51" s="24" t="s">
        <v>329</v>
      </c>
      <c r="H51" s="30" t="s">
        <v>79</v>
      </c>
    </row>
    <row r="52" ht="22" customHeight="1" spans="1:8" x14ac:dyDescent="0.25">
      <c r="A52" s="26" t="s">
        <v>69</v>
      </c>
      <c r="B52" s="26"/>
      <c r="C52" s="26"/>
      <c r="D52" s="26"/>
      <c r="E52" s="26"/>
      <c r="F52" s="26"/>
      <c r="G52" s="27" t="s">
        <v>449</v>
      </c>
      <c r="H52" s="28" t="s">
        <v>12</v>
      </c>
    </row>
    <row r="54" ht="26" customHeight="1" spans="1:8" x14ac:dyDescent="0.25">
      <c r="A54" s="20" t="s">
        <v>450</v>
      </c>
      <c r="B54" s="20"/>
      <c r="C54" s="20"/>
      <c r="D54" s="20"/>
      <c r="E54" s="20"/>
      <c r="F54" s="20"/>
      <c r="G54" s="20"/>
      <c r="H54" s="20"/>
    </row>
    <row r="55" ht="22" customHeight="1" spans="1:8" x14ac:dyDescent="0.25">
      <c r="A55" s="21" t="s">
        <v>22</v>
      </c>
      <c r="B55" s="21" t="s">
        <v>23</v>
      </c>
      <c r="C55" s="21" t="s">
        <v>24</v>
      </c>
      <c r="D55" s="21" t="s">
        <v>25</v>
      </c>
      <c r="E55" s="21" t="s">
        <v>26</v>
      </c>
      <c r="F55" s="21" t="s">
        <v>27</v>
      </c>
      <c r="G55" s="21" t="s">
        <v>28</v>
      </c>
      <c r="H55" s="21" t="s">
        <v>29</v>
      </c>
    </row>
    <row r="56" ht="20" customHeight="1" spans="1:8" x14ac:dyDescent="0.25">
      <c r="A56" s="22" t="s">
        <v>30</v>
      </c>
      <c r="B56" s="22" t="s">
        <v>31</v>
      </c>
      <c r="C56" s="23" t="s">
        <v>71</v>
      </c>
      <c r="D56" s="6" t="s">
        <v>4</v>
      </c>
      <c r="E56" s="22" t="s">
        <v>451</v>
      </c>
      <c r="F56" s="22" t="s">
        <v>452</v>
      </c>
      <c r="G56" s="22" t="s">
        <v>367</v>
      </c>
      <c r="H56" s="29" t="s">
        <v>453</v>
      </c>
    </row>
    <row r="57" ht="20" customHeight="1" spans="1:8" x14ac:dyDescent="0.25">
      <c r="A57" s="24" t="s">
        <v>33</v>
      </c>
      <c r="B57" s="24" t="s">
        <v>34</v>
      </c>
      <c r="C57" s="25" t="s">
        <v>71</v>
      </c>
      <c r="D57" s="6" t="s">
        <v>4</v>
      </c>
      <c r="E57" s="24" t="s">
        <v>454</v>
      </c>
      <c r="F57" s="24" t="s">
        <v>455</v>
      </c>
      <c r="G57" s="24" t="s">
        <v>267</v>
      </c>
      <c r="H57" s="34" t="s">
        <v>456</v>
      </c>
    </row>
    <row r="58" ht="20" customHeight="1" spans="1:8" x14ac:dyDescent="0.25">
      <c r="A58" s="22" t="s">
        <v>35</v>
      </c>
      <c r="B58" s="22" t="s">
        <v>36</v>
      </c>
      <c r="C58" s="23" t="s">
        <v>71</v>
      </c>
      <c r="D58" s="10" t="s">
        <v>87</v>
      </c>
      <c r="E58" s="22" t="s">
        <v>12</v>
      </c>
      <c r="F58" s="22" t="s">
        <v>12</v>
      </c>
      <c r="G58" s="22" t="s">
        <v>12</v>
      </c>
      <c r="H58" s="22" t="s">
        <v>32</v>
      </c>
    </row>
    <row r="59" ht="20" customHeight="1" spans="1:8" x14ac:dyDescent="0.25">
      <c r="A59" s="24" t="s">
        <v>37</v>
      </c>
      <c r="B59" s="24" t="s">
        <v>38</v>
      </c>
      <c r="C59" s="25" t="s">
        <v>71</v>
      </c>
      <c r="D59" s="31" t="s">
        <v>11</v>
      </c>
      <c r="E59" s="24" t="s">
        <v>12</v>
      </c>
      <c r="F59" s="24" t="s">
        <v>12</v>
      </c>
      <c r="G59" s="24" t="s">
        <v>12</v>
      </c>
      <c r="H59" s="24" t="s">
        <v>32</v>
      </c>
    </row>
    <row r="60" ht="20" customHeight="1" spans="1:8" x14ac:dyDescent="0.25">
      <c r="A60" s="22" t="s">
        <v>39</v>
      </c>
      <c r="B60" s="22" t="s">
        <v>40</v>
      </c>
      <c r="C60" s="23" t="s">
        <v>71</v>
      </c>
      <c r="D60" s="6" t="s">
        <v>4</v>
      </c>
      <c r="E60" s="22" t="s">
        <v>12</v>
      </c>
      <c r="F60" s="22" t="s">
        <v>12</v>
      </c>
      <c r="G60" s="22" t="s">
        <v>12</v>
      </c>
      <c r="H60" s="22" t="s">
        <v>32</v>
      </c>
    </row>
    <row r="61" ht="20" customHeight="1" spans="1:8" x14ac:dyDescent="0.25">
      <c r="A61" s="24" t="s">
        <v>41</v>
      </c>
      <c r="B61" s="24" t="s">
        <v>42</v>
      </c>
      <c r="C61" s="25" t="s">
        <v>71</v>
      </c>
      <c r="D61" s="33" t="s">
        <v>86</v>
      </c>
      <c r="E61" s="24" t="s">
        <v>12</v>
      </c>
      <c r="F61" s="24" t="s">
        <v>12</v>
      </c>
      <c r="G61" s="24" t="s">
        <v>12</v>
      </c>
      <c r="H61" s="24" t="s">
        <v>32</v>
      </c>
    </row>
    <row r="62" ht="20" customHeight="1" spans="1:8" x14ac:dyDescent="0.25">
      <c r="A62" s="22" t="s">
        <v>44</v>
      </c>
      <c r="B62" s="22" t="s">
        <v>45</v>
      </c>
      <c r="C62" s="23" t="s">
        <v>71</v>
      </c>
      <c r="D62" s="6" t="s">
        <v>4</v>
      </c>
      <c r="E62" s="22" t="s">
        <v>457</v>
      </c>
      <c r="F62" s="22" t="s">
        <v>458</v>
      </c>
      <c r="G62" s="22" t="s">
        <v>325</v>
      </c>
      <c r="H62" s="29" t="s">
        <v>459</v>
      </c>
    </row>
    <row r="63" ht="20" customHeight="1" spans="1:8" x14ac:dyDescent="0.25">
      <c r="A63" s="24" t="s">
        <v>46</v>
      </c>
      <c r="B63" s="24" t="s">
        <v>31</v>
      </c>
      <c r="C63" s="25" t="s">
        <v>71</v>
      </c>
      <c r="D63" s="6" t="s">
        <v>4</v>
      </c>
      <c r="E63" s="24" t="s">
        <v>460</v>
      </c>
      <c r="F63" s="24" t="s">
        <v>461</v>
      </c>
      <c r="G63" s="24" t="s">
        <v>263</v>
      </c>
      <c r="H63" s="34" t="s">
        <v>462</v>
      </c>
    </row>
    <row r="64" ht="20" customHeight="1" spans="1:8" x14ac:dyDescent="0.25">
      <c r="A64" s="22" t="s">
        <v>47</v>
      </c>
      <c r="B64" s="22" t="s">
        <v>34</v>
      </c>
      <c r="C64" s="23" t="s">
        <v>71</v>
      </c>
      <c r="D64" s="6" t="s">
        <v>4</v>
      </c>
      <c r="E64" s="22" t="s">
        <v>463</v>
      </c>
      <c r="F64" s="22" t="s">
        <v>464</v>
      </c>
      <c r="G64" s="22" t="s">
        <v>325</v>
      </c>
      <c r="H64" s="29" t="s">
        <v>465</v>
      </c>
    </row>
    <row r="65" ht="20" customHeight="1" spans="1:8" x14ac:dyDescent="0.25">
      <c r="A65" s="24" t="s">
        <v>48</v>
      </c>
      <c r="B65" s="24" t="s">
        <v>36</v>
      </c>
      <c r="C65" s="25" t="s">
        <v>71</v>
      </c>
      <c r="D65" s="6" t="s">
        <v>4</v>
      </c>
      <c r="E65" s="24" t="s">
        <v>466</v>
      </c>
      <c r="F65" s="24" t="s">
        <v>467</v>
      </c>
      <c r="G65" s="24" t="s">
        <v>291</v>
      </c>
      <c r="H65" s="34" t="s">
        <v>468</v>
      </c>
    </row>
    <row r="66" ht="20" customHeight="1" spans="1:8" x14ac:dyDescent="0.25">
      <c r="A66" s="22" t="s">
        <v>49</v>
      </c>
      <c r="B66" s="22" t="s">
        <v>38</v>
      </c>
      <c r="C66" s="23" t="s">
        <v>71</v>
      </c>
      <c r="D66" s="6" t="s">
        <v>4</v>
      </c>
      <c r="E66" s="22" t="s">
        <v>469</v>
      </c>
      <c r="F66" s="22" t="s">
        <v>470</v>
      </c>
      <c r="G66" s="22" t="s">
        <v>328</v>
      </c>
      <c r="H66" s="29" t="s">
        <v>471</v>
      </c>
    </row>
    <row r="67" ht="20" customHeight="1" spans="1:8" x14ac:dyDescent="0.25">
      <c r="A67" s="24" t="s">
        <v>50</v>
      </c>
      <c r="B67" s="24" t="s">
        <v>40</v>
      </c>
      <c r="C67" s="25" t="s">
        <v>71</v>
      </c>
      <c r="D67" s="33" t="s">
        <v>86</v>
      </c>
      <c r="E67" s="24" t="s">
        <v>12</v>
      </c>
      <c r="F67" s="24" t="s">
        <v>12</v>
      </c>
      <c r="G67" s="24" t="s">
        <v>12</v>
      </c>
      <c r="H67" s="24" t="s">
        <v>32</v>
      </c>
    </row>
    <row r="68" ht="20" customHeight="1" spans="1:8" x14ac:dyDescent="0.25">
      <c r="A68" s="22" t="s">
        <v>51</v>
      </c>
      <c r="B68" s="22" t="s">
        <v>42</v>
      </c>
      <c r="C68" s="23" t="s">
        <v>71</v>
      </c>
      <c r="D68" s="35" t="s">
        <v>86</v>
      </c>
      <c r="E68" s="22" t="s">
        <v>12</v>
      </c>
      <c r="F68" s="22" t="s">
        <v>12</v>
      </c>
      <c r="G68" s="22" t="s">
        <v>12</v>
      </c>
      <c r="H68" s="22" t="s">
        <v>32</v>
      </c>
    </row>
    <row r="69" ht="20" customHeight="1" spans="1:8" x14ac:dyDescent="0.25">
      <c r="A69" s="24" t="s">
        <v>52</v>
      </c>
      <c r="B69" s="24" t="s">
        <v>45</v>
      </c>
      <c r="C69" s="25" t="s">
        <v>71</v>
      </c>
      <c r="D69" s="6" t="s">
        <v>4</v>
      </c>
      <c r="E69" s="24" t="s">
        <v>472</v>
      </c>
      <c r="F69" s="24" t="s">
        <v>352</v>
      </c>
      <c r="G69" s="24" t="s">
        <v>238</v>
      </c>
      <c r="H69" s="34" t="s">
        <v>473</v>
      </c>
    </row>
    <row r="70" ht="20" customHeight="1" spans="1:8" x14ac:dyDescent="0.25">
      <c r="A70" s="22" t="s">
        <v>53</v>
      </c>
      <c r="B70" s="22" t="s">
        <v>31</v>
      </c>
      <c r="C70" s="23" t="s">
        <v>71</v>
      </c>
      <c r="D70" s="6" t="s">
        <v>4</v>
      </c>
      <c r="E70" s="22" t="s">
        <v>239</v>
      </c>
      <c r="F70" s="22" t="s">
        <v>404</v>
      </c>
      <c r="G70" s="22" t="s">
        <v>232</v>
      </c>
      <c r="H70" s="29" t="s">
        <v>241</v>
      </c>
    </row>
    <row r="71" ht="20" customHeight="1" spans="1:8" x14ac:dyDescent="0.25">
      <c r="A71" s="24" t="s">
        <v>54</v>
      </c>
      <c r="B71" s="24" t="s">
        <v>34</v>
      </c>
      <c r="C71" s="25" t="s">
        <v>71</v>
      </c>
      <c r="D71" s="6" t="s">
        <v>4</v>
      </c>
      <c r="E71" s="24" t="s">
        <v>383</v>
      </c>
      <c r="F71" s="24" t="s">
        <v>402</v>
      </c>
      <c r="G71" s="24" t="s">
        <v>177</v>
      </c>
      <c r="H71" s="30" t="s">
        <v>79</v>
      </c>
    </row>
    <row r="72" ht="20" customHeight="1" spans="1:8" x14ac:dyDescent="0.25">
      <c r="A72" s="22" t="s">
        <v>55</v>
      </c>
      <c r="B72" s="22" t="s">
        <v>36</v>
      </c>
      <c r="C72" s="23" t="s">
        <v>71</v>
      </c>
      <c r="D72" s="6" t="s">
        <v>4</v>
      </c>
      <c r="E72" s="22" t="s">
        <v>185</v>
      </c>
      <c r="F72" s="22" t="s">
        <v>474</v>
      </c>
      <c r="G72" s="22" t="s">
        <v>475</v>
      </c>
      <c r="H72" s="29" t="s">
        <v>188</v>
      </c>
    </row>
    <row r="73" ht="20" customHeight="1" spans="1:8" x14ac:dyDescent="0.25">
      <c r="A73" s="24" t="s">
        <v>56</v>
      </c>
      <c r="B73" s="24" t="s">
        <v>38</v>
      </c>
      <c r="C73" s="25" t="s">
        <v>71</v>
      </c>
      <c r="D73" s="6" t="s">
        <v>4</v>
      </c>
      <c r="E73" s="24" t="s">
        <v>330</v>
      </c>
      <c r="F73" s="24" t="s">
        <v>474</v>
      </c>
      <c r="G73" s="24" t="s">
        <v>206</v>
      </c>
      <c r="H73" s="34" t="s">
        <v>333</v>
      </c>
    </row>
    <row r="74" ht="20" customHeight="1" spans="1:8" x14ac:dyDescent="0.25">
      <c r="A74" s="22" t="s">
        <v>57</v>
      </c>
      <c r="B74" s="22" t="s">
        <v>40</v>
      </c>
      <c r="C74" s="23" t="s">
        <v>71</v>
      </c>
      <c r="D74" s="6" t="s">
        <v>4</v>
      </c>
      <c r="E74" s="22" t="s">
        <v>476</v>
      </c>
      <c r="F74" s="22" t="s">
        <v>477</v>
      </c>
      <c r="G74" s="22" t="s">
        <v>478</v>
      </c>
      <c r="H74" s="29" t="s">
        <v>479</v>
      </c>
    </row>
    <row r="75" ht="20" customHeight="1" spans="1:8" x14ac:dyDescent="0.25">
      <c r="A75" s="24" t="s">
        <v>58</v>
      </c>
      <c r="B75" s="24" t="s">
        <v>42</v>
      </c>
      <c r="C75" s="25" t="s">
        <v>71</v>
      </c>
      <c r="D75" s="33" t="s">
        <v>86</v>
      </c>
      <c r="E75" s="24" t="s">
        <v>12</v>
      </c>
      <c r="F75" s="24" t="s">
        <v>12</v>
      </c>
      <c r="G75" s="24" t="s">
        <v>12</v>
      </c>
      <c r="H75" s="24" t="s">
        <v>32</v>
      </c>
    </row>
    <row r="76" ht="20" customHeight="1" spans="1:8" x14ac:dyDescent="0.25">
      <c r="A76" s="22" t="s">
        <v>59</v>
      </c>
      <c r="B76" s="22" t="s">
        <v>45</v>
      </c>
      <c r="C76" s="23" t="s">
        <v>71</v>
      </c>
      <c r="D76" s="6" t="s">
        <v>4</v>
      </c>
      <c r="E76" s="22" t="s">
        <v>480</v>
      </c>
      <c r="F76" s="22" t="s">
        <v>461</v>
      </c>
      <c r="G76" s="22" t="s">
        <v>481</v>
      </c>
      <c r="H76" s="29" t="s">
        <v>482</v>
      </c>
    </row>
    <row r="77" ht="20" customHeight="1" spans="1:8" x14ac:dyDescent="0.25">
      <c r="A77" s="24" t="s">
        <v>60</v>
      </c>
      <c r="B77" s="24" t="s">
        <v>31</v>
      </c>
      <c r="C77" s="25" t="s">
        <v>71</v>
      </c>
      <c r="D77" s="6" t="s">
        <v>4</v>
      </c>
      <c r="E77" s="24" t="s">
        <v>483</v>
      </c>
      <c r="F77" s="24" t="s">
        <v>458</v>
      </c>
      <c r="G77" s="24" t="s">
        <v>396</v>
      </c>
      <c r="H77" s="34" t="s">
        <v>484</v>
      </c>
    </row>
    <row r="78" ht="20" customHeight="1" spans="1:8" x14ac:dyDescent="0.25">
      <c r="A78" s="22" t="s">
        <v>61</v>
      </c>
      <c r="B78" s="22" t="s">
        <v>34</v>
      </c>
      <c r="C78" s="23" t="s">
        <v>71</v>
      </c>
      <c r="D78" s="6" t="s">
        <v>4</v>
      </c>
      <c r="E78" s="22" t="s">
        <v>485</v>
      </c>
      <c r="F78" s="22" t="s">
        <v>486</v>
      </c>
      <c r="G78" s="22" t="s">
        <v>487</v>
      </c>
      <c r="H78" s="29" t="s">
        <v>488</v>
      </c>
    </row>
    <row r="79" ht="20" customHeight="1" spans="1:8" x14ac:dyDescent="0.25">
      <c r="A79" s="24" t="s">
        <v>62</v>
      </c>
      <c r="B79" s="24" t="s">
        <v>36</v>
      </c>
      <c r="C79" s="25" t="s">
        <v>71</v>
      </c>
      <c r="D79" s="6" t="s">
        <v>4</v>
      </c>
      <c r="E79" s="24" t="s">
        <v>463</v>
      </c>
      <c r="F79" s="24" t="s">
        <v>455</v>
      </c>
      <c r="G79" s="24" t="s">
        <v>367</v>
      </c>
      <c r="H79" s="34" t="s">
        <v>465</v>
      </c>
    </row>
    <row r="80" ht="20" customHeight="1" spans="1:8" x14ac:dyDescent="0.25">
      <c r="A80" s="22" t="s">
        <v>63</v>
      </c>
      <c r="B80" s="22" t="s">
        <v>38</v>
      </c>
      <c r="C80" s="23" t="s">
        <v>71</v>
      </c>
      <c r="D80" s="6" t="s">
        <v>4</v>
      </c>
      <c r="E80" s="22" t="s">
        <v>489</v>
      </c>
      <c r="F80" s="22" t="s">
        <v>490</v>
      </c>
      <c r="G80" s="22" t="s">
        <v>240</v>
      </c>
      <c r="H80" s="29" t="s">
        <v>491</v>
      </c>
    </row>
    <row r="81" ht="20" customHeight="1" spans="1:8" x14ac:dyDescent="0.25">
      <c r="A81" s="24" t="s">
        <v>64</v>
      </c>
      <c r="B81" s="24" t="s">
        <v>40</v>
      </c>
      <c r="C81" s="25" t="s">
        <v>71</v>
      </c>
      <c r="D81" s="33" t="s">
        <v>86</v>
      </c>
      <c r="E81" s="24" t="s">
        <v>12</v>
      </c>
      <c r="F81" s="24" t="s">
        <v>12</v>
      </c>
      <c r="G81" s="24" t="s">
        <v>12</v>
      </c>
      <c r="H81" s="24" t="s">
        <v>32</v>
      </c>
    </row>
    <row r="82" ht="20" customHeight="1" spans="1:8" x14ac:dyDescent="0.25">
      <c r="A82" s="22" t="s">
        <v>65</v>
      </c>
      <c r="B82" s="22" t="s">
        <v>42</v>
      </c>
      <c r="C82" s="23" t="s">
        <v>71</v>
      </c>
      <c r="D82" s="35" t="s">
        <v>86</v>
      </c>
      <c r="E82" s="22" t="s">
        <v>12</v>
      </c>
      <c r="F82" s="22" t="s">
        <v>12</v>
      </c>
      <c r="G82" s="22" t="s">
        <v>12</v>
      </c>
      <c r="H82" s="22" t="s">
        <v>32</v>
      </c>
    </row>
    <row r="83" ht="20" customHeight="1" spans="1:8" x14ac:dyDescent="0.25">
      <c r="A83" s="24" t="s">
        <v>66</v>
      </c>
      <c r="B83" s="24" t="s">
        <v>45</v>
      </c>
      <c r="C83" s="25" t="s">
        <v>71</v>
      </c>
      <c r="D83" s="6" t="s">
        <v>4</v>
      </c>
      <c r="E83" s="24" t="s">
        <v>492</v>
      </c>
      <c r="F83" s="24" t="s">
        <v>458</v>
      </c>
      <c r="G83" s="24" t="s">
        <v>493</v>
      </c>
      <c r="H83" s="34" t="s">
        <v>494</v>
      </c>
    </row>
    <row r="84" ht="20" customHeight="1" spans="1:8" x14ac:dyDescent="0.25">
      <c r="A84" s="22" t="s">
        <v>67</v>
      </c>
      <c r="B84" s="22" t="s">
        <v>31</v>
      </c>
      <c r="C84" s="23" t="s">
        <v>71</v>
      </c>
      <c r="D84" s="6" t="s">
        <v>4</v>
      </c>
      <c r="E84" s="22" t="s">
        <v>495</v>
      </c>
      <c r="F84" s="22" t="s">
        <v>461</v>
      </c>
      <c r="G84" s="22" t="s">
        <v>496</v>
      </c>
      <c r="H84" s="29" t="s">
        <v>497</v>
      </c>
    </row>
    <row r="85" ht="20" customHeight="1" spans="1:8" x14ac:dyDescent="0.25">
      <c r="A85" s="24" t="s">
        <v>68</v>
      </c>
      <c r="B85" s="24" t="s">
        <v>34</v>
      </c>
      <c r="C85" s="25" t="s">
        <v>71</v>
      </c>
      <c r="D85" s="6" t="s">
        <v>4</v>
      </c>
      <c r="E85" s="24" t="s">
        <v>498</v>
      </c>
      <c r="F85" s="24" t="s">
        <v>499</v>
      </c>
      <c r="G85" s="24" t="s">
        <v>147</v>
      </c>
      <c r="H85" s="34" t="s">
        <v>500</v>
      </c>
    </row>
    <row r="86" ht="22" customHeight="1" spans="1:8" x14ac:dyDescent="0.25">
      <c r="A86" s="26" t="s">
        <v>69</v>
      </c>
      <c r="B86" s="26"/>
      <c r="C86" s="26"/>
      <c r="D86" s="26"/>
      <c r="E86" s="26"/>
      <c r="F86" s="26"/>
      <c r="G86" s="27" t="s">
        <v>501</v>
      </c>
      <c r="H86" s="28" t="s">
        <v>12</v>
      </c>
    </row>
    <row r="88" ht="26" customHeight="1" spans="1:8" x14ac:dyDescent="0.25">
      <c r="A88" s="20" t="s">
        <v>502</v>
      </c>
      <c r="B88" s="20"/>
      <c r="C88" s="20"/>
      <c r="D88" s="20"/>
      <c r="E88" s="20"/>
      <c r="F88" s="20"/>
      <c r="G88" s="20"/>
      <c r="H88" s="20"/>
    </row>
    <row r="89" ht="22" customHeight="1" spans="1:8" x14ac:dyDescent="0.25">
      <c r="A89" s="21" t="s">
        <v>22</v>
      </c>
      <c r="B89" s="21" t="s">
        <v>23</v>
      </c>
      <c r="C89" s="21" t="s">
        <v>24</v>
      </c>
      <c r="D89" s="21" t="s">
        <v>25</v>
      </c>
      <c r="E89" s="21" t="s">
        <v>26</v>
      </c>
      <c r="F89" s="21" t="s">
        <v>27</v>
      </c>
      <c r="G89" s="21" t="s">
        <v>28</v>
      </c>
      <c r="H89" s="21" t="s">
        <v>29</v>
      </c>
    </row>
    <row r="90" ht="20" customHeight="1" spans="1:8" x14ac:dyDescent="0.25">
      <c r="A90" s="22" t="s">
        <v>30</v>
      </c>
      <c r="B90" s="22" t="s">
        <v>31</v>
      </c>
      <c r="C90" s="23" t="s">
        <v>71</v>
      </c>
      <c r="D90" s="6" t="s">
        <v>4</v>
      </c>
      <c r="E90" s="22" t="s">
        <v>403</v>
      </c>
      <c r="F90" s="22" t="s">
        <v>282</v>
      </c>
      <c r="G90" s="22" t="s">
        <v>147</v>
      </c>
      <c r="H90" s="32" t="s">
        <v>79</v>
      </c>
    </row>
    <row r="91" ht="20" customHeight="1" spans="1:8" x14ac:dyDescent="0.25">
      <c r="A91" s="24" t="s">
        <v>33</v>
      </c>
      <c r="B91" s="24" t="s">
        <v>34</v>
      </c>
      <c r="C91" s="25" t="s">
        <v>71</v>
      </c>
      <c r="D91" s="6" t="s">
        <v>4</v>
      </c>
      <c r="E91" s="24" t="s">
        <v>503</v>
      </c>
      <c r="F91" s="24" t="s">
        <v>504</v>
      </c>
      <c r="G91" s="24" t="s">
        <v>505</v>
      </c>
      <c r="H91" s="34" t="s">
        <v>506</v>
      </c>
    </row>
    <row r="92" ht="20" customHeight="1" spans="1:8" x14ac:dyDescent="0.25">
      <c r="A92" s="22" t="s">
        <v>35</v>
      </c>
      <c r="B92" s="22" t="s">
        <v>36</v>
      </c>
      <c r="C92" s="23" t="s">
        <v>71</v>
      </c>
      <c r="D92" s="6" t="s">
        <v>4</v>
      </c>
      <c r="E92" s="22" t="s">
        <v>383</v>
      </c>
      <c r="F92" s="22" t="s">
        <v>395</v>
      </c>
      <c r="G92" s="22" t="s">
        <v>259</v>
      </c>
      <c r="H92" s="32" t="s">
        <v>79</v>
      </c>
    </row>
    <row r="93" ht="20" customHeight="1" spans="1:8" x14ac:dyDescent="0.25">
      <c r="A93" s="24" t="s">
        <v>37</v>
      </c>
      <c r="B93" s="24" t="s">
        <v>38</v>
      </c>
      <c r="C93" s="25" t="s">
        <v>71</v>
      </c>
      <c r="D93" s="31" t="s">
        <v>11</v>
      </c>
      <c r="E93" s="24" t="s">
        <v>12</v>
      </c>
      <c r="F93" s="24" t="s">
        <v>12</v>
      </c>
      <c r="G93" s="24" t="s">
        <v>12</v>
      </c>
      <c r="H93" s="24" t="s">
        <v>32</v>
      </c>
    </row>
    <row r="94" ht="20" customHeight="1" spans="1:8" x14ac:dyDescent="0.25">
      <c r="A94" s="22" t="s">
        <v>39</v>
      </c>
      <c r="B94" s="22" t="s">
        <v>40</v>
      </c>
      <c r="C94" s="23" t="s">
        <v>71</v>
      </c>
      <c r="D94" s="10" t="s">
        <v>87</v>
      </c>
      <c r="E94" s="22" t="s">
        <v>12</v>
      </c>
      <c r="F94" s="22" t="s">
        <v>12</v>
      </c>
      <c r="G94" s="22" t="s">
        <v>12</v>
      </c>
      <c r="H94" s="22" t="s">
        <v>32</v>
      </c>
    </row>
    <row r="95" ht="20" customHeight="1" spans="1:8" x14ac:dyDescent="0.25">
      <c r="A95" s="24" t="s">
        <v>41</v>
      </c>
      <c r="B95" s="24" t="s">
        <v>42</v>
      </c>
      <c r="C95" s="25" t="s">
        <v>71</v>
      </c>
      <c r="D95" s="33" t="s">
        <v>86</v>
      </c>
      <c r="E95" s="24" t="s">
        <v>12</v>
      </c>
      <c r="F95" s="24" t="s">
        <v>12</v>
      </c>
      <c r="G95" s="24" t="s">
        <v>12</v>
      </c>
      <c r="H95" s="24" t="s">
        <v>32</v>
      </c>
    </row>
    <row r="96" ht="20" customHeight="1" spans="1:8" x14ac:dyDescent="0.25">
      <c r="A96" s="22" t="s">
        <v>44</v>
      </c>
      <c r="B96" s="22" t="s">
        <v>45</v>
      </c>
      <c r="C96" s="23" t="s">
        <v>71</v>
      </c>
      <c r="D96" s="6" t="s">
        <v>4</v>
      </c>
      <c r="E96" s="22" t="s">
        <v>466</v>
      </c>
      <c r="F96" s="22" t="s">
        <v>186</v>
      </c>
      <c r="G96" s="22" t="s">
        <v>493</v>
      </c>
      <c r="H96" s="29" t="s">
        <v>468</v>
      </c>
    </row>
    <row r="97" ht="20" customHeight="1" spans="1:8" x14ac:dyDescent="0.25">
      <c r="A97" s="24" t="s">
        <v>46</v>
      </c>
      <c r="B97" s="24" t="s">
        <v>31</v>
      </c>
      <c r="C97" s="25" t="s">
        <v>71</v>
      </c>
      <c r="D97" s="6" t="s">
        <v>4</v>
      </c>
      <c r="E97" s="24" t="s">
        <v>125</v>
      </c>
      <c r="F97" s="24" t="s">
        <v>438</v>
      </c>
      <c r="G97" s="24" t="s">
        <v>232</v>
      </c>
      <c r="H97" s="30" t="s">
        <v>79</v>
      </c>
    </row>
    <row r="98" ht="20" customHeight="1" spans="1:8" x14ac:dyDescent="0.25">
      <c r="A98" s="22" t="s">
        <v>47</v>
      </c>
      <c r="B98" s="22" t="s">
        <v>34</v>
      </c>
      <c r="C98" s="23" t="s">
        <v>71</v>
      </c>
      <c r="D98" s="10" t="s">
        <v>87</v>
      </c>
      <c r="E98" s="22" t="s">
        <v>12</v>
      </c>
      <c r="F98" s="22" t="s">
        <v>12</v>
      </c>
      <c r="G98" s="22" t="s">
        <v>12</v>
      </c>
      <c r="H98" s="22" t="s">
        <v>32</v>
      </c>
    </row>
    <row r="99" ht="20" customHeight="1" spans="1:8" x14ac:dyDescent="0.25">
      <c r="A99" s="24" t="s">
        <v>48</v>
      </c>
      <c r="B99" s="24" t="s">
        <v>36</v>
      </c>
      <c r="C99" s="25" t="s">
        <v>71</v>
      </c>
      <c r="D99" s="10" t="s">
        <v>87</v>
      </c>
      <c r="E99" s="24" t="s">
        <v>12</v>
      </c>
      <c r="F99" s="24" t="s">
        <v>12</v>
      </c>
      <c r="G99" s="24" t="s">
        <v>12</v>
      </c>
      <c r="H99" s="24" t="s">
        <v>32</v>
      </c>
    </row>
    <row r="100" ht="20" customHeight="1" spans="1:8" x14ac:dyDescent="0.25">
      <c r="A100" s="22" t="s">
        <v>49</v>
      </c>
      <c r="B100" s="22" t="s">
        <v>38</v>
      </c>
      <c r="C100" s="23" t="s">
        <v>71</v>
      </c>
      <c r="D100" s="10" t="s">
        <v>87</v>
      </c>
      <c r="E100" s="22" t="s">
        <v>12</v>
      </c>
      <c r="F100" s="22" t="s">
        <v>12</v>
      </c>
      <c r="G100" s="22" t="s">
        <v>12</v>
      </c>
      <c r="H100" s="22" t="s">
        <v>32</v>
      </c>
    </row>
    <row r="101" ht="20" customHeight="1" spans="1:8" x14ac:dyDescent="0.25">
      <c r="A101" s="24" t="s">
        <v>50</v>
      </c>
      <c r="B101" s="24" t="s">
        <v>40</v>
      </c>
      <c r="C101" s="25" t="s">
        <v>71</v>
      </c>
      <c r="D101" s="10" t="s">
        <v>87</v>
      </c>
      <c r="E101" s="24" t="s">
        <v>12</v>
      </c>
      <c r="F101" s="24" t="s">
        <v>12</v>
      </c>
      <c r="G101" s="24" t="s">
        <v>12</v>
      </c>
      <c r="H101" s="24" t="s">
        <v>32</v>
      </c>
    </row>
    <row r="102" ht="20" customHeight="1" spans="1:8" x14ac:dyDescent="0.25">
      <c r="A102" s="22" t="s">
        <v>51</v>
      </c>
      <c r="B102" s="22" t="s">
        <v>42</v>
      </c>
      <c r="C102" s="23" t="s">
        <v>71</v>
      </c>
      <c r="D102" s="10" t="s">
        <v>87</v>
      </c>
      <c r="E102" s="22" t="s">
        <v>12</v>
      </c>
      <c r="F102" s="22" t="s">
        <v>12</v>
      </c>
      <c r="G102" s="22" t="s">
        <v>12</v>
      </c>
      <c r="H102" s="22" t="s">
        <v>32</v>
      </c>
    </row>
    <row r="103" ht="20" customHeight="1" spans="1:8" x14ac:dyDescent="0.25">
      <c r="A103" s="24" t="s">
        <v>52</v>
      </c>
      <c r="B103" s="24" t="s">
        <v>45</v>
      </c>
      <c r="C103" s="25" t="s">
        <v>71</v>
      </c>
      <c r="D103" s="10" t="s">
        <v>87</v>
      </c>
      <c r="E103" s="24" t="s">
        <v>12</v>
      </c>
      <c r="F103" s="24" t="s">
        <v>12</v>
      </c>
      <c r="G103" s="24" t="s">
        <v>12</v>
      </c>
      <c r="H103" s="24" t="s">
        <v>32</v>
      </c>
    </row>
    <row r="104" ht="20" customHeight="1" spans="1:8" x14ac:dyDescent="0.25">
      <c r="A104" s="22" t="s">
        <v>53</v>
      </c>
      <c r="B104" s="22" t="s">
        <v>31</v>
      </c>
      <c r="C104" s="23" t="s">
        <v>71</v>
      </c>
      <c r="D104" s="10" t="s">
        <v>87</v>
      </c>
      <c r="E104" s="22" t="s">
        <v>12</v>
      </c>
      <c r="F104" s="22" t="s">
        <v>12</v>
      </c>
      <c r="G104" s="22" t="s">
        <v>12</v>
      </c>
      <c r="H104" s="22" t="s">
        <v>32</v>
      </c>
    </row>
    <row r="105" ht="20" customHeight="1" spans="1:8" x14ac:dyDescent="0.25">
      <c r="A105" s="24" t="s">
        <v>54</v>
      </c>
      <c r="B105" s="24" t="s">
        <v>34</v>
      </c>
      <c r="C105" s="25" t="s">
        <v>71</v>
      </c>
      <c r="D105" s="10" t="s">
        <v>87</v>
      </c>
      <c r="E105" s="24" t="s">
        <v>12</v>
      </c>
      <c r="F105" s="24" t="s">
        <v>12</v>
      </c>
      <c r="G105" s="24" t="s">
        <v>12</v>
      </c>
      <c r="H105" s="24" t="s">
        <v>32</v>
      </c>
    </row>
    <row r="106" ht="20" customHeight="1" spans="1:8" x14ac:dyDescent="0.25">
      <c r="A106" s="22" t="s">
        <v>55</v>
      </c>
      <c r="B106" s="22" t="s">
        <v>36</v>
      </c>
      <c r="C106" s="23" t="s">
        <v>71</v>
      </c>
      <c r="D106" s="10" t="s">
        <v>87</v>
      </c>
      <c r="E106" s="22" t="s">
        <v>12</v>
      </c>
      <c r="F106" s="22" t="s">
        <v>12</v>
      </c>
      <c r="G106" s="22" t="s">
        <v>12</v>
      </c>
      <c r="H106" s="22" t="s">
        <v>32</v>
      </c>
    </row>
    <row r="107" ht="20" customHeight="1" spans="1:8" x14ac:dyDescent="0.25">
      <c r="A107" s="24" t="s">
        <v>56</v>
      </c>
      <c r="B107" s="24" t="s">
        <v>38</v>
      </c>
      <c r="C107" s="25" t="s">
        <v>71</v>
      </c>
      <c r="D107" s="10" t="s">
        <v>87</v>
      </c>
      <c r="E107" s="24" t="s">
        <v>12</v>
      </c>
      <c r="F107" s="24" t="s">
        <v>12</v>
      </c>
      <c r="G107" s="24" t="s">
        <v>12</v>
      </c>
      <c r="H107" s="24" t="s">
        <v>32</v>
      </c>
    </row>
    <row r="108" ht="20" customHeight="1" spans="1:8" x14ac:dyDescent="0.25">
      <c r="A108" s="22" t="s">
        <v>57</v>
      </c>
      <c r="B108" s="22" t="s">
        <v>40</v>
      </c>
      <c r="C108" s="23" t="s">
        <v>71</v>
      </c>
      <c r="D108" s="10" t="s">
        <v>87</v>
      </c>
      <c r="E108" s="22" t="s">
        <v>12</v>
      </c>
      <c r="F108" s="22" t="s">
        <v>12</v>
      </c>
      <c r="G108" s="22" t="s">
        <v>12</v>
      </c>
      <c r="H108" s="22" t="s">
        <v>32</v>
      </c>
    </row>
    <row r="109" ht="20" customHeight="1" spans="1:8" x14ac:dyDescent="0.25">
      <c r="A109" s="24" t="s">
        <v>58</v>
      </c>
      <c r="B109" s="24" t="s">
        <v>42</v>
      </c>
      <c r="C109" s="25" t="s">
        <v>71</v>
      </c>
      <c r="D109" s="10" t="s">
        <v>87</v>
      </c>
      <c r="E109" s="24" t="s">
        <v>12</v>
      </c>
      <c r="F109" s="24" t="s">
        <v>12</v>
      </c>
      <c r="G109" s="24" t="s">
        <v>12</v>
      </c>
      <c r="H109" s="24" t="s">
        <v>32</v>
      </c>
    </row>
    <row r="110" ht="20" customHeight="1" spans="1:8" x14ac:dyDescent="0.25">
      <c r="A110" s="22" t="s">
        <v>59</v>
      </c>
      <c r="B110" s="22" t="s">
        <v>45</v>
      </c>
      <c r="C110" s="23" t="s">
        <v>71</v>
      </c>
      <c r="D110" s="10" t="s">
        <v>87</v>
      </c>
      <c r="E110" s="22" t="s">
        <v>12</v>
      </c>
      <c r="F110" s="22" t="s">
        <v>12</v>
      </c>
      <c r="G110" s="22" t="s">
        <v>12</v>
      </c>
      <c r="H110" s="22" t="s">
        <v>32</v>
      </c>
    </row>
    <row r="111" ht="20" customHeight="1" spans="1:8" x14ac:dyDescent="0.25">
      <c r="A111" s="24" t="s">
        <v>60</v>
      </c>
      <c r="B111" s="24" t="s">
        <v>31</v>
      </c>
      <c r="C111" s="25" t="s">
        <v>71</v>
      </c>
      <c r="D111" s="6" t="s">
        <v>4</v>
      </c>
      <c r="E111" s="24" t="s">
        <v>507</v>
      </c>
      <c r="F111" s="24" t="s">
        <v>508</v>
      </c>
      <c r="G111" s="24" t="s">
        <v>509</v>
      </c>
      <c r="H111" s="34" t="s">
        <v>510</v>
      </c>
    </row>
    <row r="112" ht="20" customHeight="1" spans="1:8" x14ac:dyDescent="0.25">
      <c r="A112" s="22" t="s">
        <v>61</v>
      </c>
      <c r="B112" s="22" t="s">
        <v>34</v>
      </c>
      <c r="C112" s="23" t="s">
        <v>71</v>
      </c>
      <c r="D112" s="6" t="s">
        <v>4</v>
      </c>
      <c r="E112" s="22" t="s">
        <v>391</v>
      </c>
      <c r="F112" s="22" t="s">
        <v>276</v>
      </c>
      <c r="G112" s="22" t="s">
        <v>285</v>
      </c>
      <c r="H112" s="32" t="s">
        <v>79</v>
      </c>
    </row>
    <row r="113" ht="20" customHeight="1" spans="1:8" x14ac:dyDescent="0.25">
      <c r="A113" s="24" t="s">
        <v>62</v>
      </c>
      <c r="B113" s="24" t="s">
        <v>36</v>
      </c>
      <c r="C113" s="25" t="s">
        <v>71</v>
      </c>
      <c r="D113" s="6" t="s">
        <v>4</v>
      </c>
      <c r="E113" s="24" t="s">
        <v>385</v>
      </c>
      <c r="F113" s="24" t="s">
        <v>398</v>
      </c>
      <c r="G113" s="24" t="s">
        <v>123</v>
      </c>
      <c r="H113" s="30" t="s">
        <v>79</v>
      </c>
    </row>
    <row r="114" ht="20" customHeight="1" spans="1:8" x14ac:dyDescent="0.25">
      <c r="A114" s="22" t="s">
        <v>63</v>
      </c>
      <c r="B114" s="22" t="s">
        <v>38</v>
      </c>
      <c r="C114" s="23" t="s">
        <v>71</v>
      </c>
      <c r="D114" s="6" t="s">
        <v>4</v>
      </c>
      <c r="E114" s="22" t="s">
        <v>511</v>
      </c>
      <c r="F114" s="22" t="s">
        <v>442</v>
      </c>
      <c r="G114" s="22" t="s">
        <v>329</v>
      </c>
      <c r="H114" s="32" t="s">
        <v>79</v>
      </c>
    </row>
    <row r="115" ht="20" customHeight="1" spans="1:8" x14ac:dyDescent="0.25">
      <c r="A115" s="24" t="s">
        <v>64</v>
      </c>
      <c r="B115" s="24" t="s">
        <v>40</v>
      </c>
      <c r="C115" s="25" t="s">
        <v>71</v>
      </c>
      <c r="D115" s="33" t="s">
        <v>86</v>
      </c>
      <c r="E115" s="24" t="s">
        <v>12</v>
      </c>
      <c r="F115" s="24" t="s">
        <v>12</v>
      </c>
      <c r="G115" s="24" t="s">
        <v>12</v>
      </c>
      <c r="H115" s="24" t="s">
        <v>32</v>
      </c>
    </row>
    <row r="116" ht="20" customHeight="1" spans="1:8" x14ac:dyDescent="0.25">
      <c r="A116" s="22" t="s">
        <v>65</v>
      </c>
      <c r="B116" s="22" t="s">
        <v>42</v>
      </c>
      <c r="C116" s="23" t="s">
        <v>71</v>
      </c>
      <c r="D116" s="35" t="s">
        <v>86</v>
      </c>
      <c r="E116" s="22" t="s">
        <v>12</v>
      </c>
      <c r="F116" s="22" t="s">
        <v>12</v>
      </c>
      <c r="G116" s="22" t="s">
        <v>12</v>
      </c>
      <c r="H116" s="22" t="s">
        <v>32</v>
      </c>
    </row>
    <row r="117" ht="20" customHeight="1" spans="1:8" x14ac:dyDescent="0.25">
      <c r="A117" s="24" t="s">
        <v>66</v>
      </c>
      <c r="B117" s="24" t="s">
        <v>45</v>
      </c>
      <c r="C117" s="25" t="s">
        <v>71</v>
      </c>
      <c r="D117" s="6" t="s">
        <v>4</v>
      </c>
      <c r="E117" s="24" t="s">
        <v>284</v>
      </c>
      <c r="F117" s="24" t="s">
        <v>278</v>
      </c>
      <c r="G117" s="24" t="s">
        <v>285</v>
      </c>
      <c r="H117" s="30" t="s">
        <v>79</v>
      </c>
    </row>
    <row r="118" ht="20" customHeight="1" spans="1:8" x14ac:dyDescent="0.25">
      <c r="A118" s="22" t="s">
        <v>67</v>
      </c>
      <c r="B118" s="22" t="s">
        <v>31</v>
      </c>
      <c r="C118" s="23" t="s">
        <v>71</v>
      </c>
      <c r="D118" s="6" t="s">
        <v>4</v>
      </c>
      <c r="E118" s="22" t="s">
        <v>391</v>
      </c>
      <c r="F118" s="22" t="s">
        <v>282</v>
      </c>
      <c r="G118" s="22" t="s">
        <v>410</v>
      </c>
      <c r="H118" s="32" t="s">
        <v>79</v>
      </c>
    </row>
    <row r="119" ht="20" customHeight="1" spans="1:8" x14ac:dyDescent="0.25">
      <c r="A119" s="24" t="s">
        <v>68</v>
      </c>
      <c r="B119" s="24" t="s">
        <v>34</v>
      </c>
      <c r="C119" s="25" t="s">
        <v>71</v>
      </c>
      <c r="D119" s="6" t="s">
        <v>4</v>
      </c>
      <c r="E119" s="24" t="s">
        <v>300</v>
      </c>
      <c r="F119" s="24" t="s">
        <v>344</v>
      </c>
      <c r="G119" s="24" t="s">
        <v>190</v>
      </c>
      <c r="H119" s="30" t="s">
        <v>79</v>
      </c>
    </row>
    <row r="120" ht="22" customHeight="1" spans="1:8" x14ac:dyDescent="0.25">
      <c r="A120" s="26" t="s">
        <v>69</v>
      </c>
      <c r="B120" s="26"/>
      <c r="C120" s="26"/>
      <c r="D120" s="26"/>
      <c r="E120" s="26"/>
      <c r="F120" s="26"/>
      <c r="G120" s="27" t="s">
        <v>512</v>
      </c>
      <c r="H120" s="28" t="s">
        <v>12</v>
      </c>
    </row>
    <row r="122" ht="26" customHeight="1" spans="1:8" x14ac:dyDescent="0.25">
      <c r="A122" s="20" t="s">
        <v>513</v>
      </c>
      <c r="B122" s="20"/>
      <c r="C122" s="20"/>
      <c r="D122" s="20"/>
      <c r="E122" s="20"/>
      <c r="F122" s="20"/>
      <c r="G122" s="20"/>
      <c r="H122" s="20"/>
    </row>
    <row r="123" ht="22" customHeight="1" spans="1:8" x14ac:dyDescent="0.25">
      <c r="A123" s="21" t="s">
        <v>22</v>
      </c>
      <c r="B123" s="21" t="s">
        <v>23</v>
      </c>
      <c r="C123" s="21" t="s">
        <v>24</v>
      </c>
      <c r="D123" s="21" t="s">
        <v>25</v>
      </c>
      <c r="E123" s="21" t="s">
        <v>26</v>
      </c>
      <c r="F123" s="21" t="s">
        <v>27</v>
      </c>
      <c r="G123" s="21" t="s">
        <v>28</v>
      </c>
      <c r="H123" s="21" t="s">
        <v>29</v>
      </c>
    </row>
    <row r="124" ht="20" customHeight="1" spans="1:8" x14ac:dyDescent="0.25">
      <c r="A124" s="22" t="s">
        <v>30</v>
      </c>
      <c r="B124" s="22" t="s">
        <v>31</v>
      </c>
      <c r="C124" s="23" t="s">
        <v>71</v>
      </c>
      <c r="D124" s="6" t="s">
        <v>4</v>
      </c>
      <c r="E124" s="22" t="s">
        <v>199</v>
      </c>
      <c r="F124" s="22" t="s">
        <v>225</v>
      </c>
      <c r="G124" s="22" t="s">
        <v>263</v>
      </c>
      <c r="H124" s="29" t="s">
        <v>200</v>
      </c>
    </row>
    <row r="125" ht="20" customHeight="1" spans="1:8" x14ac:dyDescent="0.25">
      <c r="A125" s="24" t="s">
        <v>33</v>
      </c>
      <c r="B125" s="24" t="s">
        <v>34</v>
      </c>
      <c r="C125" s="25" t="s">
        <v>71</v>
      </c>
      <c r="D125" s="6" t="s">
        <v>4</v>
      </c>
      <c r="E125" s="24" t="s">
        <v>251</v>
      </c>
      <c r="F125" s="24" t="s">
        <v>84</v>
      </c>
      <c r="G125" s="24" t="s">
        <v>130</v>
      </c>
      <c r="H125" s="34" t="s">
        <v>253</v>
      </c>
    </row>
    <row r="126" ht="20" customHeight="1" spans="1:8" x14ac:dyDescent="0.25">
      <c r="A126" s="22" t="s">
        <v>35</v>
      </c>
      <c r="B126" s="22" t="s">
        <v>36</v>
      </c>
      <c r="C126" s="23" t="s">
        <v>71</v>
      </c>
      <c r="D126" s="6" t="s">
        <v>4</v>
      </c>
      <c r="E126" s="22" t="s">
        <v>208</v>
      </c>
      <c r="F126" s="22" t="s">
        <v>366</v>
      </c>
      <c r="G126" s="22" t="s">
        <v>514</v>
      </c>
      <c r="H126" s="29" t="s">
        <v>210</v>
      </c>
    </row>
    <row r="127" ht="20" customHeight="1" spans="1:8" x14ac:dyDescent="0.25">
      <c r="A127" s="24" t="s">
        <v>37</v>
      </c>
      <c r="B127" s="24" t="s">
        <v>38</v>
      </c>
      <c r="C127" s="25" t="s">
        <v>71</v>
      </c>
      <c r="D127" s="31" t="s">
        <v>11</v>
      </c>
      <c r="E127" s="24" t="s">
        <v>12</v>
      </c>
      <c r="F127" s="24" t="s">
        <v>12</v>
      </c>
      <c r="G127" s="24" t="s">
        <v>12</v>
      </c>
      <c r="H127" s="24" t="s">
        <v>32</v>
      </c>
    </row>
    <row r="128" ht="20" customHeight="1" spans="1:8" x14ac:dyDescent="0.25">
      <c r="A128" s="22" t="s">
        <v>39</v>
      </c>
      <c r="B128" s="22" t="s">
        <v>40</v>
      </c>
      <c r="C128" s="23" t="s">
        <v>71</v>
      </c>
      <c r="D128" s="6" t="s">
        <v>4</v>
      </c>
      <c r="E128" s="22" t="s">
        <v>348</v>
      </c>
      <c r="F128" s="22" t="s">
        <v>366</v>
      </c>
      <c r="G128" s="22" t="s">
        <v>206</v>
      </c>
      <c r="H128" s="29" t="s">
        <v>351</v>
      </c>
    </row>
    <row r="129" ht="20" customHeight="1" spans="1:8" x14ac:dyDescent="0.25">
      <c r="A129" s="24" t="s">
        <v>41</v>
      </c>
      <c r="B129" s="24" t="s">
        <v>42</v>
      </c>
      <c r="C129" s="25" t="s">
        <v>71</v>
      </c>
      <c r="D129" s="33" t="s">
        <v>86</v>
      </c>
      <c r="E129" s="24" t="s">
        <v>12</v>
      </c>
      <c r="F129" s="24" t="s">
        <v>12</v>
      </c>
      <c r="G129" s="24" t="s">
        <v>12</v>
      </c>
      <c r="H129" s="24" t="s">
        <v>32</v>
      </c>
    </row>
    <row r="130" ht="20" customHeight="1" spans="1:8" x14ac:dyDescent="0.25">
      <c r="A130" s="22" t="s">
        <v>44</v>
      </c>
      <c r="B130" s="22" t="s">
        <v>45</v>
      </c>
      <c r="C130" s="23" t="s">
        <v>71</v>
      </c>
      <c r="D130" s="6" t="s">
        <v>4</v>
      </c>
      <c r="E130" s="22" t="s">
        <v>515</v>
      </c>
      <c r="F130" s="22" t="s">
        <v>12</v>
      </c>
      <c r="G130" s="22" t="s">
        <v>516</v>
      </c>
      <c r="H130" s="29" t="s">
        <v>517</v>
      </c>
    </row>
    <row r="131" ht="20" customHeight="1" spans="1:8" x14ac:dyDescent="0.25">
      <c r="A131" s="24" t="s">
        <v>46</v>
      </c>
      <c r="B131" s="24" t="s">
        <v>31</v>
      </c>
      <c r="C131" s="25" t="s">
        <v>71</v>
      </c>
      <c r="D131" s="6" t="s">
        <v>4</v>
      </c>
      <c r="E131" s="24" t="s">
        <v>239</v>
      </c>
      <c r="F131" s="24" t="s">
        <v>157</v>
      </c>
      <c r="G131" s="24" t="s">
        <v>137</v>
      </c>
      <c r="H131" s="34" t="s">
        <v>241</v>
      </c>
    </row>
    <row r="132" ht="20" customHeight="1" spans="1:8" x14ac:dyDescent="0.25">
      <c r="A132" s="22" t="s">
        <v>47</v>
      </c>
      <c r="B132" s="22" t="s">
        <v>34</v>
      </c>
      <c r="C132" s="23" t="s">
        <v>71</v>
      </c>
      <c r="D132" s="6" t="s">
        <v>4</v>
      </c>
      <c r="E132" s="22" t="s">
        <v>518</v>
      </c>
      <c r="F132" s="22" t="s">
        <v>519</v>
      </c>
      <c r="G132" s="22" t="s">
        <v>130</v>
      </c>
      <c r="H132" s="32" t="s">
        <v>79</v>
      </c>
    </row>
    <row r="133" ht="20" customHeight="1" spans="1:8" x14ac:dyDescent="0.25">
      <c r="A133" s="24" t="s">
        <v>48</v>
      </c>
      <c r="B133" s="24" t="s">
        <v>36</v>
      </c>
      <c r="C133" s="25" t="s">
        <v>71</v>
      </c>
      <c r="D133" s="6" t="s">
        <v>4</v>
      </c>
      <c r="E133" s="24" t="s">
        <v>189</v>
      </c>
      <c r="F133" s="24" t="s">
        <v>182</v>
      </c>
      <c r="G133" s="24" t="s">
        <v>171</v>
      </c>
      <c r="H133" s="34" t="s">
        <v>191</v>
      </c>
    </row>
    <row r="134" ht="20" customHeight="1" spans="1:8" x14ac:dyDescent="0.25">
      <c r="A134" s="22" t="s">
        <v>49</v>
      </c>
      <c r="B134" s="22" t="s">
        <v>38</v>
      </c>
      <c r="C134" s="23" t="s">
        <v>71</v>
      </c>
      <c r="D134" s="6" t="s">
        <v>4</v>
      </c>
      <c r="E134" s="22" t="s">
        <v>372</v>
      </c>
      <c r="F134" s="22" t="s">
        <v>12</v>
      </c>
      <c r="G134" s="22" t="s">
        <v>516</v>
      </c>
      <c r="H134" s="32" t="s">
        <v>79</v>
      </c>
    </row>
    <row r="135" ht="20" customHeight="1" spans="1:8" x14ac:dyDescent="0.25">
      <c r="A135" s="24" t="s">
        <v>50</v>
      </c>
      <c r="B135" s="24" t="s">
        <v>40</v>
      </c>
      <c r="C135" s="25" t="s">
        <v>71</v>
      </c>
      <c r="D135" s="33" t="s">
        <v>86</v>
      </c>
      <c r="E135" s="24" t="s">
        <v>12</v>
      </c>
      <c r="F135" s="24" t="s">
        <v>12</v>
      </c>
      <c r="G135" s="24" t="s">
        <v>12</v>
      </c>
      <c r="H135" s="24" t="s">
        <v>32</v>
      </c>
    </row>
    <row r="136" ht="20" customHeight="1" spans="1:8" x14ac:dyDescent="0.25">
      <c r="A136" s="22" t="s">
        <v>51</v>
      </c>
      <c r="B136" s="22" t="s">
        <v>42</v>
      </c>
      <c r="C136" s="23" t="s">
        <v>71</v>
      </c>
      <c r="D136" s="35" t="s">
        <v>86</v>
      </c>
      <c r="E136" s="22" t="s">
        <v>12</v>
      </c>
      <c r="F136" s="22" t="s">
        <v>12</v>
      </c>
      <c r="G136" s="22" t="s">
        <v>12</v>
      </c>
      <c r="H136" s="22" t="s">
        <v>32</v>
      </c>
    </row>
    <row r="137" ht="20" customHeight="1" spans="1:8" x14ac:dyDescent="0.25">
      <c r="A137" s="24" t="s">
        <v>52</v>
      </c>
      <c r="B137" s="24" t="s">
        <v>45</v>
      </c>
      <c r="C137" s="25" t="s">
        <v>71</v>
      </c>
      <c r="D137" s="6" t="s">
        <v>4</v>
      </c>
      <c r="E137" s="24" t="s">
        <v>334</v>
      </c>
      <c r="F137" s="24" t="s">
        <v>160</v>
      </c>
      <c r="G137" s="24" t="s">
        <v>238</v>
      </c>
      <c r="H137" s="34" t="s">
        <v>337</v>
      </c>
    </row>
    <row r="138" ht="20" customHeight="1" spans="1:8" x14ac:dyDescent="0.25">
      <c r="A138" s="22" t="s">
        <v>53</v>
      </c>
      <c r="B138" s="22" t="s">
        <v>31</v>
      </c>
      <c r="C138" s="23" t="s">
        <v>71</v>
      </c>
      <c r="D138" s="10" t="s">
        <v>87</v>
      </c>
      <c r="E138" s="22" t="s">
        <v>12</v>
      </c>
      <c r="F138" s="22" t="s">
        <v>12</v>
      </c>
      <c r="G138" s="22" t="s">
        <v>12</v>
      </c>
      <c r="H138" s="22" t="s">
        <v>32</v>
      </c>
    </row>
    <row r="139" ht="20" customHeight="1" spans="1:8" x14ac:dyDescent="0.25">
      <c r="A139" s="24" t="s">
        <v>54</v>
      </c>
      <c r="B139" s="24" t="s">
        <v>34</v>
      </c>
      <c r="C139" s="25" t="s">
        <v>71</v>
      </c>
      <c r="D139" s="6" t="s">
        <v>4</v>
      </c>
      <c r="E139" s="24" t="s">
        <v>251</v>
      </c>
      <c r="F139" s="24" t="s">
        <v>252</v>
      </c>
      <c r="G139" s="24" t="s">
        <v>99</v>
      </c>
      <c r="H139" s="34" t="s">
        <v>253</v>
      </c>
    </row>
    <row r="140" ht="20" customHeight="1" spans="1:8" x14ac:dyDescent="0.25">
      <c r="A140" s="22" t="s">
        <v>55</v>
      </c>
      <c r="B140" s="22" t="s">
        <v>36</v>
      </c>
      <c r="C140" s="23" t="s">
        <v>71</v>
      </c>
      <c r="D140" s="6" t="s">
        <v>4</v>
      </c>
      <c r="E140" s="22" t="s">
        <v>254</v>
      </c>
      <c r="F140" s="22" t="s">
        <v>345</v>
      </c>
      <c r="G140" s="22" t="s">
        <v>285</v>
      </c>
      <c r="H140" s="29" t="s">
        <v>256</v>
      </c>
    </row>
    <row r="141" ht="20" customHeight="1" spans="1:8" x14ac:dyDescent="0.25">
      <c r="A141" s="24" t="s">
        <v>56</v>
      </c>
      <c r="B141" s="24" t="s">
        <v>38</v>
      </c>
      <c r="C141" s="25" t="s">
        <v>71</v>
      </c>
      <c r="D141" s="6" t="s">
        <v>4</v>
      </c>
      <c r="E141" s="24" t="s">
        <v>12</v>
      </c>
      <c r="F141" s="24" t="s">
        <v>12</v>
      </c>
      <c r="G141" s="24" t="s">
        <v>516</v>
      </c>
      <c r="H141" s="30" t="s">
        <v>79</v>
      </c>
    </row>
    <row r="142" ht="20" customHeight="1" spans="1:8" x14ac:dyDescent="0.25">
      <c r="A142" s="22" t="s">
        <v>57</v>
      </c>
      <c r="B142" s="22" t="s">
        <v>40</v>
      </c>
      <c r="C142" s="23" t="s">
        <v>71</v>
      </c>
      <c r="D142" s="6" t="s">
        <v>4</v>
      </c>
      <c r="E142" s="22" t="s">
        <v>234</v>
      </c>
      <c r="F142" s="22" t="s">
        <v>520</v>
      </c>
      <c r="G142" s="22" t="s">
        <v>78</v>
      </c>
      <c r="H142" s="29" t="s">
        <v>236</v>
      </c>
    </row>
    <row r="143" ht="20" customHeight="1" spans="1:8" x14ac:dyDescent="0.25">
      <c r="A143" s="24" t="s">
        <v>58</v>
      </c>
      <c r="B143" s="24" t="s">
        <v>42</v>
      </c>
      <c r="C143" s="25" t="s">
        <v>71</v>
      </c>
      <c r="D143" s="33" t="s">
        <v>86</v>
      </c>
      <c r="E143" s="24" t="s">
        <v>12</v>
      </c>
      <c r="F143" s="24" t="s">
        <v>12</v>
      </c>
      <c r="G143" s="24" t="s">
        <v>12</v>
      </c>
      <c r="H143" s="24" t="s">
        <v>32</v>
      </c>
    </row>
    <row r="144" ht="20" customHeight="1" spans="1:8" x14ac:dyDescent="0.25">
      <c r="A144" s="22" t="s">
        <v>59</v>
      </c>
      <c r="B144" s="22" t="s">
        <v>45</v>
      </c>
      <c r="C144" s="23" t="s">
        <v>71</v>
      </c>
      <c r="D144" s="6" t="s">
        <v>4</v>
      </c>
      <c r="E144" s="22" t="s">
        <v>242</v>
      </c>
      <c r="F144" s="22" t="s">
        <v>182</v>
      </c>
      <c r="G144" s="22" t="s">
        <v>267</v>
      </c>
      <c r="H144" s="29" t="s">
        <v>244</v>
      </c>
    </row>
    <row r="145" ht="20" customHeight="1" spans="1:8" x14ac:dyDescent="0.25">
      <c r="A145" s="24" t="s">
        <v>60</v>
      </c>
      <c r="B145" s="24" t="s">
        <v>31</v>
      </c>
      <c r="C145" s="25" t="s">
        <v>71</v>
      </c>
      <c r="D145" s="6" t="s">
        <v>4</v>
      </c>
      <c r="E145" s="24" t="s">
        <v>242</v>
      </c>
      <c r="F145" s="24" t="s">
        <v>213</v>
      </c>
      <c r="G145" s="24" t="s">
        <v>410</v>
      </c>
      <c r="H145" s="34" t="s">
        <v>244</v>
      </c>
    </row>
    <row r="146" ht="20" customHeight="1" spans="1:8" x14ac:dyDescent="0.25">
      <c r="A146" s="22" t="s">
        <v>61</v>
      </c>
      <c r="B146" s="22" t="s">
        <v>34</v>
      </c>
      <c r="C146" s="23" t="s">
        <v>71</v>
      </c>
      <c r="D146" s="6" t="s">
        <v>4</v>
      </c>
      <c r="E146" s="22" t="s">
        <v>383</v>
      </c>
      <c r="F146" s="22" t="s">
        <v>225</v>
      </c>
      <c r="G146" s="22" t="s">
        <v>414</v>
      </c>
      <c r="H146" s="32" t="s">
        <v>79</v>
      </c>
    </row>
    <row r="147" ht="20" customHeight="1" spans="1:8" x14ac:dyDescent="0.25">
      <c r="A147" s="24" t="s">
        <v>62</v>
      </c>
      <c r="B147" s="24" t="s">
        <v>36</v>
      </c>
      <c r="C147" s="25" t="s">
        <v>71</v>
      </c>
      <c r="D147" s="6" t="s">
        <v>4</v>
      </c>
      <c r="E147" s="24" t="s">
        <v>199</v>
      </c>
      <c r="F147" s="24" t="s">
        <v>115</v>
      </c>
      <c r="G147" s="24" t="s">
        <v>74</v>
      </c>
      <c r="H147" s="34" t="s">
        <v>200</v>
      </c>
    </row>
    <row r="148" ht="20" customHeight="1" spans="1:8" x14ac:dyDescent="0.25">
      <c r="A148" s="22" t="s">
        <v>63</v>
      </c>
      <c r="B148" s="22" t="s">
        <v>38</v>
      </c>
      <c r="C148" s="23" t="s">
        <v>71</v>
      </c>
      <c r="D148" s="6" t="s">
        <v>4</v>
      </c>
      <c r="E148" s="22" t="s">
        <v>372</v>
      </c>
      <c r="F148" s="22" t="s">
        <v>447</v>
      </c>
      <c r="G148" s="22" t="s">
        <v>514</v>
      </c>
      <c r="H148" s="32" t="s">
        <v>79</v>
      </c>
    </row>
    <row r="149" ht="20" customHeight="1" spans="1:8" x14ac:dyDescent="0.25">
      <c r="A149" s="24" t="s">
        <v>64</v>
      </c>
      <c r="B149" s="24" t="s">
        <v>40</v>
      </c>
      <c r="C149" s="25" t="s">
        <v>71</v>
      </c>
      <c r="D149" s="33" t="s">
        <v>86</v>
      </c>
      <c r="E149" s="24" t="s">
        <v>12</v>
      </c>
      <c r="F149" s="24" t="s">
        <v>12</v>
      </c>
      <c r="G149" s="24" t="s">
        <v>12</v>
      </c>
      <c r="H149" s="24" t="s">
        <v>32</v>
      </c>
    </row>
    <row r="150" ht="20" customHeight="1" spans="1:8" x14ac:dyDescent="0.25">
      <c r="A150" s="22" t="s">
        <v>65</v>
      </c>
      <c r="B150" s="22" t="s">
        <v>42</v>
      </c>
      <c r="C150" s="23" t="s">
        <v>71</v>
      </c>
      <c r="D150" s="35" t="s">
        <v>86</v>
      </c>
      <c r="E150" s="22" t="s">
        <v>12</v>
      </c>
      <c r="F150" s="22" t="s">
        <v>12</v>
      </c>
      <c r="G150" s="22" t="s">
        <v>12</v>
      </c>
      <c r="H150" s="22" t="s">
        <v>32</v>
      </c>
    </row>
    <row r="151" ht="20" customHeight="1" spans="1:8" x14ac:dyDescent="0.25">
      <c r="A151" s="24" t="s">
        <v>66</v>
      </c>
      <c r="B151" s="24" t="s">
        <v>45</v>
      </c>
      <c r="C151" s="25" t="s">
        <v>71</v>
      </c>
      <c r="D151" s="6" t="s">
        <v>4</v>
      </c>
      <c r="E151" s="24" t="s">
        <v>230</v>
      </c>
      <c r="F151" s="24" t="s">
        <v>213</v>
      </c>
      <c r="G151" s="24" t="s">
        <v>147</v>
      </c>
      <c r="H151" s="34" t="s">
        <v>233</v>
      </c>
    </row>
    <row r="152" ht="20" customHeight="1" spans="1:8" x14ac:dyDescent="0.25">
      <c r="A152" s="22" t="s">
        <v>67</v>
      </c>
      <c r="B152" s="22" t="s">
        <v>31</v>
      </c>
      <c r="C152" s="23" t="s">
        <v>71</v>
      </c>
      <c r="D152" s="6" t="s">
        <v>4</v>
      </c>
      <c r="E152" s="22" t="s">
        <v>199</v>
      </c>
      <c r="F152" s="22" t="s">
        <v>245</v>
      </c>
      <c r="G152" s="22" t="s">
        <v>147</v>
      </c>
      <c r="H152" s="29" t="s">
        <v>200</v>
      </c>
    </row>
    <row r="153" ht="20" customHeight="1" spans="1:8" x14ac:dyDescent="0.25">
      <c r="A153" s="24" t="s">
        <v>68</v>
      </c>
      <c r="B153" s="24" t="s">
        <v>34</v>
      </c>
      <c r="C153" s="25" t="s">
        <v>71</v>
      </c>
      <c r="D153" s="6" t="s">
        <v>4</v>
      </c>
      <c r="E153" s="24" t="s">
        <v>228</v>
      </c>
      <c r="F153" s="24" t="s">
        <v>182</v>
      </c>
      <c r="G153" s="24" t="s">
        <v>329</v>
      </c>
      <c r="H153" s="34" t="s">
        <v>229</v>
      </c>
    </row>
    <row r="154" ht="22" customHeight="1" spans="1:8" x14ac:dyDescent="0.25">
      <c r="A154" s="26" t="s">
        <v>69</v>
      </c>
      <c r="B154" s="26"/>
      <c r="C154" s="26"/>
      <c r="D154" s="26"/>
      <c r="E154" s="26"/>
      <c r="F154" s="26"/>
      <c r="G154" s="27" t="s">
        <v>521</v>
      </c>
      <c r="H154" s="28" t="s">
        <v>12</v>
      </c>
    </row>
    <row r="156" ht="26" customHeight="1" spans="1:8" x14ac:dyDescent="0.25">
      <c r="A156" s="20" t="s">
        <v>522</v>
      </c>
      <c r="B156" s="20"/>
      <c r="C156" s="20"/>
      <c r="D156" s="20"/>
      <c r="E156" s="20"/>
      <c r="F156" s="20"/>
      <c r="G156" s="20"/>
      <c r="H156" s="20"/>
    </row>
    <row r="157" ht="22" customHeight="1" spans="1:8" x14ac:dyDescent="0.25">
      <c r="A157" s="21" t="s">
        <v>22</v>
      </c>
      <c r="B157" s="21" t="s">
        <v>23</v>
      </c>
      <c r="C157" s="21" t="s">
        <v>24</v>
      </c>
      <c r="D157" s="21" t="s">
        <v>25</v>
      </c>
      <c r="E157" s="21" t="s">
        <v>26</v>
      </c>
      <c r="F157" s="21" t="s">
        <v>27</v>
      </c>
      <c r="G157" s="21" t="s">
        <v>28</v>
      </c>
      <c r="H157" s="21" t="s">
        <v>29</v>
      </c>
    </row>
    <row r="158" ht="20" customHeight="1" spans="1:8" x14ac:dyDescent="0.25">
      <c r="A158" s="22" t="s">
        <v>30</v>
      </c>
      <c r="B158" s="22" t="s">
        <v>31</v>
      </c>
      <c r="C158" s="23" t="s">
        <v>71</v>
      </c>
      <c r="D158" s="6" t="s">
        <v>4</v>
      </c>
      <c r="E158" s="22" t="s">
        <v>372</v>
      </c>
      <c r="F158" s="22" t="s">
        <v>386</v>
      </c>
      <c r="G158" s="22" t="s">
        <v>99</v>
      </c>
      <c r="H158" s="32" t="s">
        <v>79</v>
      </c>
    </row>
    <row r="159" ht="20" customHeight="1" spans="1:8" x14ac:dyDescent="0.25">
      <c r="A159" s="24" t="s">
        <v>33</v>
      </c>
      <c r="B159" s="24" t="s">
        <v>34</v>
      </c>
      <c r="C159" s="25" t="s">
        <v>71</v>
      </c>
      <c r="D159" s="6" t="s">
        <v>4</v>
      </c>
      <c r="E159" s="24" t="s">
        <v>372</v>
      </c>
      <c r="F159" s="24" t="s">
        <v>447</v>
      </c>
      <c r="G159" s="24" t="s">
        <v>263</v>
      </c>
      <c r="H159" s="30" t="s">
        <v>79</v>
      </c>
    </row>
    <row r="160" ht="20" customHeight="1" spans="1:8" x14ac:dyDescent="0.25">
      <c r="A160" s="22" t="s">
        <v>35</v>
      </c>
      <c r="B160" s="22" t="s">
        <v>36</v>
      </c>
      <c r="C160" s="23" t="s">
        <v>71</v>
      </c>
      <c r="D160" s="6" t="s">
        <v>4</v>
      </c>
      <c r="E160" s="22" t="s">
        <v>289</v>
      </c>
      <c r="F160" s="22" t="s">
        <v>523</v>
      </c>
      <c r="G160" s="22" t="s">
        <v>261</v>
      </c>
      <c r="H160" s="29" t="s">
        <v>524</v>
      </c>
    </row>
    <row r="161" ht="20" customHeight="1" spans="1:8" x14ac:dyDescent="0.25">
      <c r="A161" s="24" t="s">
        <v>37</v>
      </c>
      <c r="B161" s="24" t="s">
        <v>38</v>
      </c>
      <c r="C161" s="25" t="s">
        <v>71</v>
      </c>
      <c r="D161" s="31" t="s">
        <v>11</v>
      </c>
      <c r="E161" s="24" t="s">
        <v>12</v>
      </c>
      <c r="F161" s="24" t="s">
        <v>12</v>
      </c>
      <c r="G161" s="24" t="s">
        <v>12</v>
      </c>
      <c r="H161" s="24" t="s">
        <v>32</v>
      </c>
    </row>
    <row r="162" ht="20" customHeight="1" spans="1:8" x14ac:dyDescent="0.25">
      <c r="A162" s="22" t="s">
        <v>39</v>
      </c>
      <c r="B162" s="22" t="s">
        <v>40</v>
      </c>
      <c r="C162" s="23" t="s">
        <v>71</v>
      </c>
      <c r="D162" s="6" t="s">
        <v>4</v>
      </c>
      <c r="E162" s="22" t="s">
        <v>397</v>
      </c>
      <c r="F162" s="22" t="s">
        <v>136</v>
      </c>
      <c r="G162" s="22" t="s">
        <v>250</v>
      </c>
      <c r="H162" s="32" t="s">
        <v>79</v>
      </c>
    </row>
    <row r="163" ht="20" customHeight="1" spans="1:8" x14ac:dyDescent="0.25">
      <c r="A163" s="24" t="s">
        <v>41</v>
      </c>
      <c r="B163" s="24" t="s">
        <v>42</v>
      </c>
      <c r="C163" s="25" t="s">
        <v>71</v>
      </c>
      <c r="D163" s="33" t="s">
        <v>86</v>
      </c>
      <c r="E163" s="24" t="s">
        <v>12</v>
      </c>
      <c r="F163" s="24" t="s">
        <v>12</v>
      </c>
      <c r="G163" s="24" t="s">
        <v>12</v>
      </c>
      <c r="H163" s="24" t="s">
        <v>32</v>
      </c>
    </row>
    <row r="164" ht="20" customHeight="1" spans="1:8" x14ac:dyDescent="0.25">
      <c r="A164" s="22" t="s">
        <v>44</v>
      </c>
      <c r="B164" s="22" t="s">
        <v>45</v>
      </c>
      <c r="C164" s="23" t="s">
        <v>71</v>
      </c>
      <c r="D164" s="6" t="s">
        <v>4</v>
      </c>
      <c r="E164" s="22" t="s">
        <v>515</v>
      </c>
      <c r="F164" s="22" t="s">
        <v>133</v>
      </c>
      <c r="G164" s="22" t="s">
        <v>429</v>
      </c>
      <c r="H164" s="29" t="s">
        <v>517</v>
      </c>
    </row>
    <row r="165" ht="20" customHeight="1" spans="1:8" x14ac:dyDescent="0.25">
      <c r="A165" s="24" t="s">
        <v>46</v>
      </c>
      <c r="B165" s="24" t="s">
        <v>31</v>
      </c>
      <c r="C165" s="25" t="s">
        <v>71</v>
      </c>
      <c r="D165" s="6" t="s">
        <v>4</v>
      </c>
      <c r="E165" s="24" t="s">
        <v>307</v>
      </c>
      <c r="F165" s="24" t="s">
        <v>525</v>
      </c>
      <c r="G165" s="24" t="s">
        <v>285</v>
      </c>
      <c r="H165" s="34" t="s">
        <v>526</v>
      </c>
    </row>
    <row r="166" ht="20" customHeight="1" spans="1:8" x14ac:dyDescent="0.25">
      <c r="A166" s="22" t="s">
        <v>47</v>
      </c>
      <c r="B166" s="22" t="s">
        <v>34</v>
      </c>
      <c r="C166" s="23" t="s">
        <v>71</v>
      </c>
      <c r="D166" s="6" t="s">
        <v>4</v>
      </c>
      <c r="E166" s="22" t="s">
        <v>527</v>
      </c>
      <c r="F166" s="22" t="s">
        <v>110</v>
      </c>
      <c r="G166" s="22" t="s">
        <v>203</v>
      </c>
      <c r="H166" s="32" t="s">
        <v>79</v>
      </c>
    </row>
    <row r="167" ht="20" customHeight="1" spans="1:8" x14ac:dyDescent="0.25">
      <c r="A167" s="24" t="s">
        <v>48</v>
      </c>
      <c r="B167" s="24" t="s">
        <v>36</v>
      </c>
      <c r="C167" s="25" t="s">
        <v>71</v>
      </c>
      <c r="D167" s="6" t="s">
        <v>4</v>
      </c>
      <c r="E167" s="24" t="s">
        <v>528</v>
      </c>
      <c r="F167" s="24" t="s">
        <v>523</v>
      </c>
      <c r="G167" s="24" t="s">
        <v>180</v>
      </c>
      <c r="H167" s="34" t="s">
        <v>524</v>
      </c>
    </row>
    <row r="168" ht="20" customHeight="1" spans="1:8" x14ac:dyDescent="0.25">
      <c r="A168" s="22" t="s">
        <v>49</v>
      </c>
      <c r="B168" s="22" t="s">
        <v>38</v>
      </c>
      <c r="C168" s="23" t="s">
        <v>71</v>
      </c>
      <c r="D168" s="6" t="s">
        <v>4</v>
      </c>
      <c r="E168" s="22" t="s">
        <v>125</v>
      </c>
      <c r="F168" s="22" t="s">
        <v>133</v>
      </c>
      <c r="G168" s="22" t="s">
        <v>285</v>
      </c>
      <c r="H168" s="32" t="s">
        <v>79</v>
      </c>
    </row>
    <row r="169" ht="20" customHeight="1" spans="1:8" x14ac:dyDescent="0.25">
      <c r="A169" s="24" t="s">
        <v>50</v>
      </c>
      <c r="B169" s="24" t="s">
        <v>40</v>
      </c>
      <c r="C169" s="25" t="s">
        <v>71</v>
      </c>
      <c r="D169" s="33" t="s">
        <v>86</v>
      </c>
      <c r="E169" s="24" t="s">
        <v>12</v>
      </c>
      <c r="F169" s="24" t="s">
        <v>12</v>
      </c>
      <c r="G169" s="24" t="s">
        <v>12</v>
      </c>
      <c r="H169" s="24" t="s">
        <v>32</v>
      </c>
    </row>
    <row r="170" ht="20" customHeight="1" spans="1:8" x14ac:dyDescent="0.25">
      <c r="A170" s="22" t="s">
        <v>51</v>
      </c>
      <c r="B170" s="22" t="s">
        <v>42</v>
      </c>
      <c r="C170" s="23" t="s">
        <v>71</v>
      </c>
      <c r="D170" s="35" t="s">
        <v>86</v>
      </c>
      <c r="E170" s="22" t="s">
        <v>12</v>
      </c>
      <c r="F170" s="22" t="s">
        <v>12</v>
      </c>
      <c r="G170" s="22" t="s">
        <v>12</v>
      </c>
      <c r="H170" s="22" t="s">
        <v>32</v>
      </c>
    </row>
    <row r="171" ht="20" customHeight="1" spans="1:8" x14ac:dyDescent="0.25">
      <c r="A171" s="24" t="s">
        <v>52</v>
      </c>
      <c r="B171" s="24" t="s">
        <v>45</v>
      </c>
      <c r="C171" s="25" t="s">
        <v>71</v>
      </c>
      <c r="D171" s="6" t="s">
        <v>4</v>
      </c>
      <c r="E171" s="24" t="s">
        <v>125</v>
      </c>
      <c r="F171" s="24" t="s">
        <v>136</v>
      </c>
      <c r="G171" s="24" t="s">
        <v>99</v>
      </c>
      <c r="H171" s="30" t="s">
        <v>79</v>
      </c>
    </row>
    <row r="172" ht="20" customHeight="1" spans="1:8" x14ac:dyDescent="0.25">
      <c r="A172" s="22" t="s">
        <v>53</v>
      </c>
      <c r="B172" s="22" t="s">
        <v>31</v>
      </c>
      <c r="C172" s="23" t="s">
        <v>71</v>
      </c>
      <c r="D172" s="6" t="s">
        <v>4</v>
      </c>
      <c r="E172" s="22" t="s">
        <v>284</v>
      </c>
      <c r="F172" s="22" t="s">
        <v>448</v>
      </c>
      <c r="G172" s="22" t="s">
        <v>250</v>
      </c>
      <c r="H172" s="32" t="s">
        <v>79</v>
      </c>
    </row>
    <row r="173" ht="20" customHeight="1" spans="1:8" x14ac:dyDescent="0.25">
      <c r="A173" s="24" t="s">
        <v>54</v>
      </c>
      <c r="B173" s="24" t="s">
        <v>34</v>
      </c>
      <c r="C173" s="25" t="s">
        <v>71</v>
      </c>
      <c r="D173" s="6" t="s">
        <v>4</v>
      </c>
      <c r="E173" s="24" t="s">
        <v>437</v>
      </c>
      <c r="F173" s="24" t="s">
        <v>529</v>
      </c>
      <c r="G173" s="24" t="s">
        <v>147</v>
      </c>
      <c r="H173" s="30" t="s">
        <v>79</v>
      </c>
    </row>
    <row r="174" ht="20" customHeight="1" spans="1:8" x14ac:dyDescent="0.25">
      <c r="A174" s="22" t="s">
        <v>55</v>
      </c>
      <c r="B174" s="22" t="s">
        <v>36</v>
      </c>
      <c r="C174" s="23" t="s">
        <v>71</v>
      </c>
      <c r="D174" s="6" t="s">
        <v>4</v>
      </c>
      <c r="E174" s="22" t="s">
        <v>275</v>
      </c>
      <c r="F174" s="22" t="s">
        <v>529</v>
      </c>
      <c r="G174" s="22" t="s">
        <v>410</v>
      </c>
      <c r="H174" s="32" t="s">
        <v>79</v>
      </c>
    </row>
    <row r="175" ht="20" customHeight="1" spans="1:8" x14ac:dyDescent="0.25">
      <c r="A175" s="24" t="s">
        <v>56</v>
      </c>
      <c r="B175" s="24" t="s">
        <v>38</v>
      </c>
      <c r="C175" s="25" t="s">
        <v>71</v>
      </c>
      <c r="D175" s="6" t="s">
        <v>4</v>
      </c>
      <c r="E175" s="24" t="s">
        <v>503</v>
      </c>
      <c r="F175" s="24" t="s">
        <v>530</v>
      </c>
      <c r="G175" s="24" t="s">
        <v>531</v>
      </c>
      <c r="H175" s="34" t="s">
        <v>532</v>
      </c>
    </row>
    <row r="176" ht="20" customHeight="1" spans="1:8" x14ac:dyDescent="0.25">
      <c r="A176" s="22" t="s">
        <v>57</v>
      </c>
      <c r="B176" s="22" t="s">
        <v>40</v>
      </c>
      <c r="C176" s="23" t="s">
        <v>71</v>
      </c>
      <c r="D176" s="6" t="s">
        <v>4</v>
      </c>
      <c r="E176" s="22" t="s">
        <v>297</v>
      </c>
      <c r="F176" s="22" t="s">
        <v>118</v>
      </c>
      <c r="G176" s="22" t="s">
        <v>279</v>
      </c>
      <c r="H176" s="29" t="s">
        <v>120</v>
      </c>
    </row>
    <row r="177" ht="20" customHeight="1" spans="1:8" x14ac:dyDescent="0.25">
      <c r="A177" s="24" t="s">
        <v>58</v>
      </c>
      <c r="B177" s="24" t="s">
        <v>42</v>
      </c>
      <c r="C177" s="25" t="s">
        <v>71</v>
      </c>
      <c r="D177" s="33" t="s">
        <v>86</v>
      </c>
      <c r="E177" s="24" t="s">
        <v>12</v>
      </c>
      <c r="F177" s="24" t="s">
        <v>12</v>
      </c>
      <c r="G177" s="24" t="s">
        <v>12</v>
      </c>
      <c r="H177" s="24" t="s">
        <v>32</v>
      </c>
    </row>
    <row r="178" ht="20" customHeight="1" spans="1:8" x14ac:dyDescent="0.25">
      <c r="A178" s="22" t="s">
        <v>59</v>
      </c>
      <c r="B178" s="22" t="s">
        <v>45</v>
      </c>
      <c r="C178" s="23" t="s">
        <v>71</v>
      </c>
      <c r="D178" s="6" t="s">
        <v>4</v>
      </c>
      <c r="E178" s="22" t="s">
        <v>533</v>
      </c>
      <c r="F178" s="22" t="s">
        <v>504</v>
      </c>
      <c r="G178" s="22" t="s">
        <v>290</v>
      </c>
      <c r="H178" s="29" t="s">
        <v>506</v>
      </c>
    </row>
    <row r="179" ht="20" customHeight="1" spans="1:8" x14ac:dyDescent="0.25">
      <c r="A179" s="24" t="s">
        <v>60</v>
      </c>
      <c r="B179" s="24" t="s">
        <v>31</v>
      </c>
      <c r="C179" s="25" t="s">
        <v>71</v>
      </c>
      <c r="D179" s="6" t="s">
        <v>4</v>
      </c>
      <c r="E179" s="24" t="s">
        <v>443</v>
      </c>
      <c r="F179" s="24" t="s">
        <v>534</v>
      </c>
      <c r="G179" s="24" t="s">
        <v>174</v>
      </c>
      <c r="H179" s="34" t="s">
        <v>535</v>
      </c>
    </row>
    <row r="180" ht="20" customHeight="1" spans="1:8" x14ac:dyDescent="0.25">
      <c r="A180" s="22" t="s">
        <v>61</v>
      </c>
      <c r="B180" s="22" t="s">
        <v>34</v>
      </c>
      <c r="C180" s="23" t="s">
        <v>71</v>
      </c>
      <c r="D180" s="6" t="s">
        <v>4</v>
      </c>
      <c r="E180" s="22" t="s">
        <v>435</v>
      </c>
      <c r="F180" s="22" t="s">
        <v>536</v>
      </c>
      <c r="G180" s="22" t="s">
        <v>267</v>
      </c>
      <c r="H180" s="29" t="s">
        <v>537</v>
      </c>
    </row>
    <row r="181" ht="20" customHeight="1" spans="1:8" x14ac:dyDescent="0.25">
      <c r="A181" s="24" t="s">
        <v>62</v>
      </c>
      <c r="B181" s="24" t="s">
        <v>36</v>
      </c>
      <c r="C181" s="25" t="s">
        <v>71</v>
      </c>
      <c r="D181" s="6" t="s">
        <v>4</v>
      </c>
      <c r="E181" s="24" t="s">
        <v>435</v>
      </c>
      <c r="F181" s="24" t="s">
        <v>534</v>
      </c>
      <c r="G181" s="24" t="s">
        <v>99</v>
      </c>
      <c r="H181" s="34" t="s">
        <v>535</v>
      </c>
    </row>
    <row r="182" ht="20" customHeight="1" spans="1:8" x14ac:dyDescent="0.25">
      <c r="A182" s="22" t="s">
        <v>63</v>
      </c>
      <c r="B182" s="22" t="s">
        <v>38</v>
      </c>
      <c r="C182" s="23" t="s">
        <v>71</v>
      </c>
      <c r="D182" s="6" t="s">
        <v>4</v>
      </c>
      <c r="E182" s="22" t="s">
        <v>538</v>
      </c>
      <c r="F182" s="22" t="s">
        <v>539</v>
      </c>
      <c r="G182" s="22" t="s">
        <v>429</v>
      </c>
      <c r="H182" s="29" t="s">
        <v>540</v>
      </c>
    </row>
    <row r="183" ht="20" customHeight="1" spans="1:8" x14ac:dyDescent="0.25">
      <c r="A183" s="24" t="s">
        <v>64</v>
      </c>
      <c r="B183" s="24" t="s">
        <v>40</v>
      </c>
      <c r="C183" s="25" t="s">
        <v>71</v>
      </c>
      <c r="D183" s="33" t="s">
        <v>86</v>
      </c>
      <c r="E183" s="24" t="s">
        <v>12</v>
      </c>
      <c r="F183" s="24" t="s">
        <v>12</v>
      </c>
      <c r="G183" s="24" t="s">
        <v>12</v>
      </c>
      <c r="H183" s="24" t="s">
        <v>32</v>
      </c>
    </row>
    <row r="184" ht="20" customHeight="1" spans="1:8" x14ac:dyDescent="0.25">
      <c r="A184" s="22" t="s">
        <v>65</v>
      </c>
      <c r="B184" s="22" t="s">
        <v>42</v>
      </c>
      <c r="C184" s="23" t="s">
        <v>71</v>
      </c>
      <c r="D184" s="35" t="s">
        <v>86</v>
      </c>
      <c r="E184" s="22" t="s">
        <v>12</v>
      </c>
      <c r="F184" s="22" t="s">
        <v>12</v>
      </c>
      <c r="G184" s="22" t="s">
        <v>12</v>
      </c>
      <c r="H184" s="22" t="s">
        <v>32</v>
      </c>
    </row>
    <row r="185" ht="20" customHeight="1" spans="1:8" x14ac:dyDescent="0.25">
      <c r="A185" s="24" t="s">
        <v>66</v>
      </c>
      <c r="B185" s="24" t="s">
        <v>45</v>
      </c>
      <c r="C185" s="25" t="s">
        <v>71</v>
      </c>
      <c r="D185" s="10" t="s">
        <v>87</v>
      </c>
      <c r="E185" s="24" t="s">
        <v>12</v>
      </c>
      <c r="F185" s="24" t="s">
        <v>12</v>
      </c>
      <c r="G185" s="24" t="s">
        <v>12</v>
      </c>
      <c r="H185" s="24" t="s">
        <v>32</v>
      </c>
    </row>
    <row r="186" ht="20" customHeight="1" spans="1:8" x14ac:dyDescent="0.25">
      <c r="A186" s="22" t="s">
        <v>67</v>
      </c>
      <c r="B186" s="22" t="s">
        <v>31</v>
      </c>
      <c r="C186" s="23" t="s">
        <v>71</v>
      </c>
      <c r="D186" s="6" t="s">
        <v>4</v>
      </c>
      <c r="E186" s="22" t="s">
        <v>409</v>
      </c>
      <c r="F186" s="22" t="s">
        <v>276</v>
      </c>
      <c r="G186" s="22" t="s">
        <v>99</v>
      </c>
      <c r="H186" s="32" t="s">
        <v>79</v>
      </c>
    </row>
    <row r="187" ht="20" customHeight="1" spans="1:8" x14ac:dyDescent="0.25">
      <c r="A187" s="24" t="s">
        <v>68</v>
      </c>
      <c r="B187" s="24" t="s">
        <v>34</v>
      </c>
      <c r="C187" s="25" t="s">
        <v>71</v>
      </c>
      <c r="D187" s="6" t="s">
        <v>4</v>
      </c>
      <c r="E187" s="24" t="s">
        <v>511</v>
      </c>
      <c r="F187" s="24" t="s">
        <v>118</v>
      </c>
      <c r="G187" s="24" t="s">
        <v>99</v>
      </c>
      <c r="H187" s="34" t="s">
        <v>120</v>
      </c>
    </row>
    <row r="188" ht="22" customHeight="1" spans="1:8" x14ac:dyDescent="0.25">
      <c r="A188" s="26" t="s">
        <v>69</v>
      </c>
      <c r="B188" s="26"/>
      <c r="C188" s="26"/>
      <c r="D188" s="26"/>
      <c r="E188" s="26"/>
      <c r="F188" s="26"/>
      <c r="G188" s="27" t="s">
        <v>541</v>
      </c>
      <c r="H188" s="28" t="s">
        <v>12</v>
      </c>
    </row>
    <row r="190" ht="26" customHeight="1" spans="1:8" x14ac:dyDescent="0.25">
      <c r="A190" s="20" t="s">
        <v>542</v>
      </c>
      <c r="B190" s="20"/>
      <c r="C190" s="20"/>
      <c r="D190" s="20"/>
      <c r="E190" s="20"/>
      <c r="F190" s="20"/>
      <c r="G190" s="20"/>
      <c r="H190" s="20"/>
    </row>
    <row r="191" ht="22" customHeight="1" spans="1:8" x14ac:dyDescent="0.25">
      <c r="A191" s="21" t="s">
        <v>22</v>
      </c>
      <c r="B191" s="21" t="s">
        <v>23</v>
      </c>
      <c r="C191" s="21" t="s">
        <v>24</v>
      </c>
      <c r="D191" s="21" t="s">
        <v>25</v>
      </c>
      <c r="E191" s="21" t="s">
        <v>26</v>
      </c>
      <c r="F191" s="21" t="s">
        <v>27</v>
      </c>
      <c r="G191" s="21" t="s">
        <v>28</v>
      </c>
      <c r="H191" s="21" t="s">
        <v>29</v>
      </c>
    </row>
    <row r="192" ht="20" customHeight="1" spans="1:8" x14ac:dyDescent="0.25">
      <c r="A192" s="22" t="s">
        <v>30</v>
      </c>
      <c r="B192" s="22" t="s">
        <v>31</v>
      </c>
      <c r="C192" s="23" t="s">
        <v>32</v>
      </c>
      <c r="D192" s="7" t="s">
        <v>5</v>
      </c>
      <c r="E192" s="22" t="s">
        <v>12</v>
      </c>
      <c r="F192" s="22" t="s">
        <v>12</v>
      </c>
      <c r="G192" s="22" t="s">
        <v>12</v>
      </c>
      <c r="H192" s="22" t="s">
        <v>32</v>
      </c>
    </row>
    <row r="193" ht="20" customHeight="1" spans="1:8" x14ac:dyDescent="0.25">
      <c r="A193" s="24" t="s">
        <v>33</v>
      </c>
      <c r="B193" s="24" t="s">
        <v>34</v>
      </c>
      <c r="C193" s="25" t="s">
        <v>32</v>
      </c>
      <c r="D193" s="7" t="s">
        <v>5</v>
      </c>
      <c r="E193" s="24" t="s">
        <v>12</v>
      </c>
      <c r="F193" s="24" t="s">
        <v>12</v>
      </c>
      <c r="G193" s="24" t="s">
        <v>12</v>
      </c>
      <c r="H193" s="24" t="s">
        <v>32</v>
      </c>
    </row>
    <row r="194" ht="20" customHeight="1" spans="1:8" x14ac:dyDescent="0.25">
      <c r="A194" s="22" t="s">
        <v>35</v>
      </c>
      <c r="B194" s="22" t="s">
        <v>36</v>
      </c>
      <c r="C194" s="23" t="s">
        <v>32</v>
      </c>
      <c r="D194" s="7" t="s">
        <v>5</v>
      </c>
      <c r="E194" s="22" t="s">
        <v>12</v>
      </c>
      <c r="F194" s="22" t="s">
        <v>12</v>
      </c>
      <c r="G194" s="22" t="s">
        <v>12</v>
      </c>
      <c r="H194" s="22" t="s">
        <v>32</v>
      </c>
    </row>
    <row r="195" ht="20" customHeight="1" spans="1:8" x14ac:dyDescent="0.25">
      <c r="A195" s="24" t="s">
        <v>37</v>
      </c>
      <c r="B195" s="24" t="s">
        <v>38</v>
      </c>
      <c r="C195" s="25" t="s">
        <v>32</v>
      </c>
      <c r="D195" s="7" t="s">
        <v>5</v>
      </c>
      <c r="E195" s="24" t="s">
        <v>12</v>
      </c>
      <c r="F195" s="24" t="s">
        <v>12</v>
      </c>
      <c r="G195" s="24" t="s">
        <v>12</v>
      </c>
      <c r="H195" s="24" t="s">
        <v>32</v>
      </c>
    </row>
    <row r="196" ht="20" customHeight="1" spans="1:8" x14ac:dyDescent="0.25">
      <c r="A196" s="22" t="s">
        <v>39</v>
      </c>
      <c r="B196" s="22" t="s">
        <v>40</v>
      </c>
      <c r="C196" s="23" t="s">
        <v>32</v>
      </c>
      <c r="D196" s="7" t="s">
        <v>5</v>
      </c>
      <c r="E196" s="22" t="s">
        <v>12</v>
      </c>
      <c r="F196" s="22" t="s">
        <v>12</v>
      </c>
      <c r="G196" s="22" t="s">
        <v>12</v>
      </c>
      <c r="H196" s="22" t="s">
        <v>32</v>
      </c>
    </row>
    <row r="197" ht="20" customHeight="1" spans="1:8" x14ac:dyDescent="0.25">
      <c r="A197" s="24" t="s">
        <v>41</v>
      </c>
      <c r="B197" s="24" t="s">
        <v>42</v>
      </c>
      <c r="C197" s="25" t="s">
        <v>32</v>
      </c>
      <c r="D197" s="16" t="s">
        <v>43</v>
      </c>
      <c r="E197" s="24" t="s">
        <v>12</v>
      </c>
      <c r="F197" s="24" t="s">
        <v>12</v>
      </c>
      <c r="G197" s="24" t="s">
        <v>12</v>
      </c>
      <c r="H197" s="24" t="s">
        <v>32</v>
      </c>
    </row>
    <row r="198" ht="20" customHeight="1" spans="1:8" x14ac:dyDescent="0.25">
      <c r="A198" s="22" t="s">
        <v>44</v>
      </c>
      <c r="B198" s="22" t="s">
        <v>45</v>
      </c>
      <c r="C198" s="23" t="s">
        <v>32</v>
      </c>
      <c r="D198" s="7" t="s">
        <v>5</v>
      </c>
      <c r="E198" s="22" t="s">
        <v>12</v>
      </c>
      <c r="F198" s="22" t="s">
        <v>12</v>
      </c>
      <c r="G198" s="22" t="s">
        <v>12</v>
      </c>
      <c r="H198" s="22" t="s">
        <v>32</v>
      </c>
    </row>
    <row r="199" ht="20" customHeight="1" spans="1:8" x14ac:dyDescent="0.25">
      <c r="A199" s="24" t="s">
        <v>46</v>
      </c>
      <c r="B199" s="24" t="s">
        <v>31</v>
      </c>
      <c r="C199" s="25" t="s">
        <v>32</v>
      </c>
      <c r="D199" s="7" t="s">
        <v>5</v>
      </c>
      <c r="E199" s="24" t="s">
        <v>12</v>
      </c>
      <c r="F199" s="24" t="s">
        <v>12</v>
      </c>
      <c r="G199" s="24" t="s">
        <v>12</v>
      </c>
      <c r="H199" s="24" t="s">
        <v>32</v>
      </c>
    </row>
    <row r="200" ht="20" customHeight="1" spans="1:8" x14ac:dyDescent="0.25">
      <c r="A200" s="22" t="s">
        <v>47</v>
      </c>
      <c r="B200" s="22" t="s">
        <v>34</v>
      </c>
      <c r="C200" s="23" t="s">
        <v>32</v>
      </c>
      <c r="D200" s="7" t="s">
        <v>5</v>
      </c>
      <c r="E200" s="22" t="s">
        <v>12</v>
      </c>
      <c r="F200" s="22" t="s">
        <v>12</v>
      </c>
      <c r="G200" s="22" t="s">
        <v>12</v>
      </c>
      <c r="H200" s="22" t="s">
        <v>32</v>
      </c>
    </row>
    <row r="201" ht="20" customHeight="1" spans="1:8" x14ac:dyDescent="0.25">
      <c r="A201" s="24" t="s">
        <v>48</v>
      </c>
      <c r="B201" s="24" t="s">
        <v>36</v>
      </c>
      <c r="C201" s="25" t="s">
        <v>32</v>
      </c>
      <c r="D201" s="7" t="s">
        <v>5</v>
      </c>
      <c r="E201" s="24" t="s">
        <v>12</v>
      </c>
      <c r="F201" s="24" t="s">
        <v>12</v>
      </c>
      <c r="G201" s="24" t="s">
        <v>12</v>
      </c>
      <c r="H201" s="24" t="s">
        <v>32</v>
      </c>
    </row>
    <row r="202" ht="20" customHeight="1" spans="1:8" x14ac:dyDescent="0.25">
      <c r="A202" s="22" t="s">
        <v>49</v>
      </c>
      <c r="B202" s="22" t="s">
        <v>38</v>
      </c>
      <c r="C202" s="23" t="s">
        <v>32</v>
      </c>
      <c r="D202" s="7" t="s">
        <v>5</v>
      </c>
      <c r="E202" s="22" t="s">
        <v>12</v>
      </c>
      <c r="F202" s="22" t="s">
        <v>12</v>
      </c>
      <c r="G202" s="22" t="s">
        <v>12</v>
      </c>
      <c r="H202" s="22" t="s">
        <v>32</v>
      </c>
    </row>
    <row r="203" ht="20" customHeight="1" spans="1:8" x14ac:dyDescent="0.25">
      <c r="A203" s="24" t="s">
        <v>50</v>
      </c>
      <c r="B203" s="24" t="s">
        <v>40</v>
      </c>
      <c r="C203" s="25" t="s">
        <v>32</v>
      </c>
      <c r="D203" s="7" t="s">
        <v>5</v>
      </c>
      <c r="E203" s="24" t="s">
        <v>12</v>
      </c>
      <c r="F203" s="24" t="s">
        <v>12</v>
      </c>
      <c r="G203" s="24" t="s">
        <v>12</v>
      </c>
      <c r="H203" s="24" t="s">
        <v>32</v>
      </c>
    </row>
    <row r="204" ht="20" customHeight="1" spans="1:8" x14ac:dyDescent="0.25">
      <c r="A204" s="22" t="s">
        <v>51</v>
      </c>
      <c r="B204" s="22" t="s">
        <v>42</v>
      </c>
      <c r="C204" s="23" t="s">
        <v>32</v>
      </c>
      <c r="D204" s="16" t="s">
        <v>43</v>
      </c>
      <c r="E204" s="22" t="s">
        <v>12</v>
      </c>
      <c r="F204" s="22" t="s">
        <v>12</v>
      </c>
      <c r="G204" s="22" t="s">
        <v>12</v>
      </c>
      <c r="H204" s="22" t="s">
        <v>32</v>
      </c>
    </row>
    <row r="205" ht="20" customHeight="1" spans="1:8" x14ac:dyDescent="0.25">
      <c r="A205" s="24" t="s">
        <v>52</v>
      </c>
      <c r="B205" s="24" t="s">
        <v>45</v>
      </c>
      <c r="C205" s="25" t="s">
        <v>32</v>
      </c>
      <c r="D205" s="7" t="s">
        <v>5</v>
      </c>
      <c r="E205" s="24" t="s">
        <v>12</v>
      </c>
      <c r="F205" s="24" t="s">
        <v>12</v>
      </c>
      <c r="G205" s="24" t="s">
        <v>12</v>
      </c>
      <c r="H205" s="24" t="s">
        <v>32</v>
      </c>
    </row>
    <row r="206" ht="20" customHeight="1" spans="1:8" x14ac:dyDescent="0.25">
      <c r="A206" s="22" t="s">
        <v>53</v>
      </c>
      <c r="B206" s="22" t="s">
        <v>31</v>
      </c>
      <c r="C206" s="23" t="s">
        <v>32</v>
      </c>
      <c r="D206" s="7" t="s">
        <v>5</v>
      </c>
      <c r="E206" s="22" t="s">
        <v>12</v>
      </c>
      <c r="F206" s="22" t="s">
        <v>12</v>
      </c>
      <c r="G206" s="22" t="s">
        <v>12</v>
      </c>
      <c r="H206" s="22" t="s">
        <v>32</v>
      </c>
    </row>
    <row r="207" ht="20" customHeight="1" spans="1:8" x14ac:dyDescent="0.25">
      <c r="A207" s="24" t="s">
        <v>54</v>
      </c>
      <c r="B207" s="24" t="s">
        <v>34</v>
      </c>
      <c r="C207" s="25" t="s">
        <v>32</v>
      </c>
      <c r="D207" s="7" t="s">
        <v>5</v>
      </c>
      <c r="E207" s="24" t="s">
        <v>12</v>
      </c>
      <c r="F207" s="24" t="s">
        <v>12</v>
      </c>
      <c r="G207" s="24" t="s">
        <v>12</v>
      </c>
      <c r="H207" s="24" t="s">
        <v>32</v>
      </c>
    </row>
    <row r="208" ht="20" customHeight="1" spans="1:8" x14ac:dyDescent="0.25">
      <c r="A208" s="22" t="s">
        <v>55</v>
      </c>
      <c r="B208" s="22" t="s">
        <v>36</v>
      </c>
      <c r="C208" s="23" t="s">
        <v>32</v>
      </c>
      <c r="D208" s="7" t="s">
        <v>5</v>
      </c>
      <c r="E208" s="22" t="s">
        <v>12</v>
      </c>
      <c r="F208" s="22" t="s">
        <v>12</v>
      </c>
      <c r="G208" s="22" t="s">
        <v>12</v>
      </c>
      <c r="H208" s="22" t="s">
        <v>32</v>
      </c>
    </row>
    <row r="209" ht="20" customHeight="1" spans="1:8" x14ac:dyDescent="0.25">
      <c r="A209" s="24" t="s">
        <v>56</v>
      </c>
      <c r="B209" s="24" t="s">
        <v>38</v>
      </c>
      <c r="C209" s="25" t="s">
        <v>32</v>
      </c>
      <c r="D209" s="7" t="s">
        <v>5</v>
      </c>
      <c r="E209" s="24" t="s">
        <v>12</v>
      </c>
      <c r="F209" s="24" t="s">
        <v>12</v>
      </c>
      <c r="G209" s="24" t="s">
        <v>12</v>
      </c>
      <c r="H209" s="24" t="s">
        <v>32</v>
      </c>
    </row>
    <row r="210" ht="20" customHeight="1" spans="1:8" x14ac:dyDescent="0.25">
      <c r="A210" s="22" t="s">
        <v>57</v>
      </c>
      <c r="B210" s="22" t="s">
        <v>40</v>
      </c>
      <c r="C210" s="23" t="s">
        <v>32</v>
      </c>
      <c r="D210" s="7" t="s">
        <v>5</v>
      </c>
      <c r="E210" s="22" t="s">
        <v>12</v>
      </c>
      <c r="F210" s="22" t="s">
        <v>12</v>
      </c>
      <c r="G210" s="22" t="s">
        <v>12</v>
      </c>
      <c r="H210" s="22" t="s">
        <v>32</v>
      </c>
    </row>
    <row r="211" ht="20" customHeight="1" spans="1:8" x14ac:dyDescent="0.25">
      <c r="A211" s="24" t="s">
        <v>58</v>
      </c>
      <c r="B211" s="24" t="s">
        <v>42</v>
      </c>
      <c r="C211" s="25" t="s">
        <v>32</v>
      </c>
      <c r="D211" s="16" t="s">
        <v>43</v>
      </c>
      <c r="E211" s="24" t="s">
        <v>12</v>
      </c>
      <c r="F211" s="24" t="s">
        <v>12</v>
      </c>
      <c r="G211" s="24" t="s">
        <v>12</v>
      </c>
      <c r="H211" s="24" t="s">
        <v>32</v>
      </c>
    </row>
    <row r="212" ht="20" customHeight="1" spans="1:8" x14ac:dyDescent="0.25">
      <c r="A212" s="22" t="s">
        <v>59</v>
      </c>
      <c r="B212" s="22" t="s">
        <v>45</v>
      </c>
      <c r="C212" s="23" t="s">
        <v>32</v>
      </c>
      <c r="D212" s="7" t="s">
        <v>5</v>
      </c>
      <c r="E212" s="22" t="s">
        <v>12</v>
      </c>
      <c r="F212" s="22" t="s">
        <v>12</v>
      </c>
      <c r="G212" s="22" t="s">
        <v>12</v>
      </c>
      <c r="H212" s="22" t="s">
        <v>32</v>
      </c>
    </row>
    <row r="213" ht="20" customHeight="1" spans="1:8" x14ac:dyDescent="0.25">
      <c r="A213" s="24" t="s">
        <v>60</v>
      </c>
      <c r="B213" s="24" t="s">
        <v>31</v>
      </c>
      <c r="C213" s="25" t="s">
        <v>32</v>
      </c>
      <c r="D213" s="7" t="s">
        <v>5</v>
      </c>
      <c r="E213" s="24" t="s">
        <v>12</v>
      </c>
      <c r="F213" s="24" t="s">
        <v>12</v>
      </c>
      <c r="G213" s="24" t="s">
        <v>12</v>
      </c>
      <c r="H213" s="24" t="s">
        <v>32</v>
      </c>
    </row>
    <row r="214" ht="20" customHeight="1" spans="1:8" x14ac:dyDescent="0.25">
      <c r="A214" s="22" t="s">
        <v>61</v>
      </c>
      <c r="B214" s="22" t="s">
        <v>34</v>
      </c>
      <c r="C214" s="23" t="s">
        <v>32</v>
      </c>
      <c r="D214" s="7" t="s">
        <v>5</v>
      </c>
      <c r="E214" s="22" t="s">
        <v>12</v>
      </c>
      <c r="F214" s="22" t="s">
        <v>12</v>
      </c>
      <c r="G214" s="22" t="s">
        <v>12</v>
      </c>
      <c r="H214" s="22" t="s">
        <v>32</v>
      </c>
    </row>
    <row r="215" ht="20" customHeight="1" spans="1:8" x14ac:dyDescent="0.25">
      <c r="A215" s="24" t="s">
        <v>62</v>
      </c>
      <c r="B215" s="24" t="s">
        <v>36</v>
      </c>
      <c r="C215" s="25" t="s">
        <v>32</v>
      </c>
      <c r="D215" s="7" t="s">
        <v>5</v>
      </c>
      <c r="E215" s="24" t="s">
        <v>12</v>
      </c>
      <c r="F215" s="24" t="s">
        <v>12</v>
      </c>
      <c r="G215" s="24" t="s">
        <v>12</v>
      </c>
      <c r="H215" s="24" t="s">
        <v>32</v>
      </c>
    </row>
    <row r="216" ht="20" customHeight="1" spans="1:8" x14ac:dyDescent="0.25">
      <c r="A216" s="22" t="s">
        <v>63</v>
      </c>
      <c r="B216" s="22" t="s">
        <v>38</v>
      </c>
      <c r="C216" s="23" t="s">
        <v>32</v>
      </c>
      <c r="D216" s="7" t="s">
        <v>5</v>
      </c>
      <c r="E216" s="22" t="s">
        <v>12</v>
      </c>
      <c r="F216" s="22" t="s">
        <v>12</v>
      </c>
      <c r="G216" s="22" t="s">
        <v>12</v>
      </c>
      <c r="H216" s="22" t="s">
        <v>32</v>
      </c>
    </row>
    <row r="217" ht="20" customHeight="1" spans="1:8" x14ac:dyDescent="0.25">
      <c r="A217" s="24" t="s">
        <v>64</v>
      </c>
      <c r="B217" s="24" t="s">
        <v>40</v>
      </c>
      <c r="C217" s="25" t="s">
        <v>32</v>
      </c>
      <c r="D217" s="7" t="s">
        <v>5</v>
      </c>
      <c r="E217" s="24" t="s">
        <v>12</v>
      </c>
      <c r="F217" s="24" t="s">
        <v>12</v>
      </c>
      <c r="G217" s="24" t="s">
        <v>12</v>
      </c>
      <c r="H217" s="24" t="s">
        <v>32</v>
      </c>
    </row>
    <row r="218" ht="20" customHeight="1" spans="1:8" x14ac:dyDescent="0.25">
      <c r="A218" s="22" t="s">
        <v>65</v>
      </c>
      <c r="B218" s="22" t="s">
        <v>42</v>
      </c>
      <c r="C218" s="23" t="s">
        <v>32</v>
      </c>
      <c r="D218" s="16" t="s">
        <v>43</v>
      </c>
      <c r="E218" s="22" t="s">
        <v>12</v>
      </c>
      <c r="F218" s="22" t="s">
        <v>12</v>
      </c>
      <c r="G218" s="22" t="s">
        <v>12</v>
      </c>
      <c r="H218" s="22" t="s">
        <v>32</v>
      </c>
    </row>
    <row r="219" ht="20" customHeight="1" spans="1:8" x14ac:dyDescent="0.25">
      <c r="A219" s="24" t="s">
        <v>66</v>
      </c>
      <c r="B219" s="24" t="s">
        <v>45</v>
      </c>
      <c r="C219" s="25" t="s">
        <v>32</v>
      </c>
      <c r="D219" s="7" t="s">
        <v>5</v>
      </c>
      <c r="E219" s="24" t="s">
        <v>12</v>
      </c>
      <c r="F219" s="24" t="s">
        <v>12</v>
      </c>
      <c r="G219" s="24" t="s">
        <v>12</v>
      </c>
      <c r="H219" s="24" t="s">
        <v>32</v>
      </c>
    </row>
    <row r="220" ht="20" customHeight="1" spans="1:8" x14ac:dyDescent="0.25">
      <c r="A220" s="22" t="s">
        <v>67</v>
      </c>
      <c r="B220" s="22" t="s">
        <v>31</v>
      </c>
      <c r="C220" s="23" t="s">
        <v>32</v>
      </c>
      <c r="D220" s="7" t="s">
        <v>5</v>
      </c>
      <c r="E220" s="22" t="s">
        <v>12</v>
      </c>
      <c r="F220" s="22" t="s">
        <v>12</v>
      </c>
      <c r="G220" s="22" t="s">
        <v>12</v>
      </c>
      <c r="H220" s="22" t="s">
        <v>32</v>
      </c>
    </row>
    <row r="221" ht="20" customHeight="1" spans="1:8" x14ac:dyDescent="0.25">
      <c r="A221" s="24" t="s">
        <v>68</v>
      </c>
      <c r="B221" s="24" t="s">
        <v>34</v>
      </c>
      <c r="C221" s="25" t="s">
        <v>32</v>
      </c>
      <c r="D221" s="7" t="s">
        <v>5</v>
      </c>
      <c r="E221" s="24" t="s">
        <v>12</v>
      </c>
      <c r="F221" s="24" t="s">
        <v>12</v>
      </c>
      <c r="G221" s="24" t="s">
        <v>12</v>
      </c>
      <c r="H221" s="24" t="s">
        <v>32</v>
      </c>
    </row>
    <row r="222" ht="22" customHeight="1" spans="1:8" x14ac:dyDescent="0.25">
      <c r="A222" s="26" t="s">
        <v>69</v>
      </c>
      <c r="B222" s="26"/>
      <c r="C222" s="26"/>
      <c r="D222" s="26"/>
      <c r="E222" s="26"/>
      <c r="F222" s="26"/>
      <c r="G222" s="27" t="s">
        <v>18</v>
      </c>
      <c r="H222" s="28" t="s">
        <v>12</v>
      </c>
    </row>
    <row r="224" ht="26" customHeight="1" spans="1:8" x14ac:dyDescent="0.25">
      <c r="A224" s="20" t="s">
        <v>543</v>
      </c>
      <c r="B224" s="20"/>
      <c r="C224" s="20"/>
      <c r="D224" s="20"/>
      <c r="E224" s="20"/>
      <c r="F224" s="20"/>
      <c r="G224" s="20"/>
      <c r="H224" s="20"/>
    </row>
    <row r="225" ht="22" customHeight="1" spans="1:8" x14ac:dyDescent="0.25">
      <c r="A225" s="21" t="s">
        <v>22</v>
      </c>
      <c r="B225" s="21" t="s">
        <v>23</v>
      </c>
      <c r="C225" s="21" t="s">
        <v>24</v>
      </c>
      <c r="D225" s="21" t="s">
        <v>25</v>
      </c>
      <c r="E225" s="21" t="s">
        <v>26</v>
      </c>
      <c r="F225" s="21" t="s">
        <v>27</v>
      </c>
      <c r="G225" s="21" t="s">
        <v>28</v>
      </c>
      <c r="H225" s="21" t="s">
        <v>29</v>
      </c>
    </row>
    <row r="226" ht="20" customHeight="1" spans="1:8" x14ac:dyDescent="0.25">
      <c r="A226" s="22" t="s">
        <v>30</v>
      </c>
      <c r="B226" s="22" t="s">
        <v>31</v>
      </c>
      <c r="C226" s="23" t="s">
        <v>71</v>
      </c>
      <c r="D226" s="6" t="s">
        <v>4</v>
      </c>
      <c r="E226" s="22" t="s">
        <v>176</v>
      </c>
      <c r="F226" s="22" t="s">
        <v>544</v>
      </c>
      <c r="G226" s="22" t="s">
        <v>545</v>
      </c>
      <c r="H226" s="29" t="s">
        <v>546</v>
      </c>
    </row>
    <row r="227" ht="20" customHeight="1" spans="1:8" x14ac:dyDescent="0.25">
      <c r="A227" s="24" t="s">
        <v>33</v>
      </c>
      <c r="B227" s="24" t="s">
        <v>34</v>
      </c>
      <c r="C227" s="25" t="s">
        <v>71</v>
      </c>
      <c r="D227" s="6" t="s">
        <v>4</v>
      </c>
      <c r="E227" s="24" t="s">
        <v>242</v>
      </c>
      <c r="F227" s="24" t="s">
        <v>170</v>
      </c>
      <c r="G227" s="24" t="s">
        <v>396</v>
      </c>
      <c r="H227" s="34" t="s">
        <v>244</v>
      </c>
    </row>
    <row r="228" ht="20" customHeight="1" spans="1:8" x14ac:dyDescent="0.25">
      <c r="A228" s="22" t="s">
        <v>35</v>
      </c>
      <c r="B228" s="22" t="s">
        <v>36</v>
      </c>
      <c r="C228" s="23" t="s">
        <v>71</v>
      </c>
      <c r="D228" s="6" t="s">
        <v>4</v>
      </c>
      <c r="E228" s="22" t="s">
        <v>547</v>
      </c>
      <c r="F228" s="22" t="s">
        <v>170</v>
      </c>
      <c r="G228" s="22" t="s">
        <v>414</v>
      </c>
      <c r="H228" s="29" t="s">
        <v>548</v>
      </c>
    </row>
    <row r="229" ht="20" customHeight="1" spans="1:8" x14ac:dyDescent="0.25">
      <c r="A229" s="24" t="s">
        <v>37</v>
      </c>
      <c r="B229" s="24" t="s">
        <v>38</v>
      </c>
      <c r="C229" s="25" t="s">
        <v>71</v>
      </c>
      <c r="D229" s="31" t="s">
        <v>11</v>
      </c>
      <c r="E229" s="24" t="s">
        <v>12</v>
      </c>
      <c r="F229" s="24" t="s">
        <v>12</v>
      </c>
      <c r="G229" s="24" t="s">
        <v>12</v>
      </c>
      <c r="H229" s="24" t="s">
        <v>32</v>
      </c>
    </row>
    <row r="230" ht="20" customHeight="1" spans="1:8" x14ac:dyDescent="0.25">
      <c r="A230" s="22" t="s">
        <v>39</v>
      </c>
      <c r="B230" s="22" t="s">
        <v>40</v>
      </c>
      <c r="C230" s="23" t="s">
        <v>71</v>
      </c>
      <c r="D230" s="6" t="s">
        <v>4</v>
      </c>
      <c r="E230" s="22" t="s">
        <v>199</v>
      </c>
      <c r="F230" s="22" t="s">
        <v>213</v>
      </c>
      <c r="G230" s="22" t="s">
        <v>194</v>
      </c>
      <c r="H230" s="29" t="s">
        <v>200</v>
      </c>
    </row>
    <row r="231" ht="20" customHeight="1" spans="1:8" x14ac:dyDescent="0.25">
      <c r="A231" s="24" t="s">
        <v>41</v>
      </c>
      <c r="B231" s="24" t="s">
        <v>42</v>
      </c>
      <c r="C231" s="25" t="s">
        <v>71</v>
      </c>
      <c r="D231" s="33" t="s">
        <v>86</v>
      </c>
      <c r="E231" s="24" t="s">
        <v>12</v>
      </c>
      <c r="F231" s="24" t="s">
        <v>12</v>
      </c>
      <c r="G231" s="24" t="s">
        <v>12</v>
      </c>
      <c r="H231" s="24" t="s">
        <v>32</v>
      </c>
    </row>
    <row r="232" ht="20" customHeight="1" spans="1:8" x14ac:dyDescent="0.25">
      <c r="A232" s="22" t="s">
        <v>44</v>
      </c>
      <c r="B232" s="22" t="s">
        <v>45</v>
      </c>
      <c r="C232" s="23" t="s">
        <v>71</v>
      </c>
      <c r="D232" s="6" t="s">
        <v>4</v>
      </c>
      <c r="E232" s="22" t="s">
        <v>95</v>
      </c>
      <c r="F232" s="22" t="s">
        <v>549</v>
      </c>
      <c r="G232" s="22" t="s">
        <v>407</v>
      </c>
      <c r="H232" s="29" t="s">
        <v>550</v>
      </c>
    </row>
    <row r="233" ht="20" customHeight="1" spans="1:8" x14ac:dyDescent="0.25">
      <c r="A233" s="24" t="s">
        <v>46</v>
      </c>
      <c r="B233" s="24" t="s">
        <v>31</v>
      </c>
      <c r="C233" s="25" t="s">
        <v>71</v>
      </c>
      <c r="D233" s="6" t="s">
        <v>4</v>
      </c>
      <c r="E233" s="24" t="s">
        <v>551</v>
      </c>
      <c r="F233" s="24" t="s">
        <v>552</v>
      </c>
      <c r="G233" s="24" t="s">
        <v>250</v>
      </c>
      <c r="H233" s="34" t="s">
        <v>553</v>
      </c>
    </row>
    <row r="234" ht="20" customHeight="1" spans="1:8" x14ac:dyDescent="0.25">
      <c r="A234" s="22" t="s">
        <v>47</v>
      </c>
      <c r="B234" s="22" t="s">
        <v>34</v>
      </c>
      <c r="C234" s="23" t="s">
        <v>71</v>
      </c>
      <c r="D234" s="6" t="s">
        <v>4</v>
      </c>
      <c r="E234" s="22" t="s">
        <v>554</v>
      </c>
      <c r="F234" s="22" t="s">
        <v>555</v>
      </c>
      <c r="G234" s="22" t="s">
        <v>137</v>
      </c>
      <c r="H234" s="29" t="s">
        <v>556</v>
      </c>
    </row>
    <row r="235" ht="20" customHeight="1" spans="1:8" x14ac:dyDescent="0.25">
      <c r="A235" s="24" t="s">
        <v>48</v>
      </c>
      <c r="B235" s="24" t="s">
        <v>36</v>
      </c>
      <c r="C235" s="25" t="s">
        <v>71</v>
      </c>
      <c r="D235" s="6" t="s">
        <v>4</v>
      </c>
      <c r="E235" s="24" t="s">
        <v>401</v>
      </c>
      <c r="F235" s="24" t="s">
        <v>213</v>
      </c>
      <c r="G235" s="24" t="s">
        <v>111</v>
      </c>
      <c r="H235" s="30" t="s">
        <v>79</v>
      </c>
    </row>
    <row r="236" ht="20" customHeight="1" spans="1:8" x14ac:dyDescent="0.25">
      <c r="A236" s="22" t="s">
        <v>49</v>
      </c>
      <c r="B236" s="22" t="s">
        <v>38</v>
      </c>
      <c r="C236" s="23" t="s">
        <v>71</v>
      </c>
      <c r="D236" s="6" t="s">
        <v>4</v>
      </c>
      <c r="E236" s="22" t="s">
        <v>557</v>
      </c>
      <c r="F236" s="22" t="s">
        <v>558</v>
      </c>
      <c r="G236" s="22" t="s">
        <v>259</v>
      </c>
      <c r="H236" s="29" t="s">
        <v>559</v>
      </c>
    </row>
    <row r="237" ht="20" customHeight="1" spans="1:8" x14ac:dyDescent="0.25">
      <c r="A237" s="24" t="s">
        <v>50</v>
      </c>
      <c r="B237" s="24" t="s">
        <v>40</v>
      </c>
      <c r="C237" s="25" t="s">
        <v>71</v>
      </c>
      <c r="D237" s="33" t="s">
        <v>86</v>
      </c>
      <c r="E237" s="24" t="s">
        <v>12</v>
      </c>
      <c r="F237" s="24" t="s">
        <v>12</v>
      </c>
      <c r="G237" s="24" t="s">
        <v>12</v>
      </c>
      <c r="H237" s="24" t="s">
        <v>32</v>
      </c>
    </row>
    <row r="238" ht="20" customHeight="1" spans="1:8" x14ac:dyDescent="0.25">
      <c r="A238" s="22" t="s">
        <v>51</v>
      </c>
      <c r="B238" s="22" t="s">
        <v>42</v>
      </c>
      <c r="C238" s="23" t="s">
        <v>71</v>
      </c>
      <c r="D238" s="35" t="s">
        <v>86</v>
      </c>
      <c r="E238" s="22" t="s">
        <v>12</v>
      </c>
      <c r="F238" s="22" t="s">
        <v>12</v>
      </c>
      <c r="G238" s="22" t="s">
        <v>12</v>
      </c>
      <c r="H238" s="22" t="s">
        <v>32</v>
      </c>
    </row>
    <row r="239" ht="20" customHeight="1" spans="1:8" x14ac:dyDescent="0.25">
      <c r="A239" s="24" t="s">
        <v>52</v>
      </c>
      <c r="B239" s="24" t="s">
        <v>45</v>
      </c>
      <c r="C239" s="25" t="s">
        <v>71</v>
      </c>
      <c r="D239" s="6" t="s">
        <v>4</v>
      </c>
      <c r="E239" s="24" t="s">
        <v>348</v>
      </c>
      <c r="F239" s="24" t="s">
        <v>211</v>
      </c>
      <c r="G239" s="24" t="s">
        <v>481</v>
      </c>
      <c r="H239" s="34" t="s">
        <v>351</v>
      </c>
    </row>
    <row r="240" ht="20" customHeight="1" spans="1:8" x14ac:dyDescent="0.25">
      <c r="A240" s="22" t="s">
        <v>53</v>
      </c>
      <c r="B240" s="22" t="s">
        <v>31</v>
      </c>
      <c r="C240" s="23" t="s">
        <v>71</v>
      </c>
      <c r="D240" s="6" t="s">
        <v>4</v>
      </c>
      <c r="E240" s="22" t="s">
        <v>397</v>
      </c>
      <c r="F240" s="22" t="s">
        <v>278</v>
      </c>
      <c r="G240" s="22" t="s">
        <v>99</v>
      </c>
      <c r="H240" s="32" t="s">
        <v>79</v>
      </c>
    </row>
    <row r="241" ht="20" customHeight="1" spans="1:8" x14ac:dyDescent="0.25">
      <c r="A241" s="24" t="s">
        <v>54</v>
      </c>
      <c r="B241" s="24" t="s">
        <v>34</v>
      </c>
      <c r="C241" s="25" t="s">
        <v>71</v>
      </c>
      <c r="D241" s="6" t="s">
        <v>4</v>
      </c>
      <c r="E241" s="24" t="s">
        <v>503</v>
      </c>
      <c r="F241" s="24" t="s">
        <v>560</v>
      </c>
      <c r="G241" s="24" t="s">
        <v>296</v>
      </c>
      <c r="H241" s="30" t="s">
        <v>79</v>
      </c>
    </row>
    <row r="242" ht="20" customHeight="1" spans="1:8" x14ac:dyDescent="0.25">
      <c r="A242" s="22" t="s">
        <v>55</v>
      </c>
      <c r="B242" s="22" t="s">
        <v>36</v>
      </c>
      <c r="C242" s="23" t="s">
        <v>71</v>
      </c>
      <c r="D242" s="6" t="s">
        <v>4</v>
      </c>
      <c r="E242" s="22" t="s">
        <v>561</v>
      </c>
      <c r="F242" s="22" t="s">
        <v>317</v>
      </c>
      <c r="G242" s="22" t="s">
        <v>475</v>
      </c>
      <c r="H242" s="32" t="s">
        <v>79</v>
      </c>
    </row>
    <row r="243" ht="20" customHeight="1" spans="1:8" x14ac:dyDescent="0.25">
      <c r="A243" s="24" t="s">
        <v>56</v>
      </c>
      <c r="B243" s="24" t="s">
        <v>38</v>
      </c>
      <c r="C243" s="25" t="s">
        <v>71</v>
      </c>
      <c r="D243" s="6" t="s">
        <v>4</v>
      </c>
      <c r="E243" s="24" t="s">
        <v>379</v>
      </c>
      <c r="F243" s="24" t="s">
        <v>562</v>
      </c>
      <c r="G243" s="24" t="s">
        <v>563</v>
      </c>
      <c r="H243" s="34" t="s">
        <v>380</v>
      </c>
    </row>
    <row r="244" ht="20" customHeight="1" spans="1:8" x14ac:dyDescent="0.25">
      <c r="A244" s="22" t="s">
        <v>57</v>
      </c>
      <c r="B244" s="22" t="s">
        <v>40</v>
      </c>
      <c r="C244" s="23" t="s">
        <v>71</v>
      </c>
      <c r="D244" s="6" t="s">
        <v>4</v>
      </c>
      <c r="E244" s="22" t="s">
        <v>564</v>
      </c>
      <c r="F244" s="22" t="s">
        <v>182</v>
      </c>
      <c r="G244" s="22" t="s">
        <v>177</v>
      </c>
      <c r="H244" s="32" t="s">
        <v>79</v>
      </c>
    </row>
    <row r="245" ht="20" customHeight="1" spans="1:8" x14ac:dyDescent="0.25">
      <c r="A245" s="24" t="s">
        <v>58</v>
      </c>
      <c r="B245" s="24" t="s">
        <v>42</v>
      </c>
      <c r="C245" s="25" t="s">
        <v>71</v>
      </c>
      <c r="D245" s="33" t="s">
        <v>86</v>
      </c>
      <c r="E245" s="24" t="s">
        <v>12</v>
      </c>
      <c r="F245" s="24" t="s">
        <v>12</v>
      </c>
      <c r="G245" s="24" t="s">
        <v>12</v>
      </c>
      <c r="H245" s="24" t="s">
        <v>32</v>
      </c>
    </row>
    <row r="246" ht="20" customHeight="1" spans="1:8" x14ac:dyDescent="0.25">
      <c r="A246" s="22" t="s">
        <v>59</v>
      </c>
      <c r="B246" s="22" t="s">
        <v>45</v>
      </c>
      <c r="C246" s="23" t="s">
        <v>71</v>
      </c>
      <c r="D246" s="6" t="s">
        <v>4</v>
      </c>
      <c r="E246" s="22" t="s">
        <v>300</v>
      </c>
      <c r="F246" s="22" t="s">
        <v>433</v>
      </c>
      <c r="G246" s="22" t="s">
        <v>147</v>
      </c>
      <c r="H246" s="32" t="s">
        <v>79</v>
      </c>
    </row>
    <row r="247" ht="20" customHeight="1" spans="1:8" x14ac:dyDescent="0.25">
      <c r="A247" s="24" t="s">
        <v>60</v>
      </c>
      <c r="B247" s="24" t="s">
        <v>31</v>
      </c>
      <c r="C247" s="25" t="s">
        <v>71</v>
      </c>
      <c r="D247" s="6" t="s">
        <v>4</v>
      </c>
      <c r="E247" s="24" t="s">
        <v>441</v>
      </c>
      <c r="F247" s="24" t="s">
        <v>153</v>
      </c>
      <c r="G247" s="24" t="s">
        <v>332</v>
      </c>
      <c r="H247" s="30" t="s">
        <v>79</v>
      </c>
    </row>
    <row r="248" ht="20" customHeight="1" spans="1:8" x14ac:dyDescent="0.25">
      <c r="A248" s="22" t="s">
        <v>61</v>
      </c>
      <c r="B248" s="22" t="s">
        <v>34</v>
      </c>
      <c r="C248" s="23" t="s">
        <v>71</v>
      </c>
      <c r="D248" s="6" t="s">
        <v>4</v>
      </c>
      <c r="E248" s="22" t="s">
        <v>242</v>
      </c>
      <c r="F248" s="22" t="s">
        <v>153</v>
      </c>
      <c r="G248" s="22" t="s">
        <v>410</v>
      </c>
      <c r="H248" s="29" t="s">
        <v>244</v>
      </c>
    </row>
    <row r="249" ht="20" customHeight="1" spans="1:8" x14ac:dyDescent="0.25">
      <c r="A249" s="24" t="s">
        <v>62</v>
      </c>
      <c r="B249" s="24" t="s">
        <v>36</v>
      </c>
      <c r="C249" s="25" t="s">
        <v>71</v>
      </c>
      <c r="D249" s="6" t="s">
        <v>4</v>
      </c>
      <c r="E249" s="24" t="s">
        <v>511</v>
      </c>
      <c r="F249" s="24" t="s">
        <v>276</v>
      </c>
      <c r="G249" s="24" t="s">
        <v>206</v>
      </c>
      <c r="H249" s="30" t="s">
        <v>79</v>
      </c>
    </row>
    <row r="250" ht="20" customHeight="1" spans="1:8" x14ac:dyDescent="0.25">
      <c r="A250" s="22" t="s">
        <v>63</v>
      </c>
      <c r="B250" s="22" t="s">
        <v>38</v>
      </c>
      <c r="C250" s="23" t="s">
        <v>71</v>
      </c>
      <c r="D250" s="6" t="s">
        <v>4</v>
      </c>
      <c r="E250" s="22" t="s">
        <v>135</v>
      </c>
      <c r="F250" s="22" t="s">
        <v>565</v>
      </c>
      <c r="G250" s="22" t="s">
        <v>566</v>
      </c>
      <c r="H250" s="32" t="s">
        <v>79</v>
      </c>
    </row>
    <row r="251" ht="20" customHeight="1" spans="1:8" x14ac:dyDescent="0.25">
      <c r="A251" s="24" t="s">
        <v>64</v>
      </c>
      <c r="B251" s="24" t="s">
        <v>40</v>
      </c>
      <c r="C251" s="25" t="s">
        <v>71</v>
      </c>
      <c r="D251" s="33" t="s">
        <v>86</v>
      </c>
      <c r="E251" s="24" t="s">
        <v>12</v>
      </c>
      <c r="F251" s="24" t="s">
        <v>12</v>
      </c>
      <c r="G251" s="24" t="s">
        <v>12</v>
      </c>
      <c r="H251" s="24" t="s">
        <v>32</v>
      </c>
    </row>
    <row r="252" ht="20" customHeight="1" spans="1:8" x14ac:dyDescent="0.25">
      <c r="A252" s="22" t="s">
        <v>65</v>
      </c>
      <c r="B252" s="22" t="s">
        <v>42</v>
      </c>
      <c r="C252" s="23" t="s">
        <v>71</v>
      </c>
      <c r="D252" s="35" t="s">
        <v>86</v>
      </c>
      <c r="E252" s="22" t="s">
        <v>12</v>
      </c>
      <c r="F252" s="22" t="s">
        <v>12</v>
      </c>
      <c r="G252" s="22" t="s">
        <v>12</v>
      </c>
      <c r="H252" s="22" t="s">
        <v>32</v>
      </c>
    </row>
    <row r="253" ht="20" customHeight="1" spans="1:8" x14ac:dyDescent="0.25">
      <c r="A253" s="24" t="s">
        <v>66</v>
      </c>
      <c r="B253" s="24" t="s">
        <v>45</v>
      </c>
      <c r="C253" s="25" t="s">
        <v>71</v>
      </c>
      <c r="D253" s="6" t="s">
        <v>4</v>
      </c>
      <c r="E253" s="24" t="s">
        <v>567</v>
      </c>
      <c r="F253" s="24" t="s">
        <v>237</v>
      </c>
      <c r="G253" s="24" t="s">
        <v>259</v>
      </c>
      <c r="H253" s="30" t="s">
        <v>79</v>
      </c>
    </row>
    <row r="254" ht="20" customHeight="1" spans="1:8" x14ac:dyDescent="0.25">
      <c r="A254" s="22" t="s">
        <v>67</v>
      </c>
      <c r="B254" s="22" t="s">
        <v>31</v>
      </c>
      <c r="C254" s="23" t="s">
        <v>71</v>
      </c>
      <c r="D254" s="6" t="s">
        <v>4</v>
      </c>
      <c r="E254" s="22" t="s">
        <v>377</v>
      </c>
      <c r="F254" s="22" t="s">
        <v>404</v>
      </c>
      <c r="G254" s="22" t="s">
        <v>259</v>
      </c>
      <c r="H254" s="29" t="s">
        <v>378</v>
      </c>
    </row>
    <row r="255" ht="20" customHeight="1" spans="1:8" x14ac:dyDescent="0.25">
      <c r="A255" s="24" t="s">
        <v>68</v>
      </c>
      <c r="B255" s="24" t="s">
        <v>34</v>
      </c>
      <c r="C255" s="25" t="s">
        <v>71</v>
      </c>
      <c r="D255" s="6" t="s">
        <v>4</v>
      </c>
      <c r="E255" s="24" t="s">
        <v>377</v>
      </c>
      <c r="F255" s="24" t="s">
        <v>312</v>
      </c>
      <c r="G255" s="24" t="s">
        <v>568</v>
      </c>
      <c r="H255" s="34" t="s">
        <v>378</v>
      </c>
    </row>
    <row r="256" ht="22" customHeight="1" spans="1:8" x14ac:dyDescent="0.25">
      <c r="A256" s="26" t="s">
        <v>69</v>
      </c>
      <c r="B256" s="26"/>
      <c r="C256" s="26"/>
      <c r="D256" s="26"/>
      <c r="E256" s="26"/>
      <c r="F256" s="26"/>
      <c r="G256" s="27" t="s">
        <v>569</v>
      </c>
      <c r="H256" s="28" t="s">
        <v>12</v>
      </c>
    </row>
    <row r="258" ht="26" customHeight="1" spans="1:8" x14ac:dyDescent="0.25">
      <c r="A258" s="20" t="s">
        <v>570</v>
      </c>
      <c r="B258" s="20"/>
      <c r="C258" s="20"/>
      <c r="D258" s="20"/>
      <c r="E258" s="20"/>
      <c r="F258" s="20"/>
      <c r="G258" s="20"/>
      <c r="H258" s="20"/>
    </row>
    <row r="259" ht="22" customHeight="1" spans="1:8" x14ac:dyDescent="0.25">
      <c r="A259" s="21" t="s">
        <v>22</v>
      </c>
      <c r="B259" s="21" t="s">
        <v>23</v>
      </c>
      <c r="C259" s="21" t="s">
        <v>24</v>
      </c>
      <c r="D259" s="21" t="s">
        <v>25</v>
      </c>
      <c r="E259" s="21" t="s">
        <v>26</v>
      </c>
      <c r="F259" s="21" t="s">
        <v>27</v>
      </c>
      <c r="G259" s="21" t="s">
        <v>28</v>
      </c>
      <c r="H259" s="21" t="s">
        <v>29</v>
      </c>
    </row>
    <row r="260" ht="20" customHeight="1" spans="1:8" x14ac:dyDescent="0.25">
      <c r="A260" s="22" t="s">
        <v>30</v>
      </c>
      <c r="B260" s="22" t="s">
        <v>31</v>
      </c>
      <c r="C260" s="23" t="s">
        <v>71</v>
      </c>
      <c r="D260" s="6" t="s">
        <v>4</v>
      </c>
      <c r="E260" s="22" t="s">
        <v>547</v>
      </c>
      <c r="F260" s="22" t="s">
        <v>442</v>
      </c>
      <c r="G260" s="22" t="s">
        <v>571</v>
      </c>
      <c r="H260" s="29" t="s">
        <v>548</v>
      </c>
    </row>
    <row r="261" ht="20" customHeight="1" spans="1:8" x14ac:dyDescent="0.25">
      <c r="A261" s="24" t="s">
        <v>33</v>
      </c>
      <c r="B261" s="24" t="s">
        <v>34</v>
      </c>
      <c r="C261" s="25" t="s">
        <v>71</v>
      </c>
      <c r="D261" s="6" t="s">
        <v>4</v>
      </c>
      <c r="E261" s="24" t="s">
        <v>379</v>
      </c>
      <c r="F261" s="24" t="s">
        <v>170</v>
      </c>
      <c r="G261" s="24" t="s">
        <v>123</v>
      </c>
      <c r="H261" s="34" t="s">
        <v>380</v>
      </c>
    </row>
    <row r="262" ht="20" customHeight="1" spans="1:8" x14ac:dyDescent="0.25">
      <c r="A262" s="22" t="s">
        <v>35</v>
      </c>
      <c r="B262" s="22" t="s">
        <v>36</v>
      </c>
      <c r="C262" s="23" t="s">
        <v>71</v>
      </c>
      <c r="D262" s="6" t="s">
        <v>4</v>
      </c>
      <c r="E262" s="22" t="s">
        <v>392</v>
      </c>
      <c r="F262" s="22" t="s">
        <v>104</v>
      </c>
      <c r="G262" s="22" t="s">
        <v>572</v>
      </c>
      <c r="H262" s="29" t="s">
        <v>394</v>
      </c>
    </row>
    <row r="263" ht="20" customHeight="1" spans="1:8" x14ac:dyDescent="0.25">
      <c r="A263" s="24" t="s">
        <v>37</v>
      </c>
      <c r="B263" s="24" t="s">
        <v>38</v>
      </c>
      <c r="C263" s="25" t="s">
        <v>71</v>
      </c>
      <c r="D263" s="31" t="s">
        <v>11</v>
      </c>
      <c r="E263" s="24" t="s">
        <v>12</v>
      </c>
      <c r="F263" s="24" t="s">
        <v>12</v>
      </c>
      <c r="G263" s="24" t="s">
        <v>12</v>
      </c>
      <c r="H263" s="24" t="s">
        <v>32</v>
      </c>
    </row>
    <row r="264" ht="20" customHeight="1" spans="1:8" x14ac:dyDescent="0.25">
      <c r="A264" s="22" t="s">
        <v>39</v>
      </c>
      <c r="B264" s="22" t="s">
        <v>40</v>
      </c>
      <c r="C264" s="23" t="s">
        <v>71</v>
      </c>
      <c r="D264" s="6" t="s">
        <v>4</v>
      </c>
      <c r="E264" s="22" t="s">
        <v>239</v>
      </c>
      <c r="F264" s="22" t="s">
        <v>301</v>
      </c>
      <c r="G264" s="22" t="s">
        <v>261</v>
      </c>
      <c r="H264" s="29" t="s">
        <v>241</v>
      </c>
    </row>
    <row r="265" ht="20" customHeight="1" spans="1:8" x14ac:dyDescent="0.25">
      <c r="A265" s="24" t="s">
        <v>41</v>
      </c>
      <c r="B265" s="24" t="s">
        <v>42</v>
      </c>
      <c r="C265" s="25" t="s">
        <v>71</v>
      </c>
      <c r="D265" s="33" t="s">
        <v>86</v>
      </c>
      <c r="E265" s="24" t="s">
        <v>12</v>
      </c>
      <c r="F265" s="24" t="s">
        <v>12</v>
      </c>
      <c r="G265" s="24" t="s">
        <v>12</v>
      </c>
      <c r="H265" s="24" t="s">
        <v>32</v>
      </c>
    </row>
    <row r="266" ht="20" customHeight="1" spans="1:8" x14ac:dyDescent="0.25">
      <c r="A266" s="22" t="s">
        <v>44</v>
      </c>
      <c r="B266" s="22" t="s">
        <v>45</v>
      </c>
      <c r="C266" s="23" t="s">
        <v>71</v>
      </c>
      <c r="D266" s="10" t="s">
        <v>87</v>
      </c>
      <c r="E266" s="22" t="s">
        <v>12</v>
      </c>
      <c r="F266" s="22" t="s">
        <v>12</v>
      </c>
      <c r="G266" s="22" t="s">
        <v>12</v>
      </c>
      <c r="H266" s="22" t="s">
        <v>32</v>
      </c>
    </row>
    <row r="267" ht="20" customHeight="1" spans="1:8" x14ac:dyDescent="0.25">
      <c r="A267" s="24" t="s">
        <v>46</v>
      </c>
      <c r="B267" s="24" t="s">
        <v>31</v>
      </c>
      <c r="C267" s="25" t="s">
        <v>71</v>
      </c>
      <c r="D267" s="6" t="s">
        <v>4</v>
      </c>
      <c r="E267" s="24" t="s">
        <v>547</v>
      </c>
      <c r="F267" s="24" t="s">
        <v>298</v>
      </c>
      <c r="G267" s="24" t="s">
        <v>232</v>
      </c>
      <c r="H267" s="34" t="s">
        <v>548</v>
      </c>
    </row>
    <row r="268" ht="20" customHeight="1" spans="1:8" x14ac:dyDescent="0.25">
      <c r="A268" s="22" t="s">
        <v>47</v>
      </c>
      <c r="B268" s="22" t="s">
        <v>34</v>
      </c>
      <c r="C268" s="23" t="s">
        <v>71</v>
      </c>
      <c r="D268" s="6" t="s">
        <v>4</v>
      </c>
      <c r="E268" s="22" t="s">
        <v>239</v>
      </c>
      <c r="F268" s="22" t="s">
        <v>438</v>
      </c>
      <c r="G268" s="22" t="s">
        <v>573</v>
      </c>
      <c r="H268" s="29" t="s">
        <v>241</v>
      </c>
    </row>
    <row r="269" ht="20" customHeight="1" spans="1:8" x14ac:dyDescent="0.25">
      <c r="A269" s="24" t="s">
        <v>48</v>
      </c>
      <c r="B269" s="24" t="s">
        <v>36</v>
      </c>
      <c r="C269" s="25" t="s">
        <v>71</v>
      </c>
      <c r="D269" s="6" t="s">
        <v>4</v>
      </c>
      <c r="E269" s="24" t="s">
        <v>392</v>
      </c>
      <c r="F269" s="24" t="s">
        <v>374</v>
      </c>
      <c r="G269" s="24" t="s">
        <v>574</v>
      </c>
      <c r="H269" s="34" t="s">
        <v>394</v>
      </c>
    </row>
    <row r="270" ht="20" customHeight="1" spans="1:8" x14ac:dyDescent="0.25">
      <c r="A270" s="22" t="s">
        <v>49</v>
      </c>
      <c r="B270" s="22" t="s">
        <v>38</v>
      </c>
      <c r="C270" s="23" t="s">
        <v>71</v>
      </c>
      <c r="D270" s="6" t="s">
        <v>4</v>
      </c>
      <c r="E270" s="22" t="s">
        <v>228</v>
      </c>
      <c r="F270" s="22" t="s">
        <v>448</v>
      </c>
      <c r="G270" s="22" t="s">
        <v>575</v>
      </c>
      <c r="H270" s="29" t="s">
        <v>229</v>
      </c>
    </row>
    <row r="271" ht="20" customHeight="1" spans="1:8" x14ac:dyDescent="0.25">
      <c r="A271" s="24" t="s">
        <v>50</v>
      </c>
      <c r="B271" s="24" t="s">
        <v>40</v>
      </c>
      <c r="C271" s="25" t="s">
        <v>71</v>
      </c>
      <c r="D271" s="33" t="s">
        <v>86</v>
      </c>
      <c r="E271" s="24" t="s">
        <v>12</v>
      </c>
      <c r="F271" s="24" t="s">
        <v>12</v>
      </c>
      <c r="G271" s="24" t="s">
        <v>12</v>
      </c>
      <c r="H271" s="24" t="s">
        <v>32</v>
      </c>
    </row>
    <row r="272" ht="20" customHeight="1" spans="1:8" x14ac:dyDescent="0.25">
      <c r="A272" s="22" t="s">
        <v>51</v>
      </c>
      <c r="B272" s="22" t="s">
        <v>42</v>
      </c>
      <c r="C272" s="23" t="s">
        <v>71</v>
      </c>
      <c r="D272" s="35" t="s">
        <v>86</v>
      </c>
      <c r="E272" s="22" t="s">
        <v>12</v>
      </c>
      <c r="F272" s="22" t="s">
        <v>12</v>
      </c>
      <c r="G272" s="22" t="s">
        <v>12</v>
      </c>
      <c r="H272" s="22" t="s">
        <v>32</v>
      </c>
    </row>
    <row r="273" ht="20" customHeight="1" spans="1:8" x14ac:dyDescent="0.25">
      <c r="A273" s="24" t="s">
        <v>52</v>
      </c>
      <c r="B273" s="24" t="s">
        <v>45</v>
      </c>
      <c r="C273" s="25" t="s">
        <v>71</v>
      </c>
      <c r="D273" s="6" t="s">
        <v>4</v>
      </c>
      <c r="E273" s="24" t="s">
        <v>167</v>
      </c>
      <c r="F273" s="24" t="s">
        <v>193</v>
      </c>
      <c r="G273" s="24" t="s">
        <v>154</v>
      </c>
      <c r="H273" s="34" t="s">
        <v>168</v>
      </c>
    </row>
    <row r="274" ht="20" customHeight="1" spans="1:8" x14ac:dyDescent="0.25">
      <c r="A274" s="22" t="s">
        <v>53</v>
      </c>
      <c r="B274" s="22" t="s">
        <v>31</v>
      </c>
      <c r="C274" s="23" t="s">
        <v>71</v>
      </c>
      <c r="D274" s="6" t="s">
        <v>4</v>
      </c>
      <c r="E274" s="22" t="s">
        <v>391</v>
      </c>
      <c r="F274" s="22" t="s">
        <v>110</v>
      </c>
      <c r="G274" s="22" t="s">
        <v>147</v>
      </c>
      <c r="H274" s="32" t="s">
        <v>79</v>
      </c>
    </row>
    <row r="275" ht="20" customHeight="1" spans="1:8" x14ac:dyDescent="0.25">
      <c r="A275" s="24" t="s">
        <v>54</v>
      </c>
      <c r="B275" s="24" t="s">
        <v>34</v>
      </c>
      <c r="C275" s="25" t="s">
        <v>71</v>
      </c>
      <c r="D275" s="6" t="s">
        <v>4</v>
      </c>
      <c r="E275" s="24" t="s">
        <v>434</v>
      </c>
      <c r="F275" s="24" t="s">
        <v>344</v>
      </c>
      <c r="G275" s="24" t="s">
        <v>119</v>
      </c>
      <c r="H275" s="30" t="s">
        <v>79</v>
      </c>
    </row>
    <row r="276" ht="20" customHeight="1" spans="1:8" x14ac:dyDescent="0.25">
      <c r="A276" s="22" t="s">
        <v>55</v>
      </c>
      <c r="B276" s="22" t="s">
        <v>36</v>
      </c>
      <c r="C276" s="23" t="s">
        <v>71</v>
      </c>
      <c r="D276" s="6" t="s">
        <v>4</v>
      </c>
      <c r="E276" s="22" t="s">
        <v>561</v>
      </c>
      <c r="F276" s="22" t="s">
        <v>293</v>
      </c>
      <c r="G276" s="22" t="s">
        <v>291</v>
      </c>
      <c r="H276" s="32" t="s">
        <v>79</v>
      </c>
    </row>
    <row r="277" ht="20" customHeight="1" spans="1:8" x14ac:dyDescent="0.25">
      <c r="A277" s="24" t="s">
        <v>56</v>
      </c>
      <c r="B277" s="24" t="s">
        <v>38</v>
      </c>
      <c r="C277" s="25" t="s">
        <v>71</v>
      </c>
      <c r="D277" s="6" t="s">
        <v>4</v>
      </c>
      <c r="E277" s="24" t="s">
        <v>379</v>
      </c>
      <c r="F277" s="24" t="s">
        <v>153</v>
      </c>
      <c r="G277" s="24" t="s">
        <v>414</v>
      </c>
      <c r="H277" s="34" t="s">
        <v>380</v>
      </c>
    </row>
    <row r="278" ht="20" customHeight="1" spans="1:8" x14ac:dyDescent="0.25">
      <c r="A278" s="22" t="s">
        <v>57</v>
      </c>
      <c r="B278" s="22" t="s">
        <v>40</v>
      </c>
      <c r="C278" s="23" t="s">
        <v>71</v>
      </c>
      <c r="D278" s="6" t="s">
        <v>4</v>
      </c>
      <c r="E278" s="22" t="s">
        <v>576</v>
      </c>
      <c r="F278" s="22" t="s">
        <v>384</v>
      </c>
      <c r="G278" s="22" t="s">
        <v>577</v>
      </c>
      <c r="H278" s="32" t="s">
        <v>79</v>
      </c>
    </row>
    <row r="279" ht="20" customHeight="1" spans="1:8" x14ac:dyDescent="0.25">
      <c r="A279" s="24" t="s">
        <v>58</v>
      </c>
      <c r="B279" s="24" t="s">
        <v>42</v>
      </c>
      <c r="C279" s="25" t="s">
        <v>71</v>
      </c>
      <c r="D279" s="33" t="s">
        <v>86</v>
      </c>
      <c r="E279" s="24" t="s">
        <v>12</v>
      </c>
      <c r="F279" s="24" t="s">
        <v>12</v>
      </c>
      <c r="G279" s="24" t="s">
        <v>12</v>
      </c>
      <c r="H279" s="24" t="s">
        <v>32</v>
      </c>
    </row>
    <row r="280" ht="20" customHeight="1" spans="1:8" x14ac:dyDescent="0.25">
      <c r="A280" s="22" t="s">
        <v>59</v>
      </c>
      <c r="B280" s="22" t="s">
        <v>45</v>
      </c>
      <c r="C280" s="23" t="s">
        <v>71</v>
      </c>
      <c r="D280" s="6" t="s">
        <v>4</v>
      </c>
      <c r="E280" s="22" t="s">
        <v>375</v>
      </c>
      <c r="F280" s="22" t="s">
        <v>444</v>
      </c>
      <c r="G280" s="22" t="s">
        <v>339</v>
      </c>
      <c r="H280" s="29" t="s">
        <v>445</v>
      </c>
    </row>
    <row r="281" ht="20" customHeight="1" spans="1:8" x14ac:dyDescent="0.25">
      <c r="A281" s="24" t="s">
        <v>60</v>
      </c>
      <c r="B281" s="24" t="s">
        <v>31</v>
      </c>
      <c r="C281" s="25" t="s">
        <v>71</v>
      </c>
      <c r="D281" s="6" t="s">
        <v>4</v>
      </c>
      <c r="E281" s="24" t="s">
        <v>284</v>
      </c>
      <c r="F281" s="24" t="s">
        <v>258</v>
      </c>
      <c r="G281" s="24" t="s">
        <v>578</v>
      </c>
      <c r="H281" s="30" t="s">
        <v>79</v>
      </c>
    </row>
    <row r="282" ht="20" customHeight="1" spans="1:8" x14ac:dyDescent="0.25">
      <c r="A282" s="22" t="s">
        <v>61</v>
      </c>
      <c r="B282" s="22" t="s">
        <v>34</v>
      </c>
      <c r="C282" s="23" t="s">
        <v>71</v>
      </c>
      <c r="D282" s="6" t="s">
        <v>4</v>
      </c>
      <c r="E282" s="22" t="s">
        <v>377</v>
      </c>
      <c r="F282" s="22" t="s">
        <v>186</v>
      </c>
      <c r="G282" s="22" t="s">
        <v>563</v>
      </c>
      <c r="H282" s="29" t="s">
        <v>378</v>
      </c>
    </row>
    <row r="283" ht="20" customHeight="1" spans="1:8" x14ac:dyDescent="0.25">
      <c r="A283" s="24" t="s">
        <v>62</v>
      </c>
      <c r="B283" s="24" t="s">
        <v>36</v>
      </c>
      <c r="C283" s="25" t="s">
        <v>71</v>
      </c>
      <c r="D283" s="6" t="s">
        <v>4</v>
      </c>
      <c r="E283" s="24" t="s">
        <v>369</v>
      </c>
      <c r="F283" s="24" t="s">
        <v>179</v>
      </c>
      <c r="G283" s="24" t="s">
        <v>579</v>
      </c>
      <c r="H283" s="34" t="s">
        <v>371</v>
      </c>
    </row>
    <row r="284" ht="20" customHeight="1" spans="1:8" x14ac:dyDescent="0.25">
      <c r="A284" s="22" t="s">
        <v>63</v>
      </c>
      <c r="B284" s="22" t="s">
        <v>38</v>
      </c>
      <c r="C284" s="23" t="s">
        <v>71</v>
      </c>
      <c r="D284" s="6" t="s">
        <v>4</v>
      </c>
      <c r="E284" s="22" t="s">
        <v>125</v>
      </c>
      <c r="F284" s="22" t="s">
        <v>136</v>
      </c>
      <c r="G284" s="22" t="s">
        <v>99</v>
      </c>
      <c r="H284" s="32" t="s">
        <v>79</v>
      </c>
    </row>
    <row r="285" ht="20" customHeight="1" spans="1:8" x14ac:dyDescent="0.25">
      <c r="A285" s="24" t="s">
        <v>64</v>
      </c>
      <c r="B285" s="24" t="s">
        <v>40</v>
      </c>
      <c r="C285" s="25" t="s">
        <v>71</v>
      </c>
      <c r="D285" s="6" t="s">
        <v>4</v>
      </c>
      <c r="E285" s="24" t="s">
        <v>125</v>
      </c>
      <c r="F285" s="24" t="s">
        <v>136</v>
      </c>
      <c r="G285" s="24" t="s">
        <v>99</v>
      </c>
      <c r="H285" s="30" t="s">
        <v>79</v>
      </c>
    </row>
    <row r="286" ht="20" customHeight="1" spans="1:8" x14ac:dyDescent="0.25">
      <c r="A286" s="22" t="s">
        <v>65</v>
      </c>
      <c r="B286" s="22" t="s">
        <v>42</v>
      </c>
      <c r="C286" s="23" t="s">
        <v>71</v>
      </c>
      <c r="D286" s="35" t="s">
        <v>86</v>
      </c>
      <c r="E286" s="22" t="s">
        <v>12</v>
      </c>
      <c r="F286" s="22" t="s">
        <v>12</v>
      </c>
      <c r="G286" s="22" t="s">
        <v>12</v>
      </c>
      <c r="H286" s="22" t="s">
        <v>32</v>
      </c>
    </row>
    <row r="287" ht="20" customHeight="1" spans="1:8" x14ac:dyDescent="0.25">
      <c r="A287" s="24" t="s">
        <v>66</v>
      </c>
      <c r="B287" s="24" t="s">
        <v>45</v>
      </c>
      <c r="C287" s="25" t="s">
        <v>71</v>
      </c>
      <c r="D287" s="6" t="s">
        <v>4</v>
      </c>
      <c r="E287" s="24" t="s">
        <v>125</v>
      </c>
      <c r="F287" s="24" t="s">
        <v>580</v>
      </c>
      <c r="G287" s="24" t="s">
        <v>581</v>
      </c>
      <c r="H287" s="30" t="s">
        <v>79</v>
      </c>
    </row>
    <row r="288" ht="20" customHeight="1" spans="1:8" x14ac:dyDescent="0.25">
      <c r="A288" s="22" t="s">
        <v>67</v>
      </c>
      <c r="B288" s="22" t="s">
        <v>31</v>
      </c>
      <c r="C288" s="23" t="s">
        <v>71</v>
      </c>
      <c r="D288" s="6" t="s">
        <v>4</v>
      </c>
      <c r="E288" s="22" t="s">
        <v>375</v>
      </c>
      <c r="F288" s="22" t="s">
        <v>324</v>
      </c>
      <c r="G288" s="22" t="s">
        <v>267</v>
      </c>
      <c r="H288" s="32" t="s">
        <v>79</v>
      </c>
    </row>
    <row r="289" ht="20" customHeight="1" spans="1:8" x14ac:dyDescent="0.25">
      <c r="A289" s="24" t="s">
        <v>68</v>
      </c>
      <c r="B289" s="24" t="s">
        <v>34</v>
      </c>
      <c r="C289" s="25" t="s">
        <v>71</v>
      </c>
      <c r="D289" s="6" t="s">
        <v>4</v>
      </c>
      <c r="E289" s="24" t="s">
        <v>377</v>
      </c>
      <c r="F289" s="24" t="s">
        <v>324</v>
      </c>
      <c r="G289" s="24" t="s">
        <v>429</v>
      </c>
      <c r="H289" s="34" t="s">
        <v>378</v>
      </c>
    </row>
    <row r="290" ht="22" customHeight="1" spans="1:8" x14ac:dyDescent="0.25">
      <c r="A290" s="26" t="s">
        <v>69</v>
      </c>
      <c r="B290" s="26"/>
      <c r="C290" s="26"/>
      <c r="D290" s="26"/>
      <c r="E290" s="26"/>
      <c r="F290" s="26"/>
      <c r="G290" s="27" t="s">
        <v>582</v>
      </c>
      <c r="H290" s="28" t="s">
        <v>12</v>
      </c>
    </row>
    <row r="292" ht="26" customHeight="1" spans="1:8" x14ac:dyDescent="0.25">
      <c r="A292" s="20" t="s">
        <v>583</v>
      </c>
      <c r="B292" s="20"/>
      <c r="C292" s="20"/>
      <c r="D292" s="20"/>
      <c r="E292" s="20"/>
      <c r="F292" s="20"/>
      <c r="G292" s="20"/>
      <c r="H292" s="20"/>
    </row>
    <row r="293" ht="22" customHeight="1" spans="1:8" x14ac:dyDescent="0.25">
      <c r="A293" s="21" t="s">
        <v>22</v>
      </c>
      <c r="B293" s="21" t="s">
        <v>23</v>
      </c>
      <c r="C293" s="21" t="s">
        <v>24</v>
      </c>
      <c r="D293" s="21" t="s">
        <v>25</v>
      </c>
      <c r="E293" s="21" t="s">
        <v>26</v>
      </c>
      <c r="F293" s="21" t="s">
        <v>27</v>
      </c>
      <c r="G293" s="21" t="s">
        <v>28</v>
      </c>
      <c r="H293" s="21" t="s">
        <v>29</v>
      </c>
    </row>
    <row r="294" ht="20" customHeight="1" spans="1:8" x14ac:dyDescent="0.25">
      <c r="A294" s="22" t="s">
        <v>30</v>
      </c>
      <c r="B294" s="22" t="s">
        <v>31</v>
      </c>
      <c r="C294" s="23" t="s">
        <v>71</v>
      </c>
      <c r="D294" s="6" t="s">
        <v>4</v>
      </c>
      <c r="E294" s="22" t="s">
        <v>176</v>
      </c>
      <c r="F294" s="22" t="s">
        <v>404</v>
      </c>
      <c r="G294" s="22" t="s">
        <v>493</v>
      </c>
      <c r="H294" s="29" t="s">
        <v>178</v>
      </c>
    </row>
    <row r="295" ht="20" customHeight="1" spans="1:8" x14ac:dyDescent="0.25">
      <c r="A295" s="24" t="s">
        <v>33</v>
      </c>
      <c r="B295" s="24" t="s">
        <v>34</v>
      </c>
      <c r="C295" s="25" t="s">
        <v>71</v>
      </c>
      <c r="D295" s="6" t="s">
        <v>4</v>
      </c>
      <c r="E295" s="24" t="s">
        <v>311</v>
      </c>
      <c r="F295" s="24" t="s">
        <v>276</v>
      </c>
      <c r="G295" s="24" t="s">
        <v>261</v>
      </c>
      <c r="H295" s="30" t="s">
        <v>79</v>
      </c>
    </row>
    <row r="296" ht="20" customHeight="1" spans="1:8" x14ac:dyDescent="0.25">
      <c r="A296" s="22" t="s">
        <v>35</v>
      </c>
      <c r="B296" s="22" t="s">
        <v>36</v>
      </c>
      <c r="C296" s="23" t="s">
        <v>71</v>
      </c>
      <c r="D296" s="6" t="s">
        <v>4</v>
      </c>
      <c r="E296" s="22" t="s">
        <v>584</v>
      </c>
      <c r="F296" s="22" t="s">
        <v>585</v>
      </c>
      <c r="G296" s="22" t="s">
        <v>123</v>
      </c>
      <c r="H296" s="29" t="s">
        <v>586</v>
      </c>
    </row>
    <row r="297" ht="20" customHeight="1" spans="1:8" x14ac:dyDescent="0.25">
      <c r="A297" s="24" t="s">
        <v>37</v>
      </c>
      <c r="B297" s="24" t="s">
        <v>38</v>
      </c>
      <c r="C297" s="25" t="s">
        <v>71</v>
      </c>
      <c r="D297" s="31" t="s">
        <v>11</v>
      </c>
      <c r="E297" s="24" t="s">
        <v>12</v>
      </c>
      <c r="F297" s="24" t="s">
        <v>12</v>
      </c>
      <c r="G297" s="24" t="s">
        <v>12</v>
      </c>
      <c r="H297" s="24" t="s">
        <v>32</v>
      </c>
    </row>
    <row r="298" ht="20" customHeight="1" spans="1:8" x14ac:dyDescent="0.25">
      <c r="A298" s="22" t="s">
        <v>39</v>
      </c>
      <c r="B298" s="22" t="s">
        <v>40</v>
      </c>
      <c r="C298" s="23" t="s">
        <v>71</v>
      </c>
      <c r="D298" s="6" t="s">
        <v>4</v>
      </c>
      <c r="E298" s="22" t="s">
        <v>12</v>
      </c>
      <c r="F298" s="22" t="s">
        <v>12</v>
      </c>
      <c r="G298" s="22" t="s">
        <v>12</v>
      </c>
      <c r="H298" s="22" t="s">
        <v>32</v>
      </c>
    </row>
    <row r="299" ht="20" customHeight="1" spans="1:8" x14ac:dyDescent="0.25">
      <c r="A299" s="24" t="s">
        <v>41</v>
      </c>
      <c r="B299" s="24" t="s">
        <v>42</v>
      </c>
      <c r="C299" s="25" t="s">
        <v>71</v>
      </c>
      <c r="D299" s="33" t="s">
        <v>86</v>
      </c>
      <c r="E299" s="24" t="s">
        <v>12</v>
      </c>
      <c r="F299" s="24" t="s">
        <v>12</v>
      </c>
      <c r="G299" s="24" t="s">
        <v>12</v>
      </c>
      <c r="H299" s="24" t="s">
        <v>32</v>
      </c>
    </row>
    <row r="300" ht="20" customHeight="1" spans="1:8" x14ac:dyDescent="0.25">
      <c r="A300" s="22" t="s">
        <v>44</v>
      </c>
      <c r="B300" s="22" t="s">
        <v>45</v>
      </c>
      <c r="C300" s="23" t="s">
        <v>71</v>
      </c>
      <c r="D300" s="6" t="s">
        <v>4</v>
      </c>
      <c r="E300" s="22" t="s">
        <v>181</v>
      </c>
      <c r="F300" s="22" t="s">
        <v>84</v>
      </c>
      <c r="G300" s="22" t="s">
        <v>579</v>
      </c>
      <c r="H300" s="29" t="s">
        <v>184</v>
      </c>
    </row>
    <row r="301" ht="20" customHeight="1" spans="1:8" x14ac:dyDescent="0.25">
      <c r="A301" s="24" t="s">
        <v>46</v>
      </c>
      <c r="B301" s="24" t="s">
        <v>31</v>
      </c>
      <c r="C301" s="25" t="s">
        <v>71</v>
      </c>
      <c r="D301" s="6" t="s">
        <v>4</v>
      </c>
      <c r="E301" s="24" t="s">
        <v>361</v>
      </c>
      <c r="F301" s="24" t="s">
        <v>433</v>
      </c>
      <c r="G301" s="24" t="s">
        <v>514</v>
      </c>
      <c r="H301" s="30" t="s">
        <v>79</v>
      </c>
    </row>
    <row r="302" ht="20" customHeight="1" spans="1:8" x14ac:dyDescent="0.25">
      <c r="A302" s="22" t="s">
        <v>47</v>
      </c>
      <c r="B302" s="22" t="s">
        <v>34</v>
      </c>
      <c r="C302" s="23" t="s">
        <v>71</v>
      </c>
      <c r="D302" s="6" t="s">
        <v>4</v>
      </c>
      <c r="E302" s="22" t="s">
        <v>441</v>
      </c>
      <c r="F302" s="22" t="s">
        <v>280</v>
      </c>
      <c r="G302" s="22" t="s">
        <v>206</v>
      </c>
      <c r="H302" s="32" t="s">
        <v>79</v>
      </c>
    </row>
    <row r="303" ht="20" customHeight="1" spans="1:8" x14ac:dyDescent="0.25">
      <c r="A303" s="24" t="s">
        <v>48</v>
      </c>
      <c r="B303" s="24" t="s">
        <v>36</v>
      </c>
      <c r="C303" s="25" t="s">
        <v>71</v>
      </c>
      <c r="D303" s="6" t="s">
        <v>4</v>
      </c>
      <c r="E303" s="24" t="s">
        <v>446</v>
      </c>
      <c r="F303" s="24" t="s">
        <v>276</v>
      </c>
      <c r="G303" s="24" t="s">
        <v>130</v>
      </c>
      <c r="H303" s="30" t="s">
        <v>79</v>
      </c>
    </row>
    <row r="304" ht="20" customHeight="1" spans="1:8" x14ac:dyDescent="0.25">
      <c r="A304" s="22" t="s">
        <v>49</v>
      </c>
      <c r="B304" s="22" t="s">
        <v>38</v>
      </c>
      <c r="C304" s="23" t="s">
        <v>71</v>
      </c>
      <c r="D304" s="6" t="s">
        <v>4</v>
      </c>
      <c r="E304" s="22" t="s">
        <v>584</v>
      </c>
      <c r="F304" s="22" t="s">
        <v>587</v>
      </c>
      <c r="G304" s="22" t="s">
        <v>577</v>
      </c>
      <c r="H304" s="29" t="s">
        <v>588</v>
      </c>
    </row>
    <row r="305" ht="20" customHeight="1" spans="1:8" x14ac:dyDescent="0.25">
      <c r="A305" s="24" t="s">
        <v>50</v>
      </c>
      <c r="B305" s="24" t="s">
        <v>40</v>
      </c>
      <c r="C305" s="25" t="s">
        <v>71</v>
      </c>
      <c r="D305" s="33" t="s">
        <v>86</v>
      </c>
      <c r="E305" s="24" t="s">
        <v>12</v>
      </c>
      <c r="F305" s="24" t="s">
        <v>12</v>
      </c>
      <c r="G305" s="24" t="s">
        <v>12</v>
      </c>
      <c r="H305" s="24" t="s">
        <v>32</v>
      </c>
    </row>
    <row r="306" ht="20" customHeight="1" spans="1:8" x14ac:dyDescent="0.25">
      <c r="A306" s="22" t="s">
        <v>51</v>
      </c>
      <c r="B306" s="22" t="s">
        <v>42</v>
      </c>
      <c r="C306" s="23" t="s">
        <v>71</v>
      </c>
      <c r="D306" s="35" t="s">
        <v>86</v>
      </c>
      <c r="E306" s="22" t="s">
        <v>12</v>
      </c>
      <c r="F306" s="22" t="s">
        <v>12</v>
      </c>
      <c r="G306" s="22" t="s">
        <v>12</v>
      </c>
      <c r="H306" s="22" t="s">
        <v>32</v>
      </c>
    </row>
    <row r="307" ht="20" customHeight="1" spans="1:8" x14ac:dyDescent="0.25">
      <c r="A307" s="24" t="s">
        <v>52</v>
      </c>
      <c r="B307" s="24" t="s">
        <v>45</v>
      </c>
      <c r="C307" s="25" t="s">
        <v>71</v>
      </c>
      <c r="D307" s="6" t="s">
        <v>4</v>
      </c>
      <c r="E307" s="24" t="s">
        <v>437</v>
      </c>
      <c r="F307" s="24" t="s">
        <v>386</v>
      </c>
      <c r="G307" s="24" t="s">
        <v>281</v>
      </c>
      <c r="H307" s="30" t="s">
        <v>79</v>
      </c>
    </row>
    <row r="308" ht="20" customHeight="1" spans="1:8" x14ac:dyDescent="0.25">
      <c r="A308" s="22" t="s">
        <v>53</v>
      </c>
      <c r="B308" s="22" t="s">
        <v>31</v>
      </c>
      <c r="C308" s="23" t="s">
        <v>71</v>
      </c>
      <c r="D308" s="6" t="s">
        <v>4</v>
      </c>
      <c r="E308" s="22" t="s">
        <v>375</v>
      </c>
      <c r="F308" s="22" t="s">
        <v>589</v>
      </c>
      <c r="G308" s="22" t="s">
        <v>590</v>
      </c>
      <c r="H308" s="32" t="s">
        <v>79</v>
      </c>
    </row>
    <row r="309" ht="20" customHeight="1" spans="1:8" x14ac:dyDescent="0.25">
      <c r="A309" s="24" t="s">
        <v>54</v>
      </c>
      <c r="B309" s="24" t="s">
        <v>34</v>
      </c>
      <c r="C309" s="25" t="s">
        <v>71</v>
      </c>
      <c r="D309" s="6" t="s">
        <v>4</v>
      </c>
      <c r="E309" s="24" t="s">
        <v>83</v>
      </c>
      <c r="F309" s="24" t="s">
        <v>591</v>
      </c>
      <c r="G309" s="24" t="s">
        <v>575</v>
      </c>
      <c r="H309" s="34" t="s">
        <v>592</v>
      </c>
    </row>
    <row r="310" ht="20" customHeight="1" spans="1:8" x14ac:dyDescent="0.25">
      <c r="A310" s="22" t="s">
        <v>55</v>
      </c>
      <c r="B310" s="22" t="s">
        <v>36</v>
      </c>
      <c r="C310" s="23" t="s">
        <v>71</v>
      </c>
      <c r="D310" s="6" t="s">
        <v>4</v>
      </c>
      <c r="E310" s="22" t="s">
        <v>434</v>
      </c>
      <c r="F310" s="22" t="s">
        <v>293</v>
      </c>
      <c r="G310" s="22" t="s">
        <v>130</v>
      </c>
      <c r="H310" s="32" t="s">
        <v>79</v>
      </c>
    </row>
    <row r="311" ht="20" customHeight="1" spans="1:8" x14ac:dyDescent="0.25">
      <c r="A311" s="24" t="s">
        <v>56</v>
      </c>
      <c r="B311" s="24" t="s">
        <v>38</v>
      </c>
      <c r="C311" s="25" t="s">
        <v>71</v>
      </c>
      <c r="D311" s="6" t="s">
        <v>4</v>
      </c>
      <c r="E311" s="24" t="s">
        <v>593</v>
      </c>
      <c r="F311" s="24" t="s">
        <v>363</v>
      </c>
      <c r="G311" s="24" t="s">
        <v>594</v>
      </c>
      <c r="H311" s="34" t="s">
        <v>595</v>
      </c>
    </row>
    <row r="312" ht="20" customHeight="1" spans="1:8" x14ac:dyDescent="0.25">
      <c r="A312" s="22" t="s">
        <v>57</v>
      </c>
      <c r="B312" s="22" t="s">
        <v>40</v>
      </c>
      <c r="C312" s="23" t="s">
        <v>71</v>
      </c>
      <c r="D312" s="6" t="s">
        <v>4</v>
      </c>
      <c r="E312" s="22" t="s">
        <v>311</v>
      </c>
      <c r="F312" s="22" t="s">
        <v>395</v>
      </c>
      <c r="G312" s="22" t="s">
        <v>250</v>
      </c>
      <c r="H312" s="32" t="s">
        <v>79</v>
      </c>
    </row>
    <row r="313" ht="20" customHeight="1" spans="1:8" x14ac:dyDescent="0.25">
      <c r="A313" s="24" t="s">
        <v>58</v>
      </c>
      <c r="B313" s="24" t="s">
        <v>42</v>
      </c>
      <c r="C313" s="25" t="s">
        <v>71</v>
      </c>
      <c r="D313" s="33" t="s">
        <v>86</v>
      </c>
      <c r="E313" s="24" t="s">
        <v>12</v>
      </c>
      <c r="F313" s="24" t="s">
        <v>12</v>
      </c>
      <c r="G313" s="24" t="s">
        <v>12</v>
      </c>
      <c r="H313" s="24" t="s">
        <v>32</v>
      </c>
    </row>
    <row r="314" ht="20" customHeight="1" spans="1:8" x14ac:dyDescent="0.25">
      <c r="A314" s="22" t="s">
        <v>59</v>
      </c>
      <c r="B314" s="22" t="s">
        <v>45</v>
      </c>
      <c r="C314" s="23" t="s">
        <v>71</v>
      </c>
      <c r="D314" s="6" t="s">
        <v>4</v>
      </c>
      <c r="E314" s="22" t="s">
        <v>434</v>
      </c>
      <c r="F314" s="22" t="s">
        <v>317</v>
      </c>
      <c r="G314" s="22" t="s">
        <v>267</v>
      </c>
      <c r="H314" s="32" t="s">
        <v>79</v>
      </c>
    </row>
    <row r="315" ht="20" customHeight="1" spans="1:8" x14ac:dyDescent="0.25">
      <c r="A315" s="24" t="s">
        <v>60</v>
      </c>
      <c r="B315" s="24" t="s">
        <v>31</v>
      </c>
      <c r="C315" s="25" t="s">
        <v>71</v>
      </c>
      <c r="D315" s="6" t="s">
        <v>4</v>
      </c>
      <c r="E315" s="24" t="s">
        <v>390</v>
      </c>
      <c r="F315" s="24" t="s">
        <v>344</v>
      </c>
      <c r="G315" s="24" t="s">
        <v>414</v>
      </c>
      <c r="H315" s="30" t="s">
        <v>79</v>
      </c>
    </row>
    <row r="316" ht="20" customHeight="1" spans="1:8" x14ac:dyDescent="0.25">
      <c r="A316" s="22" t="s">
        <v>61</v>
      </c>
      <c r="B316" s="22" t="s">
        <v>34</v>
      </c>
      <c r="C316" s="23" t="s">
        <v>71</v>
      </c>
      <c r="D316" s="6" t="s">
        <v>4</v>
      </c>
      <c r="E316" s="22" t="s">
        <v>405</v>
      </c>
      <c r="F316" s="22" t="s">
        <v>386</v>
      </c>
      <c r="G316" s="22" t="s">
        <v>194</v>
      </c>
      <c r="H316" s="32" t="s">
        <v>79</v>
      </c>
    </row>
    <row r="317" ht="20" customHeight="1" spans="1:8" x14ac:dyDescent="0.25">
      <c r="A317" s="24" t="s">
        <v>62</v>
      </c>
      <c r="B317" s="24" t="s">
        <v>36</v>
      </c>
      <c r="C317" s="25" t="s">
        <v>71</v>
      </c>
      <c r="D317" s="6" t="s">
        <v>4</v>
      </c>
      <c r="E317" s="24" t="s">
        <v>434</v>
      </c>
      <c r="F317" s="24" t="s">
        <v>276</v>
      </c>
      <c r="G317" s="24" t="s">
        <v>250</v>
      </c>
      <c r="H317" s="30" t="s">
        <v>79</v>
      </c>
    </row>
    <row r="318" ht="20" customHeight="1" spans="1:8" x14ac:dyDescent="0.25">
      <c r="A318" s="22" t="s">
        <v>63</v>
      </c>
      <c r="B318" s="22" t="s">
        <v>38</v>
      </c>
      <c r="C318" s="23" t="s">
        <v>71</v>
      </c>
      <c r="D318" s="6" t="s">
        <v>4</v>
      </c>
      <c r="E318" s="22" t="s">
        <v>596</v>
      </c>
      <c r="F318" s="22" t="s">
        <v>231</v>
      </c>
      <c r="G318" s="22" t="s">
        <v>597</v>
      </c>
      <c r="H318" s="32" t="s">
        <v>79</v>
      </c>
    </row>
    <row r="319" ht="20" customHeight="1" spans="1:8" x14ac:dyDescent="0.25">
      <c r="A319" s="24" t="s">
        <v>64</v>
      </c>
      <c r="B319" s="24" t="s">
        <v>40</v>
      </c>
      <c r="C319" s="25" t="s">
        <v>71</v>
      </c>
      <c r="D319" s="33" t="s">
        <v>86</v>
      </c>
      <c r="E319" s="24" t="s">
        <v>12</v>
      </c>
      <c r="F319" s="24" t="s">
        <v>12</v>
      </c>
      <c r="G319" s="24" t="s">
        <v>12</v>
      </c>
      <c r="H319" s="24" t="s">
        <v>32</v>
      </c>
    </row>
    <row r="320" ht="20" customHeight="1" spans="1:8" x14ac:dyDescent="0.25">
      <c r="A320" s="22" t="s">
        <v>65</v>
      </c>
      <c r="B320" s="22" t="s">
        <v>42</v>
      </c>
      <c r="C320" s="23" t="s">
        <v>71</v>
      </c>
      <c r="D320" s="35" t="s">
        <v>86</v>
      </c>
      <c r="E320" s="22" t="s">
        <v>12</v>
      </c>
      <c r="F320" s="22" t="s">
        <v>12</v>
      </c>
      <c r="G320" s="22" t="s">
        <v>12</v>
      </c>
      <c r="H320" s="22" t="s">
        <v>32</v>
      </c>
    </row>
    <row r="321" ht="20" customHeight="1" spans="1:8" x14ac:dyDescent="0.25">
      <c r="A321" s="24" t="s">
        <v>66</v>
      </c>
      <c r="B321" s="24" t="s">
        <v>45</v>
      </c>
      <c r="C321" s="25" t="s">
        <v>71</v>
      </c>
      <c r="D321" s="6" t="s">
        <v>4</v>
      </c>
      <c r="E321" s="24" t="s">
        <v>598</v>
      </c>
      <c r="F321" s="24" t="s">
        <v>599</v>
      </c>
      <c r="G321" s="24" t="s">
        <v>119</v>
      </c>
      <c r="H321" s="34" t="s">
        <v>600</v>
      </c>
    </row>
    <row r="322" ht="20" customHeight="1" spans="1:8" x14ac:dyDescent="0.25">
      <c r="A322" s="22" t="s">
        <v>67</v>
      </c>
      <c r="B322" s="22" t="s">
        <v>31</v>
      </c>
      <c r="C322" s="23" t="s">
        <v>71</v>
      </c>
      <c r="D322" s="6" t="s">
        <v>4</v>
      </c>
      <c r="E322" s="22" t="s">
        <v>397</v>
      </c>
      <c r="F322" s="22" t="s">
        <v>243</v>
      </c>
      <c r="G322" s="22" t="s">
        <v>481</v>
      </c>
      <c r="H322" s="32" t="s">
        <v>79</v>
      </c>
    </row>
    <row r="323" ht="20" customHeight="1" spans="1:8" x14ac:dyDescent="0.25">
      <c r="A323" s="24" t="s">
        <v>68</v>
      </c>
      <c r="B323" s="24" t="s">
        <v>34</v>
      </c>
      <c r="C323" s="25" t="s">
        <v>71</v>
      </c>
      <c r="D323" s="6" t="s">
        <v>4</v>
      </c>
      <c r="E323" s="24" t="s">
        <v>405</v>
      </c>
      <c r="F323" s="24" t="s">
        <v>12</v>
      </c>
      <c r="G323" s="24" t="s">
        <v>12</v>
      </c>
      <c r="H323" s="30" t="s">
        <v>79</v>
      </c>
    </row>
    <row r="324" ht="22" customHeight="1" spans="1:8" x14ac:dyDescent="0.25">
      <c r="A324" s="26" t="s">
        <v>69</v>
      </c>
      <c r="B324" s="26"/>
      <c r="C324" s="26"/>
      <c r="D324" s="26"/>
      <c r="E324" s="26"/>
      <c r="F324" s="26"/>
      <c r="G324" s="27" t="s">
        <v>601</v>
      </c>
      <c r="H324" s="28" t="s">
        <v>12</v>
      </c>
    </row>
    <row r="326" ht="26" customHeight="1" spans="1:8" x14ac:dyDescent="0.25">
      <c r="A326" s="20" t="s">
        <v>602</v>
      </c>
      <c r="B326" s="20"/>
      <c r="C326" s="20"/>
      <c r="D326" s="20"/>
      <c r="E326" s="20"/>
      <c r="F326" s="20"/>
      <c r="G326" s="20"/>
      <c r="H326" s="20"/>
    </row>
    <row r="327" ht="22" customHeight="1" spans="1:8" x14ac:dyDescent="0.25">
      <c r="A327" s="21" t="s">
        <v>22</v>
      </c>
      <c r="B327" s="21" t="s">
        <v>23</v>
      </c>
      <c r="C327" s="21" t="s">
        <v>24</v>
      </c>
      <c r="D327" s="21" t="s">
        <v>25</v>
      </c>
      <c r="E327" s="21" t="s">
        <v>26</v>
      </c>
      <c r="F327" s="21" t="s">
        <v>27</v>
      </c>
      <c r="G327" s="21" t="s">
        <v>28</v>
      </c>
      <c r="H327" s="21" t="s">
        <v>29</v>
      </c>
    </row>
    <row r="328" ht="20" customHeight="1" spans="1:8" x14ac:dyDescent="0.25">
      <c r="A328" s="22" t="s">
        <v>30</v>
      </c>
      <c r="B328" s="22" t="s">
        <v>31</v>
      </c>
      <c r="C328" s="23" t="s">
        <v>32</v>
      </c>
      <c r="D328" s="7" t="s">
        <v>5</v>
      </c>
      <c r="E328" s="22" t="s">
        <v>12</v>
      </c>
      <c r="F328" s="22" t="s">
        <v>12</v>
      </c>
      <c r="G328" s="22" t="s">
        <v>12</v>
      </c>
      <c r="H328" s="22" t="s">
        <v>32</v>
      </c>
    </row>
    <row r="329" ht="20" customHeight="1" spans="1:8" x14ac:dyDescent="0.25">
      <c r="A329" s="24" t="s">
        <v>33</v>
      </c>
      <c r="B329" s="24" t="s">
        <v>34</v>
      </c>
      <c r="C329" s="25" t="s">
        <v>32</v>
      </c>
      <c r="D329" s="7" t="s">
        <v>5</v>
      </c>
      <c r="E329" s="24" t="s">
        <v>12</v>
      </c>
      <c r="F329" s="24" t="s">
        <v>12</v>
      </c>
      <c r="G329" s="24" t="s">
        <v>12</v>
      </c>
      <c r="H329" s="24" t="s">
        <v>32</v>
      </c>
    </row>
    <row r="330" ht="20" customHeight="1" spans="1:8" x14ac:dyDescent="0.25">
      <c r="A330" s="22" t="s">
        <v>35</v>
      </c>
      <c r="B330" s="22" t="s">
        <v>36</v>
      </c>
      <c r="C330" s="23" t="s">
        <v>32</v>
      </c>
      <c r="D330" s="7" t="s">
        <v>5</v>
      </c>
      <c r="E330" s="22" t="s">
        <v>12</v>
      </c>
      <c r="F330" s="22" t="s">
        <v>12</v>
      </c>
      <c r="G330" s="22" t="s">
        <v>12</v>
      </c>
      <c r="H330" s="22" t="s">
        <v>32</v>
      </c>
    </row>
    <row r="331" ht="20" customHeight="1" spans="1:8" x14ac:dyDescent="0.25">
      <c r="A331" s="24" t="s">
        <v>37</v>
      </c>
      <c r="B331" s="24" t="s">
        <v>38</v>
      </c>
      <c r="C331" s="25" t="s">
        <v>32</v>
      </c>
      <c r="D331" s="7" t="s">
        <v>5</v>
      </c>
      <c r="E331" s="24" t="s">
        <v>12</v>
      </c>
      <c r="F331" s="24" t="s">
        <v>12</v>
      </c>
      <c r="G331" s="24" t="s">
        <v>12</v>
      </c>
      <c r="H331" s="24" t="s">
        <v>32</v>
      </c>
    </row>
    <row r="332" ht="20" customHeight="1" spans="1:8" x14ac:dyDescent="0.25">
      <c r="A332" s="22" t="s">
        <v>39</v>
      </c>
      <c r="B332" s="22" t="s">
        <v>40</v>
      </c>
      <c r="C332" s="23" t="s">
        <v>32</v>
      </c>
      <c r="D332" s="7" t="s">
        <v>5</v>
      </c>
      <c r="E332" s="22" t="s">
        <v>12</v>
      </c>
      <c r="F332" s="22" t="s">
        <v>12</v>
      </c>
      <c r="G332" s="22" t="s">
        <v>12</v>
      </c>
      <c r="H332" s="22" t="s">
        <v>32</v>
      </c>
    </row>
    <row r="333" ht="20" customHeight="1" spans="1:8" x14ac:dyDescent="0.25">
      <c r="A333" s="24" t="s">
        <v>41</v>
      </c>
      <c r="B333" s="24" t="s">
        <v>42</v>
      </c>
      <c r="C333" s="25" t="s">
        <v>32</v>
      </c>
      <c r="D333" s="16" t="s">
        <v>43</v>
      </c>
      <c r="E333" s="24" t="s">
        <v>12</v>
      </c>
      <c r="F333" s="24" t="s">
        <v>12</v>
      </c>
      <c r="G333" s="24" t="s">
        <v>12</v>
      </c>
      <c r="H333" s="24" t="s">
        <v>32</v>
      </c>
    </row>
    <row r="334" ht="20" customHeight="1" spans="1:8" x14ac:dyDescent="0.25">
      <c r="A334" s="22" t="s">
        <v>44</v>
      </c>
      <c r="B334" s="22" t="s">
        <v>45</v>
      </c>
      <c r="C334" s="23" t="s">
        <v>32</v>
      </c>
      <c r="D334" s="7" t="s">
        <v>5</v>
      </c>
      <c r="E334" s="22" t="s">
        <v>12</v>
      </c>
      <c r="F334" s="22" t="s">
        <v>12</v>
      </c>
      <c r="G334" s="22" t="s">
        <v>12</v>
      </c>
      <c r="H334" s="22" t="s">
        <v>32</v>
      </c>
    </row>
    <row r="335" ht="20" customHeight="1" spans="1:8" x14ac:dyDescent="0.25">
      <c r="A335" s="24" t="s">
        <v>46</v>
      </c>
      <c r="B335" s="24" t="s">
        <v>31</v>
      </c>
      <c r="C335" s="25" t="s">
        <v>32</v>
      </c>
      <c r="D335" s="7" t="s">
        <v>5</v>
      </c>
      <c r="E335" s="24" t="s">
        <v>12</v>
      </c>
      <c r="F335" s="24" t="s">
        <v>12</v>
      </c>
      <c r="G335" s="24" t="s">
        <v>12</v>
      </c>
      <c r="H335" s="24" t="s">
        <v>32</v>
      </c>
    </row>
    <row r="336" ht="20" customHeight="1" spans="1:8" x14ac:dyDescent="0.25">
      <c r="A336" s="22" t="s">
        <v>47</v>
      </c>
      <c r="B336" s="22" t="s">
        <v>34</v>
      </c>
      <c r="C336" s="23" t="s">
        <v>603</v>
      </c>
      <c r="D336" s="7" t="s">
        <v>5</v>
      </c>
      <c r="E336" s="22" t="s">
        <v>12</v>
      </c>
      <c r="F336" s="22" t="s">
        <v>12</v>
      </c>
      <c r="G336" s="22" t="s">
        <v>12</v>
      </c>
      <c r="H336" s="22" t="s">
        <v>32</v>
      </c>
    </row>
    <row r="337" ht="20" customHeight="1" spans="1:8" x14ac:dyDescent="0.25">
      <c r="A337" s="24" t="s">
        <v>48</v>
      </c>
      <c r="B337" s="24" t="s">
        <v>36</v>
      </c>
      <c r="C337" s="25" t="s">
        <v>32</v>
      </c>
      <c r="D337" s="7" t="s">
        <v>5</v>
      </c>
      <c r="E337" s="24" t="s">
        <v>12</v>
      </c>
      <c r="F337" s="24" t="s">
        <v>12</v>
      </c>
      <c r="G337" s="24" t="s">
        <v>12</v>
      </c>
      <c r="H337" s="24" t="s">
        <v>32</v>
      </c>
    </row>
    <row r="338" ht="20" customHeight="1" spans="1:8" x14ac:dyDescent="0.25">
      <c r="A338" s="22" t="s">
        <v>49</v>
      </c>
      <c r="B338" s="22" t="s">
        <v>38</v>
      </c>
      <c r="C338" s="23" t="s">
        <v>32</v>
      </c>
      <c r="D338" s="7" t="s">
        <v>5</v>
      </c>
      <c r="E338" s="22" t="s">
        <v>12</v>
      </c>
      <c r="F338" s="22" t="s">
        <v>12</v>
      </c>
      <c r="G338" s="22" t="s">
        <v>12</v>
      </c>
      <c r="H338" s="22" t="s">
        <v>32</v>
      </c>
    </row>
    <row r="339" ht="20" customHeight="1" spans="1:8" x14ac:dyDescent="0.25">
      <c r="A339" s="24" t="s">
        <v>50</v>
      </c>
      <c r="B339" s="24" t="s">
        <v>40</v>
      </c>
      <c r="C339" s="25" t="s">
        <v>32</v>
      </c>
      <c r="D339" s="7" t="s">
        <v>5</v>
      </c>
      <c r="E339" s="24" t="s">
        <v>12</v>
      </c>
      <c r="F339" s="24" t="s">
        <v>12</v>
      </c>
      <c r="G339" s="24" t="s">
        <v>12</v>
      </c>
      <c r="H339" s="24" t="s">
        <v>32</v>
      </c>
    </row>
    <row r="340" ht="20" customHeight="1" spans="1:8" x14ac:dyDescent="0.25">
      <c r="A340" s="22" t="s">
        <v>51</v>
      </c>
      <c r="B340" s="22" t="s">
        <v>42</v>
      </c>
      <c r="C340" s="23" t="s">
        <v>32</v>
      </c>
      <c r="D340" s="16" t="s">
        <v>43</v>
      </c>
      <c r="E340" s="22" t="s">
        <v>12</v>
      </c>
      <c r="F340" s="22" t="s">
        <v>12</v>
      </c>
      <c r="G340" s="22" t="s">
        <v>12</v>
      </c>
      <c r="H340" s="22" t="s">
        <v>32</v>
      </c>
    </row>
    <row r="341" ht="20" customHeight="1" spans="1:8" x14ac:dyDescent="0.25">
      <c r="A341" s="24" t="s">
        <v>52</v>
      </c>
      <c r="B341" s="24" t="s">
        <v>45</v>
      </c>
      <c r="C341" s="25" t="s">
        <v>32</v>
      </c>
      <c r="D341" s="7" t="s">
        <v>5</v>
      </c>
      <c r="E341" s="24" t="s">
        <v>12</v>
      </c>
      <c r="F341" s="24" t="s">
        <v>12</v>
      </c>
      <c r="G341" s="24" t="s">
        <v>12</v>
      </c>
      <c r="H341" s="24" t="s">
        <v>32</v>
      </c>
    </row>
    <row r="342" ht="20" customHeight="1" spans="1:8" x14ac:dyDescent="0.25">
      <c r="A342" s="22" t="s">
        <v>53</v>
      </c>
      <c r="B342" s="22" t="s">
        <v>31</v>
      </c>
      <c r="C342" s="23" t="s">
        <v>32</v>
      </c>
      <c r="D342" s="7" t="s">
        <v>5</v>
      </c>
      <c r="E342" s="22" t="s">
        <v>12</v>
      </c>
      <c r="F342" s="22" t="s">
        <v>12</v>
      </c>
      <c r="G342" s="22" t="s">
        <v>12</v>
      </c>
      <c r="H342" s="22" t="s">
        <v>32</v>
      </c>
    </row>
    <row r="343" ht="20" customHeight="1" spans="1:8" x14ac:dyDescent="0.25">
      <c r="A343" s="24" t="s">
        <v>54</v>
      </c>
      <c r="B343" s="24" t="s">
        <v>34</v>
      </c>
      <c r="C343" s="25" t="s">
        <v>32</v>
      </c>
      <c r="D343" s="7" t="s">
        <v>5</v>
      </c>
      <c r="E343" s="24" t="s">
        <v>12</v>
      </c>
      <c r="F343" s="24" t="s">
        <v>12</v>
      </c>
      <c r="G343" s="24" t="s">
        <v>12</v>
      </c>
      <c r="H343" s="24" t="s">
        <v>32</v>
      </c>
    </row>
    <row r="344" ht="20" customHeight="1" spans="1:8" x14ac:dyDescent="0.25">
      <c r="A344" s="22" t="s">
        <v>55</v>
      </c>
      <c r="B344" s="22" t="s">
        <v>36</v>
      </c>
      <c r="C344" s="23" t="s">
        <v>32</v>
      </c>
      <c r="D344" s="7" t="s">
        <v>5</v>
      </c>
      <c r="E344" s="22" t="s">
        <v>12</v>
      </c>
      <c r="F344" s="22" t="s">
        <v>12</v>
      </c>
      <c r="G344" s="22" t="s">
        <v>12</v>
      </c>
      <c r="H344" s="22" t="s">
        <v>32</v>
      </c>
    </row>
    <row r="345" ht="20" customHeight="1" spans="1:8" x14ac:dyDescent="0.25">
      <c r="A345" s="24" t="s">
        <v>56</v>
      </c>
      <c r="B345" s="24" t="s">
        <v>38</v>
      </c>
      <c r="C345" s="25" t="s">
        <v>603</v>
      </c>
      <c r="D345" s="7" t="s">
        <v>5</v>
      </c>
      <c r="E345" s="24" t="s">
        <v>12</v>
      </c>
      <c r="F345" s="24" t="s">
        <v>12</v>
      </c>
      <c r="G345" s="24" t="s">
        <v>12</v>
      </c>
      <c r="H345" s="24" t="s">
        <v>32</v>
      </c>
    </row>
    <row r="346" ht="20" customHeight="1" spans="1:8" x14ac:dyDescent="0.25">
      <c r="A346" s="22" t="s">
        <v>57</v>
      </c>
      <c r="B346" s="22" t="s">
        <v>40</v>
      </c>
      <c r="C346" s="23" t="s">
        <v>603</v>
      </c>
      <c r="D346" s="7" t="s">
        <v>5</v>
      </c>
      <c r="E346" s="22" t="s">
        <v>12</v>
      </c>
      <c r="F346" s="22" t="s">
        <v>12</v>
      </c>
      <c r="G346" s="22" t="s">
        <v>12</v>
      </c>
      <c r="H346" s="22" t="s">
        <v>32</v>
      </c>
    </row>
    <row r="347" ht="20" customHeight="1" spans="1:8" x14ac:dyDescent="0.25">
      <c r="A347" s="24" t="s">
        <v>58</v>
      </c>
      <c r="B347" s="24" t="s">
        <v>42</v>
      </c>
      <c r="C347" s="25" t="s">
        <v>32</v>
      </c>
      <c r="D347" s="16" t="s">
        <v>43</v>
      </c>
      <c r="E347" s="24" t="s">
        <v>12</v>
      </c>
      <c r="F347" s="24" t="s">
        <v>12</v>
      </c>
      <c r="G347" s="24" t="s">
        <v>12</v>
      </c>
      <c r="H347" s="24" t="s">
        <v>32</v>
      </c>
    </row>
    <row r="348" ht="20" customHeight="1" spans="1:8" x14ac:dyDescent="0.25">
      <c r="A348" s="22" t="s">
        <v>59</v>
      </c>
      <c r="B348" s="22" t="s">
        <v>45</v>
      </c>
      <c r="C348" s="23" t="s">
        <v>32</v>
      </c>
      <c r="D348" s="7" t="s">
        <v>5</v>
      </c>
      <c r="E348" s="22" t="s">
        <v>12</v>
      </c>
      <c r="F348" s="22" t="s">
        <v>12</v>
      </c>
      <c r="G348" s="22" t="s">
        <v>12</v>
      </c>
      <c r="H348" s="22" t="s">
        <v>32</v>
      </c>
    </row>
    <row r="349" ht="20" customHeight="1" spans="1:8" x14ac:dyDescent="0.25">
      <c r="A349" s="24" t="s">
        <v>60</v>
      </c>
      <c r="B349" s="24" t="s">
        <v>31</v>
      </c>
      <c r="C349" s="25" t="s">
        <v>32</v>
      </c>
      <c r="D349" s="7" t="s">
        <v>5</v>
      </c>
      <c r="E349" s="24" t="s">
        <v>12</v>
      </c>
      <c r="F349" s="24" t="s">
        <v>12</v>
      </c>
      <c r="G349" s="24" t="s">
        <v>12</v>
      </c>
      <c r="H349" s="24" t="s">
        <v>32</v>
      </c>
    </row>
    <row r="350" ht="20" customHeight="1" spans="1:8" x14ac:dyDescent="0.25">
      <c r="A350" s="22" t="s">
        <v>61</v>
      </c>
      <c r="B350" s="22" t="s">
        <v>34</v>
      </c>
      <c r="C350" s="23" t="s">
        <v>32</v>
      </c>
      <c r="D350" s="7" t="s">
        <v>5</v>
      </c>
      <c r="E350" s="22" t="s">
        <v>12</v>
      </c>
      <c r="F350" s="22" t="s">
        <v>12</v>
      </c>
      <c r="G350" s="22" t="s">
        <v>12</v>
      </c>
      <c r="H350" s="22" t="s">
        <v>32</v>
      </c>
    </row>
    <row r="351" ht="20" customHeight="1" spans="1:8" x14ac:dyDescent="0.25">
      <c r="A351" s="24" t="s">
        <v>62</v>
      </c>
      <c r="B351" s="24" t="s">
        <v>36</v>
      </c>
      <c r="C351" s="25" t="s">
        <v>32</v>
      </c>
      <c r="D351" s="7" t="s">
        <v>5</v>
      </c>
      <c r="E351" s="24" t="s">
        <v>12</v>
      </c>
      <c r="F351" s="24" t="s">
        <v>12</v>
      </c>
      <c r="G351" s="24" t="s">
        <v>12</v>
      </c>
      <c r="H351" s="24" t="s">
        <v>32</v>
      </c>
    </row>
    <row r="352" ht="20" customHeight="1" spans="1:8" x14ac:dyDescent="0.25">
      <c r="A352" s="22" t="s">
        <v>63</v>
      </c>
      <c r="B352" s="22" t="s">
        <v>38</v>
      </c>
      <c r="C352" s="23" t="s">
        <v>32</v>
      </c>
      <c r="D352" s="7" t="s">
        <v>5</v>
      </c>
      <c r="E352" s="22" t="s">
        <v>12</v>
      </c>
      <c r="F352" s="22" t="s">
        <v>12</v>
      </c>
      <c r="G352" s="22" t="s">
        <v>12</v>
      </c>
      <c r="H352" s="22" t="s">
        <v>32</v>
      </c>
    </row>
    <row r="353" ht="20" customHeight="1" spans="1:8" x14ac:dyDescent="0.25">
      <c r="A353" s="24" t="s">
        <v>64</v>
      </c>
      <c r="B353" s="24" t="s">
        <v>40</v>
      </c>
      <c r="C353" s="25" t="s">
        <v>32</v>
      </c>
      <c r="D353" s="7" t="s">
        <v>5</v>
      </c>
      <c r="E353" s="24" t="s">
        <v>12</v>
      </c>
      <c r="F353" s="24" t="s">
        <v>12</v>
      </c>
      <c r="G353" s="24" t="s">
        <v>12</v>
      </c>
      <c r="H353" s="24" t="s">
        <v>32</v>
      </c>
    </row>
    <row r="354" ht="20" customHeight="1" spans="1:8" x14ac:dyDescent="0.25">
      <c r="A354" s="22" t="s">
        <v>65</v>
      </c>
      <c r="B354" s="22" t="s">
        <v>42</v>
      </c>
      <c r="C354" s="23" t="s">
        <v>32</v>
      </c>
      <c r="D354" s="16" t="s">
        <v>43</v>
      </c>
      <c r="E354" s="22" t="s">
        <v>12</v>
      </c>
      <c r="F354" s="22" t="s">
        <v>12</v>
      </c>
      <c r="G354" s="22" t="s">
        <v>12</v>
      </c>
      <c r="H354" s="22" t="s">
        <v>32</v>
      </c>
    </row>
    <row r="355" ht="20" customHeight="1" spans="1:8" x14ac:dyDescent="0.25">
      <c r="A355" s="24" t="s">
        <v>66</v>
      </c>
      <c r="B355" s="24" t="s">
        <v>45</v>
      </c>
      <c r="C355" s="25" t="s">
        <v>32</v>
      </c>
      <c r="D355" s="7" t="s">
        <v>5</v>
      </c>
      <c r="E355" s="24" t="s">
        <v>12</v>
      </c>
      <c r="F355" s="24" t="s">
        <v>12</v>
      </c>
      <c r="G355" s="24" t="s">
        <v>12</v>
      </c>
      <c r="H355" s="24" t="s">
        <v>32</v>
      </c>
    </row>
    <row r="356" ht="20" customHeight="1" spans="1:8" x14ac:dyDescent="0.25">
      <c r="A356" s="22" t="s">
        <v>67</v>
      </c>
      <c r="B356" s="22" t="s">
        <v>31</v>
      </c>
      <c r="C356" s="23" t="s">
        <v>32</v>
      </c>
      <c r="D356" s="7" t="s">
        <v>5</v>
      </c>
      <c r="E356" s="22" t="s">
        <v>12</v>
      </c>
      <c r="F356" s="22" t="s">
        <v>12</v>
      </c>
      <c r="G356" s="22" t="s">
        <v>12</v>
      </c>
      <c r="H356" s="22" t="s">
        <v>32</v>
      </c>
    </row>
    <row r="357" ht="20" customHeight="1" spans="1:8" x14ac:dyDescent="0.25">
      <c r="A357" s="24" t="s">
        <v>68</v>
      </c>
      <c r="B357" s="24" t="s">
        <v>34</v>
      </c>
      <c r="C357" s="25" t="s">
        <v>32</v>
      </c>
      <c r="D357" s="7" t="s">
        <v>5</v>
      </c>
      <c r="E357" s="24" t="s">
        <v>12</v>
      </c>
      <c r="F357" s="24" t="s">
        <v>12</v>
      </c>
      <c r="G357" s="24" t="s">
        <v>12</v>
      </c>
      <c r="H357" s="24" t="s">
        <v>32</v>
      </c>
    </row>
    <row r="358" ht="22" customHeight="1" spans="1:8" x14ac:dyDescent="0.25">
      <c r="A358" s="26" t="s">
        <v>69</v>
      </c>
      <c r="B358" s="26"/>
      <c r="C358" s="26"/>
      <c r="D358" s="26"/>
      <c r="E358" s="26"/>
      <c r="F358" s="26"/>
      <c r="G358" s="27" t="s">
        <v>18</v>
      </c>
      <c r="H358" s="28" t="s">
        <v>12</v>
      </c>
    </row>
    <row r="360" ht="26" customHeight="1" spans="1:8" x14ac:dyDescent="0.25">
      <c r="A360" s="20" t="s">
        <v>604</v>
      </c>
      <c r="B360" s="20"/>
      <c r="C360" s="20"/>
      <c r="D360" s="20"/>
      <c r="E360" s="20"/>
      <c r="F360" s="20"/>
      <c r="G360" s="20"/>
      <c r="H360" s="20"/>
    </row>
    <row r="361" ht="22" customHeight="1" spans="1:8" x14ac:dyDescent="0.25">
      <c r="A361" s="21" t="s">
        <v>22</v>
      </c>
      <c r="B361" s="21" t="s">
        <v>23</v>
      </c>
      <c r="C361" s="21" t="s">
        <v>24</v>
      </c>
      <c r="D361" s="21" t="s">
        <v>25</v>
      </c>
      <c r="E361" s="21" t="s">
        <v>26</v>
      </c>
      <c r="F361" s="21" t="s">
        <v>27</v>
      </c>
      <c r="G361" s="21" t="s">
        <v>28</v>
      </c>
      <c r="H361" s="21" t="s">
        <v>29</v>
      </c>
    </row>
    <row r="362" ht="20" customHeight="1" spans="1:8" x14ac:dyDescent="0.25">
      <c r="A362" s="22" t="s">
        <v>30</v>
      </c>
      <c r="B362" s="22" t="s">
        <v>31</v>
      </c>
      <c r="C362" s="23" t="s">
        <v>605</v>
      </c>
      <c r="D362" s="6" t="s">
        <v>4</v>
      </c>
      <c r="E362" s="22" t="s">
        <v>372</v>
      </c>
      <c r="F362" s="22" t="s">
        <v>136</v>
      </c>
      <c r="G362" s="22" t="s">
        <v>174</v>
      </c>
      <c r="H362" s="29" t="s">
        <v>606</v>
      </c>
    </row>
    <row r="363" ht="20" customHeight="1" spans="1:8" x14ac:dyDescent="0.25">
      <c r="A363" s="24" t="s">
        <v>33</v>
      </c>
      <c r="B363" s="24" t="s">
        <v>34</v>
      </c>
      <c r="C363" s="25" t="s">
        <v>605</v>
      </c>
      <c r="D363" s="6" t="s">
        <v>4</v>
      </c>
      <c r="E363" s="24" t="s">
        <v>125</v>
      </c>
      <c r="F363" s="24" t="s">
        <v>529</v>
      </c>
      <c r="G363" s="24" t="s">
        <v>240</v>
      </c>
      <c r="H363" s="34" t="s">
        <v>556</v>
      </c>
    </row>
    <row r="364" ht="20" customHeight="1" spans="1:8" x14ac:dyDescent="0.25">
      <c r="A364" s="22" t="s">
        <v>35</v>
      </c>
      <c r="B364" s="22" t="s">
        <v>36</v>
      </c>
      <c r="C364" s="23" t="s">
        <v>605</v>
      </c>
      <c r="D364" s="6" t="s">
        <v>4</v>
      </c>
      <c r="E364" s="22" t="s">
        <v>383</v>
      </c>
      <c r="F364" s="22" t="s">
        <v>136</v>
      </c>
      <c r="G364" s="22" t="s">
        <v>171</v>
      </c>
      <c r="H364" s="29" t="s">
        <v>607</v>
      </c>
    </row>
    <row r="365" ht="20" customHeight="1" spans="1:8" x14ac:dyDescent="0.25">
      <c r="A365" s="24" t="s">
        <v>37</v>
      </c>
      <c r="B365" s="24" t="s">
        <v>38</v>
      </c>
      <c r="C365" s="25" t="s">
        <v>605</v>
      </c>
      <c r="D365" s="31" t="s">
        <v>11</v>
      </c>
      <c r="E365" s="24" t="s">
        <v>12</v>
      </c>
      <c r="F365" s="24" t="s">
        <v>12</v>
      </c>
      <c r="G365" s="24" t="s">
        <v>12</v>
      </c>
      <c r="H365" s="24" t="s">
        <v>32</v>
      </c>
    </row>
    <row r="366" ht="20" customHeight="1" spans="1:8" x14ac:dyDescent="0.25">
      <c r="A366" s="22" t="s">
        <v>39</v>
      </c>
      <c r="B366" s="22" t="s">
        <v>40</v>
      </c>
      <c r="C366" s="23" t="s">
        <v>605</v>
      </c>
      <c r="D366" s="6" t="s">
        <v>4</v>
      </c>
      <c r="E366" s="22" t="s">
        <v>125</v>
      </c>
      <c r="F366" s="22" t="s">
        <v>136</v>
      </c>
      <c r="G366" s="22" t="s">
        <v>99</v>
      </c>
      <c r="H366" s="32" t="s">
        <v>79</v>
      </c>
    </row>
    <row r="367" ht="20" customHeight="1" spans="1:8" x14ac:dyDescent="0.25">
      <c r="A367" s="24" t="s">
        <v>41</v>
      </c>
      <c r="B367" s="24" t="s">
        <v>42</v>
      </c>
      <c r="C367" s="25" t="s">
        <v>605</v>
      </c>
      <c r="D367" s="33" t="s">
        <v>86</v>
      </c>
      <c r="E367" s="24" t="s">
        <v>12</v>
      </c>
      <c r="F367" s="24" t="s">
        <v>12</v>
      </c>
      <c r="G367" s="24" t="s">
        <v>12</v>
      </c>
      <c r="H367" s="24" t="s">
        <v>32</v>
      </c>
    </row>
    <row r="368" ht="20" customHeight="1" spans="1:8" x14ac:dyDescent="0.25">
      <c r="A368" s="22" t="s">
        <v>44</v>
      </c>
      <c r="B368" s="22" t="s">
        <v>45</v>
      </c>
      <c r="C368" s="23" t="s">
        <v>603</v>
      </c>
      <c r="D368" s="6" t="s">
        <v>4</v>
      </c>
      <c r="E368" s="22" t="s">
        <v>383</v>
      </c>
      <c r="F368" s="22" t="s">
        <v>534</v>
      </c>
      <c r="G368" s="22" t="s">
        <v>487</v>
      </c>
      <c r="H368" s="29" t="s">
        <v>608</v>
      </c>
    </row>
    <row r="369" ht="20" customHeight="1" spans="1:8" x14ac:dyDescent="0.25">
      <c r="A369" s="24" t="s">
        <v>46</v>
      </c>
      <c r="B369" s="24" t="s">
        <v>31</v>
      </c>
      <c r="C369" s="25" t="s">
        <v>603</v>
      </c>
      <c r="D369" s="6" t="s">
        <v>4</v>
      </c>
      <c r="E369" s="24" t="s">
        <v>125</v>
      </c>
      <c r="F369" s="24" t="s">
        <v>609</v>
      </c>
      <c r="G369" s="24" t="s">
        <v>514</v>
      </c>
      <c r="H369" s="34" t="s">
        <v>610</v>
      </c>
    </row>
    <row r="370" ht="20" customHeight="1" spans="1:8" x14ac:dyDescent="0.25">
      <c r="A370" s="22" t="s">
        <v>47</v>
      </c>
      <c r="B370" s="22" t="s">
        <v>34</v>
      </c>
      <c r="C370" s="23" t="s">
        <v>603</v>
      </c>
      <c r="D370" s="6" t="s">
        <v>4</v>
      </c>
      <c r="E370" s="22" t="s">
        <v>434</v>
      </c>
      <c r="F370" s="22" t="s">
        <v>609</v>
      </c>
      <c r="G370" s="22" t="s">
        <v>261</v>
      </c>
      <c r="H370" s="29" t="s">
        <v>611</v>
      </c>
    </row>
    <row r="371" ht="20" customHeight="1" spans="1:8" x14ac:dyDescent="0.25">
      <c r="A371" s="24" t="s">
        <v>48</v>
      </c>
      <c r="B371" s="24" t="s">
        <v>36</v>
      </c>
      <c r="C371" s="25" t="s">
        <v>603</v>
      </c>
      <c r="D371" s="6" t="s">
        <v>4</v>
      </c>
      <c r="E371" s="24" t="s">
        <v>375</v>
      </c>
      <c r="F371" s="24" t="s">
        <v>433</v>
      </c>
      <c r="G371" s="24" t="s">
        <v>214</v>
      </c>
      <c r="H371" s="34" t="s">
        <v>612</v>
      </c>
    </row>
    <row r="372" ht="20" customHeight="1" spans="1:8" x14ac:dyDescent="0.25">
      <c r="A372" s="22" t="s">
        <v>49</v>
      </c>
      <c r="B372" s="22" t="s">
        <v>38</v>
      </c>
      <c r="C372" s="23" t="s">
        <v>603</v>
      </c>
      <c r="D372" s="6" t="s">
        <v>4</v>
      </c>
      <c r="E372" s="22" t="s">
        <v>437</v>
      </c>
      <c r="F372" s="22" t="s">
        <v>529</v>
      </c>
      <c r="G372" s="22" t="s">
        <v>147</v>
      </c>
      <c r="H372" s="29" t="s">
        <v>613</v>
      </c>
    </row>
    <row r="373" ht="20" customHeight="1" spans="1:8" x14ac:dyDescent="0.25">
      <c r="A373" s="24" t="s">
        <v>50</v>
      </c>
      <c r="B373" s="24" t="s">
        <v>40</v>
      </c>
      <c r="C373" s="25" t="s">
        <v>605</v>
      </c>
      <c r="D373" s="33" t="s">
        <v>86</v>
      </c>
      <c r="E373" s="24" t="s">
        <v>12</v>
      </c>
      <c r="F373" s="24" t="s">
        <v>12</v>
      </c>
      <c r="G373" s="24" t="s">
        <v>12</v>
      </c>
      <c r="H373" s="24" t="s">
        <v>32</v>
      </c>
    </row>
    <row r="374" ht="20" customHeight="1" spans="1:8" x14ac:dyDescent="0.25">
      <c r="A374" s="22" t="s">
        <v>51</v>
      </c>
      <c r="B374" s="22" t="s">
        <v>42</v>
      </c>
      <c r="C374" s="23" t="s">
        <v>605</v>
      </c>
      <c r="D374" s="35" t="s">
        <v>86</v>
      </c>
      <c r="E374" s="22" t="s">
        <v>12</v>
      </c>
      <c r="F374" s="22" t="s">
        <v>12</v>
      </c>
      <c r="G374" s="22" t="s">
        <v>12</v>
      </c>
      <c r="H374" s="22" t="s">
        <v>32</v>
      </c>
    </row>
    <row r="375" ht="20" customHeight="1" spans="1:8" x14ac:dyDescent="0.25">
      <c r="A375" s="24" t="s">
        <v>52</v>
      </c>
      <c r="B375" s="24" t="s">
        <v>45</v>
      </c>
      <c r="C375" s="25" t="s">
        <v>605</v>
      </c>
      <c r="D375" s="16" t="s">
        <v>43</v>
      </c>
      <c r="E375" s="24" t="s">
        <v>12</v>
      </c>
      <c r="F375" s="24" t="s">
        <v>12</v>
      </c>
      <c r="G375" s="24" t="s">
        <v>12</v>
      </c>
      <c r="H375" s="24" t="s">
        <v>32</v>
      </c>
    </row>
    <row r="376" ht="20" customHeight="1" spans="1:8" x14ac:dyDescent="0.25">
      <c r="A376" s="22" t="s">
        <v>53</v>
      </c>
      <c r="B376" s="22" t="s">
        <v>31</v>
      </c>
      <c r="C376" s="23" t="s">
        <v>603</v>
      </c>
      <c r="D376" s="6" t="s">
        <v>4</v>
      </c>
      <c r="E376" s="22" t="s">
        <v>300</v>
      </c>
      <c r="F376" s="22" t="s">
        <v>118</v>
      </c>
      <c r="G376" s="22" t="s">
        <v>154</v>
      </c>
      <c r="H376" s="29" t="s">
        <v>120</v>
      </c>
    </row>
    <row r="377" ht="20" customHeight="1" spans="1:8" x14ac:dyDescent="0.25">
      <c r="A377" s="24" t="s">
        <v>54</v>
      </c>
      <c r="B377" s="24" t="s">
        <v>34</v>
      </c>
      <c r="C377" s="25" t="s">
        <v>603</v>
      </c>
      <c r="D377" s="6" t="s">
        <v>4</v>
      </c>
      <c r="E377" s="24" t="s">
        <v>503</v>
      </c>
      <c r="F377" s="24" t="s">
        <v>118</v>
      </c>
      <c r="G377" s="24" t="s">
        <v>187</v>
      </c>
      <c r="H377" s="34" t="s">
        <v>120</v>
      </c>
    </row>
    <row r="378" ht="20" customHeight="1" spans="1:8" x14ac:dyDescent="0.25">
      <c r="A378" s="22" t="s">
        <v>55</v>
      </c>
      <c r="B378" s="22" t="s">
        <v>36</v>
      </c>
      <c r="C378" s="23" t="s">
        <v>603</v>
      </c>
      <c r="D378" s="6" t="s">
        <v>4</v>
      </c>
      <c r="E378" s="22" t="s">
        <v>311</v>
      </c>
      <c r="F378" s="22" t="s">
        <v>442</v>
      </c>
      <c r="G378" s="22" t="s">
        <v>614</v>
      </c>
      <c r="H378" s="29" t="s">
        <v>615</v>
      </c>
    </row>
    <row r="379" ht="20" customHeight="1" spans="1:8" x14ac:dyDescent="0.25">
      <c r="A379" s="24" t="s">
        <v>56</v>
      </c>
      <c r="B379" s="24" t="s">
        <v>38</v>
      </c>
      <c r="C379" s="25" t="s">
        <v>603</v>
      </c>
      <c r="D379" s="6" t="s">
        <v>4</v>
      </c>
      <c r="E379" s="24" t="s">
        <v>322</v>
      </c>
      <c r="F379" s="24" t="s">
        <v>523</v>
      </c>
      <c r="G379" s="24" t="s">
        <v>616</v>
      </c>
      <c r="H379" s="34" t="s">
        <v>617</v>
      </c>
    </row>
    <row r="380" ht="20" customHeight="1" spans="1:8" x14ac:dyDescent="0.25">
      <c r="A380" s="22" t="s">
        <v>57</v>
      </c>
      <c r="B380" s="22" t="s">
        <v>40</v>
      </c>
      <c r="C380" s="23" t="s">
        <v>603</v>
      </c>
      <c r="D380" s="6" t="s">
        <v>4</v>
      </c>
      <c r="E380" s="22" t="s">
        <v>397</v>
      </c>
      <c r="F380" s="22" t="s">
        <v>447</v>
      </c>
      <c r="G380" s="22" t="s">
        <v>154</v>
      </c>
      <c r="H380" s="29" t="s">
        <v>618</v>
      </c>
    </row>
    <row r="381" ht="20" customHeight="1" spans="1:8" x14ac:dyDescent="0.25">
      <c r="A381" s="24" t="s">
        <v>58</v>
      </c>
      <c r="B381" s="24" t="s">
        <v>42</v>
      </c>
      <c r="C381" s="25" t="s">
        <v>605</v>
      </c>
      <c r="D381" s="33" t="s">
        <v>86</v>
      </c>
      <c r="E381" s="24" t="s">
        <v>12</v>
      </c>
      <c r="F381" s="24" t="s">
        <v>12</v>
      </c>
      <c r="G381" s="24" t="s">
        <v>12</v>
      </c>
      <c r="H381" s="24" t="s">
        <v>32</v>
      </c>
    </row>
    <row r="382" ht="20" customHeight="1" spans="1:8" x14ac:dyDescent="0.25">
      <c r="A382" s="22" t="s">
        <v>59</v>
      </c>
      <c r="B382" s="22" t="s">
        <v>45</v>
      </c>
      <c r="C382" s="23" t="s">
        <v>603</v>
      </c>
      <c r="D382" s="6" t="s">
        <v>4</v>
      </c>
      <c r="E382" s="22" t="s">
        <v>135</v>
      </c>
      <c r="F382" s="22" t="s">
        <v>619</v>
      </c>
      <c r="G382" s="22" t="s">
        <v>171</v>
      </c>
      <c r="H382" s="29" t="s">
        <v>82</v>
      </c>
    </row>
    <row r="383" ht="20" customHeight="1" spans="1:8" x14ac:dyDescent="0.25">
      <c r="A383" s="24" t="s">
        <v>60</v>
      </c>
      <c r="B383" s="24" t="s">
        <v>31</v>
      </c>
      <c r="C383" s="25" t="s">
        <v>603</v>
      </c>
      <c r="D383" s="6" t="s">
        <v>4</v>
      </c>
      <c r="E383" s="24" t="s">
        <v>620</v>
      </c>
      <c r="F383" s="24" t="s">
        <v>621</v>
      </c>
      <c r="G383" s="24" t="s">
        <v>187</v>
      </c>
      <c r="H383" s="34" t="s">
        <v>622</v>
      </c>
    </row>
    <row r="384" ht="20" customHeight="1" spans="1:8" x14ac:dyDescent="0.25">
      <c r="A384" s="22" t="s">
        <v>61</v>
      </c>
      <c r="B384" s="22" t="s">
        <v>34</v>
      </c>
      <c r="C384" s="23" t="s">
        <v>603</v>
      </c>
      <c r="D384" s="6" t="s">
        <v>4</v>
      </c>
      <c r="E384" s="22" t="s">
        <v>443</v>
      </c>
      <c r="F384" s="22" t="s">
        <v>623</v>
      </c>
      <c r="G384" s="22" t="s">
        <v>154</v>
      </c>
      <c r="H384" s="29" t="s">
        <v>624</v>
      </c>
    </row>
    <row r="385" ht="20" customHeight="1" spans="1:8" x14ac:dyDescent="0.25">
      <c r="A385" s="24" t="s">
        <v>62</v>
      </c>
      <c r="B385" s="24" t="s">
        <v>36</v>
      </c>
      <c r="C385" s="25" t="s">
        <v>603</v>
      </c>
      <c r="D385" s="6" t="s">
        <v>4</v>
      </c>
      <c r="E385" s="24" t="s">
        <v>625</v>
      </c>
      <c r="F385" s="24" t="s">
        <v>587</v>
      </c>
      <c r="G385" s="24" t="s">
        <v>614</v>
      </c>
      <c r="H385" s="34" t="s">
        <v>588</v>
      </c>
    </row>
    <row r="386" ht="20" customHeight="1" spans="1:8" x14ac:dyDescent="0.25">
      <c r="A386" s="22" t="s">
        <v>63</v>
      </c>
      <c r="B386" s="22" t="s">
        <v>38</v>
      </c>
      <c r="C386" s="23" t="s">
        <v>603</v>
      </c>
      <c r="D386" s="6" t="s">
        <v>4</v>
      </c>
      <c r="E386" s="22" t="s">
        <v>135</v>
      </c>
      <c r="F386" s="22" t="s">
        <v>626</v>
      </c>
      <c r="G386" s="22" t="s">
        <v>165</v>
      </c>
      <c r="H386" s="29" t="s">
        <v>627</v>
      </c>
    </row>
    <row r="387" ht="20" customHeight="1" spans="1:8" x14ac:dyDescent="0.25">
      <c r="A387" s="24" t="s">
        <v>64</v>
      </c>
      <c r="B387" s="24" t="s">
        <v>40</v>
      </c>
      <c r="C387" s="25" t="s">
        <v>605</v>
      </c>
      <c r="D387" s="33" t="s">
        <v>86</v>
      </c>
      <c r="E387" s="24" t="s">
        <v>12</v>
      </c>
      <c r="F387" s="24" t="s">
        <v>12</v>
      </c>
      <c r="G387" s="24" t="s">
        <v>12</v>
      </c>
      <c r="H387" s="24" t="s">
        <v>32</v>
      </c>
    </row>
    <row r="388" ht="20" customHeight="1" spans="1:8" x14ac:dyDescent="0.25">
      <c r="A388" s="22" t="s">
        <v>65</v>
      </c>
      <c r="B388" s="22" t="s">
        <v>42</v>
      </c>
      <c r="C388" s="23" t="s">
        <v>605</v>
      </c>
      <c r="D388" s="35" t="s">
        <v>86</v>
      </c>
      <c r="E388" s="22" t="s">
        <v>12</v>
      </c>
      <c r="F388" s="22" t="s">
        <v>12</v>
      </c>
      <c r="G388" s="22" t="s">
        <v>12</v>
      </c>
      <c r="H388" s="22" t="s">
        <v>32</v>
      </c>
    </row>
    <row r="389" ht="20" customHeight="1" spans="1:8" x14ac:dyDescent="0.25">
      <c r="A389" s="24" t="s">
        <v>66</v>
      </c>
      <c r="B389" s="24" t="s">
        <v>45</v>
      </c>
      <c r="C389" s="25" t="s">
        <v>603</v>
      </c>
      <c r="D389" s="6" t="s">
        <v>4</v>
      </c>
      <c r="E389" s="24" t="s">
        <v>620</v>
      </c>
      <c r="F389" s="24" t="s">
        <v>628</v>
      </c>
      <c r="G389" s="24" t="s">
        <v>250</v>
      </c>
      <c r="H389" s="34" t="s">
        <v>535</v>
      </c>
    </row>
    <row r="390" ht="20" customHeight="1" spans="1:8" x14ac:dyDescent="0.25">
      <c r="A390" s="22" t="s">
        <v>67</v>
      </c>
      <c r="B390" s="22" t="s">
        <v>31</v>
      </c>
      <c r="C390" s="23" t="s">
        <v>603</v>
      </c>
      <c r="D390" s="6" t="s">
        <v>4</v>
      </c>
      <c r="E390" s="22" t="s">
        <v>135</v>
      </c>
      <c r="F390" s="22" t="s">
        <v>629</v>
      </c>
      <c r="G390" s="22" t="s">
        <v>154</v>
      </c>
      <c r="H390" s="29" t="s">
        <v>630</v>
      </c>
    </row>
    <row r="391" ht="20" customHeight="1" spans="1:8" x14ac:dyDescent="0.25">
      <c r="A391" s="24" t="s">
        <v>68</v>
      </c>
      <c r="B391" s="24" t="s">
        <v>34</v>
      </c>
      <c r="C391" s="25" t="s">
        <v>603</v>
      </c>
      <c r="D391" s="6" t="s">
        <v>4</v>
      </c>
      <c r="E391" s="24" t="s">
        <v>303</v>
      </c>
      <c r="F391" s="24" t="s">
        <v>631</v>
      </c>
      <c r="G391" s="24" t="s">
        <v>161</v>
      </c>
      <c r="H391" s="34" t="s">
        <v>632</v>
      </c>
    </row>
    <row r="392" ht="22" customHeight="1" spans="1:8" x14ac:dyDescent="0.25">
      <c r="A392" s="26" t="s">
        <v>69</v>
      </c>
      <c r="B392" s="26"/>
      <c r="C392" s="26"/>
      <c r="D392" s="26"/>
      <c r="E392" s="26"/>
      <c r="F392" s="26"/>
      <c r="G392" s="27" t="s">
        <v>633</v>
      </c>
      <c r="H392" s="28" t="s">
        <v>12</v>
      </c>
    </row>
    <row r="394" ht="26" customHeight="1" spans="1:8" x14ac:dyDescent="0.25">
      <c r="A394" s="20" t="s">
        <v>634</v>
      </c>
      <c r="B394" s="20"/>
      <c r="C394" s="20"/>
      <c r="D394" s="20"/>
      <c r="E394" s="20"/>
      <c r="F394" s="20"/>
      <c r="G394" s="20"/>
      <c r="H394" s="20"/>
    </row>
    <row r="395" ht="22" customHeight="1" spans="1:8" x14ac:dyDescent="0.25">
      <c r="A395" s="21" t="s">
        <v>22</v>
      </c>
      <c r="B395" s="21" t="s">
        <v>23</v>
      </c>
      <c r="C395" s="21" t="s">
        <v>24</v>
      </c>
      <c r="D395" s="21" t="s">
        <v>25</v>
      </c>
      <c r="E395" s="21" t="s">
        <v>26</v>
      </c>
      <c r="F395" s="21" t="s">
        <v>27</v>
      </c>
      <c r="G395" s="21" t="s">
        <v>28</v>
      </c>
      <c r="H395" s="21" t="s">
        <v>29</v>
      </c>
    </row>
    <row r="396" ht="20" customHeight="1" spans="1:8" x14ac:dyDescent="0.25">
      <c r="A396" s="22" t="s">
        <v>30</v>
      </c>
      <c r="B396" s="22" t="s">
        <v>31</v>
      </c>
      <c r="C396" s="23" t="s">
        <v>605</v>
      </c>
      <c r="D396" s="6" t="s">
        <v>4</v>
      </c>
      <c r="E396" s="22" t="s">
        <v>635</v>
      </c>
      <c r="F396" s="22" t="s">
        <v>133</v>
      </c>
      <c r="G396" s="22" t="s">
        <v>99</v>
      </c>
      <c r="H396" s="32" t="s">
        <v>79</v>
      </c>
    </row>
    <row r="397" ht="20" customHeight="1" spans="1:8" x14ac:dyDescent="0.25">
      <c r="A397" s="24" t="s">
        <v>33</v>
      </c>
      <c r="B397" s="24" t="s">
        <v>34</v>
      </c>
      <c r="C397" s="25" t="s">
        <v>605</v>
      </c>
      <c r="D397" s="6" t="s">
        <v>4</v>
      </c>
      <c r="E397" s="24" t="s">
        <v>564</v>
      </c>
      <c r="F397" s="24" t="s">
        <v>344</v>
      </c>
      <c r="G397" s="24" t="s">
        <v>329</v>
      </c>
      <c r="H397" s="30" t="s">
        <v>79</v>
      </c>
    </row>
    <row r="398" ht="20" customHeight="1" spans="1:8" x14ac:dyDescent="0.25">
      <c r="A398" s="22" t="s">
        <v>35</v>
      </c>
      <c r="B398" s="22" t="s">
        <v>36</v>
      </c>
      <c r="C398" s="23" t="s">
        <v>605</v>
      </c>
      <c r="D398" s="6" t="s">
        <v>4</v>
      </c>
      <c r="E398" s="22" t="s">
        <v>515</v>
      </c>
      <c r="F398" s="22" t="s">
        <v>636</v>
      </c>
      <c r="G398" s="22" t="s">
        <v>407</v>
      </c>
      <c r="H398" s="29" t="s">
        <v>517</v>
      </c>
    </row>
    <row r="399" ht="20" customHeight="1" spans="1:8" x14ac:dyDescent="0.25">
      <c r="A399" s="24" t="s">
        <v>37</v>
      </c>
      <c r="B399" s="24" t="s">
        <v>38</v>
      </c>
      <c r="C399" s="25" t="s">
        <v>605</v>
      </c>
      <c r="D399" s="31" t="s">
        <v>11</v>
      </c>
      <c r="E399" s="24" t="s">
        <v>12</v>
      </c>
      <c r="F399" s="24" t="s">
        <v>12</v>
      </c>
      <c r="G399" s="24" t="s">
        <v>12</v>
      </c>
      <c r="H399" s="24" t="s">
        <v>32</v>
      </c>
    </row>
    <row r="400" ht="20" customHeight="1" spans="1:8" x14ac:dyDescent="0.25">
      <c r="A400" s="22" t="s">
        <v>39</v>
      </c>
      <c r="B400" s="22" t="s">
        <v>40</v>
      </c>
      <c r="C400" s="23" t="s">
        <v>605</v>
      </c>
      <c r="D400" s="6" t="s">
        <v>4</v>
      </c>
      <c r="E400" s="22" t="s">
        <v>635</v>
      </c>
      <c r="F400" s="22" t="s">
        <v>133</v>
      </c>
      <c r="G400" s="22" t="s">
        <v>99</v>
      </c>
      <c r="H400" s="32" t="s">
        <v>79</v>
      </c>
    </row>
    <row r="401" ht="20" customHeight="1" spans="1:8" x14ac:dyDescent="0.25">
      <c r="A401" s="24" t="s">
        <v>41</v>
      </c>
      <c r="B401" s="24" t="s">
        <v>42</v>
      </c>
      <c r="C401" s="25" t="s">
        <v>605</v>
      </c>
      <c r="D401" s="33" t="s">
        <v>86</v>
      </c>
      <c r="E401" s="24" t="s">
        <v>12</v>
      </c>
      <c r="F401" s="24" t="s">
        <v>12</v>
      </c>
      <c r="G401" s="24" t="s">
        <v>12</v>
      </c>
      <c r="H401" s="24" t="s">
        <v>32</v>
      </c>
    </row>
    <row r="402" ht="20" customHeight="1" spans="1:8" x14ac:dyDescent="0.25">
      <c r="A402" s="22" t="s">
        <v>44</v>
      </c>
      <c r="B402" s="22" t="s">
        <v>45</v>
      </c>
      <c r="C402" s="23" t="s">
        <v>605</v>
      </c>
      <c r="D402" s="6" t="s">
        <v>4</v>
      </c>
      <c r="E402" s="22" t="s">
        <v>564</v>
      </c>
      <c r="F402" s="22" t="s">
        <v>136</v>
      </c>
      <c r="G402" s="22" t="s">
        <v>232</v>
      </c>
      <c r="H402" s="32" t="s">
        <v>79</v>
      </c>
    </row>
    <row r="403" ht="20" customHeight="1" spans="1:8" x14ac:dyDescent="0.25">
      <c r="A403" s="24" t="s">
        <v>46</v>
      </c>
      <c r="B403" s="24" t="s">
        <v>31</v>
      </c>
      <c r="C403" s="25" t="s">
        <v>605</v>
      </c>
      <c r="D403" s="6" t="s">
        <v>4</v>
      </c>
      <c r="E403" s="24" t="s">
        <v>392</v>
      </c>
      <c r="F403" s="24" t="s">
        <v>560</v>
      </c>
      <c r="G403" s="24" t="s">
        <v>161</v>
      </c>
      <c r="H403" s="34" t="s">
        <v>394</v>
      </c>
    </row>
    <row r="404" ht="20" customHeight="1" spans="1:8" x14ac:dyDescent="0.25">
      <c r="A404" s="22" t="s">
        <v>47</v>
      </c>
      <c r="B404" s="22" t="s">
        <v>34</v>
      </c>
      <c r="C404" s="23" t="s">
        <v>605</v>
      </c>
      <c r="D404" s="6" t="s">
        <v>4</v>
      </c>
      <c r="E404" s="22" t="s">
        <v>230</v>
      </c>
      <c r="F404" s="22" t="s">
        <v>560</v>
      </c>
      <c r="G404" s="22" t="s">
        <v>171</v>
      </c>
      <c r="H404" s="29" t="s">
        <v>233</v>
      </c>
    </row>
    <row r="405" ht="20" customHeight="1" spans="1:8" x14ac:dyDescent="0.25">
      <c r="A405" s="24" t="s">
        <v>48</v>
      </c>
      <c r="B405" s="24" t="s">
        <v>36</v>
      </c>
      <c r="C405" s="25" t="s">
        <v>605</v>
      </c>
      <c r="D405" s="6" t="s">
        <v>4</v>
      </c>
      <c r="E405" s="24" t="s">
        <v>353</v>
      </c>
      <c r="F405" s="24" t="s">
        <v>112</v>
      </c>
      <c r="G405" s="24" t="s">
        <v>180</v>
      </c>
      <c r="H405" s="34" t="s">
        <v>355</v>
      </c>
    </row>
    <row r="406" ht="20" customHeight="1" spans="1:8" x14ac:dyDescent="0.25">
      <c r="A406" s="22" t="s">
        <v>49</v>
      </c>
      <c r="B406" s="22" t="s">
        <v>38</v>
      </c>
      <c r="C406" s="23" t="s">
        <v>605</v>
      </c>
      <c r="D406" s="6" t="s">
        <v>4</v>
      </c>
      <c r="E406" s="22" t="s">
        <v>362</v>
      </c>
      <c r="F406" s="22" t="s">
        <v>637</v>
      </c>
      <c r="G406" s="22" t="s">
        <v>638</v>
      </c>
      <c r="H406" s="32" t="s">
        <v>79</v>
      </c>
    </row>
    <row r="407" ht="20" customHeight="1" spans="1:8" x14ac:dyDescent="0.25">
      <c r="A407" s="24" t="s">
        <v>50</v>
      </c>
      <c r="B407" s="24" t="s">
        <v>40</v>
      </c>
      <c r="C407" s="25" t="s">
        <v>605</v>
      </c>
      <c r="D407" s="33" t="s">
        <v>86</v>
      </c>
      <c r="E407" s="24" t="s">
        <v>12</v>
      </c>
      <c r="F407" s="24" t="s">
        <v>12</v>
      </c>
      <c r="G407" s="24" t="s">
        <v>12</v>
      </c>
      <c r="H407" s="24" t="s">
        <v>32</v>
      </c>
    </row>
    <row r="408" ht="20" customHeight="1" spans="1:8" x14ac:dyDescent="0.25">
      <c r="A408" s="22" t="s">
        <v>51</v>
      </c>
      <c r="B408" s="22" t="s">
        <v>42</v>
      </c>
      <c r="C408" s="23" t="s">
        <v>605</v>
      </c>
      <c r="D408" s="35" t="s">
        <v>86</v>
      </c>
      <c r="E408" s="22" t="s">
        <v>12</v>
      </c>
      <c r="F408" s="22" t="s">
        <v>12</v>
      </c>
      <c r="G408" s="22" t="s">
        <v>12</v>
      </c>
      <c r="H408" s="22" t="s">
        <v>32</v>
      </c>
    </row>
    <row r="409" ht="20" customHeight="1" spans="1:8" x14ac:dyDescent="0.25">
      <c r="A409" s="24" t="s">
        <v>52</v>
      </c>
      <c r="B409" s="24" t="s">
        <v>45</v>
      </c>
      <c r="C409" s="25" t="s">
        <v>605</v>
      </c>
      <c r="D409" s="6" t="s">
        <v>4</v>
      </c>
      <c r="E409" s="24" t="s">
        <v>375</v>
      </c>
      <c r="F409" s="24" t="s">
        <v>560</v>
      </c>
      <c r="G409" s="24" t="s">
        <v>281</v>
      </c>
      <c r="H409" s="30" t="s">
        <v>79</v>
      </c>
    </row>
    <row r="410" ht="20" customHeight="1" spans="1:8" x14ac:dyDescent="0.25">
      <c r="A410" s="22" t="s">
        <v>53</v>
      </c>
      <c r="B410" s="22" t="s">
        <v>31</v>
      </c>
      <c r="C410" s="23" t="s">
        <v>605</v>
      </c>
      <c r="D410" s="6" t="s">
        <v>4</v>
      </c>
      <c r="E410" s="22" t="s">
        <v>564</v>
      </c>
      <c r="F410" s="22" t="s">
        <v>344</v>
      </c>
      <c r="G410" s="22" t="s">
        <v>329</v>
      </c>
      <c r="H410" s="32" t="s">
        <v>79</v>
      </c>
    </row>
    <row r="411" ht="20" customHeight="1" spans="1:8" x14ac:dyDescent="0.25">
      <c r="A411" s="24" t="s">
        <v>54</v>
      </c>
      <c r="B411" s="24" t="s">
        <v>34</v>
      </c>
      <c r="C411" s="25" t="s">
        <v>605</v>
      </c>
      <c r="D411" s="6" t="s">
        <v>4</v>
      </c>
      <c r="E411" s="24" t="s">
        <v>639</v>
      </c>
      <c r="F411" s="24" t="s">
        <v>560</v>
      </c>
      <c r="G411" s="24" t="s">
        <v>279</v>
      </c>
      <c r="H411" s="30" t="s">
        <v>79</v>
      </c>
    </row>
    <row r="412" ht="20" customHeight="1" spans="1:8" x14ac:dyDescent="0.25">
      <c r="A412" s="22" t="s">
        <v>55</v>
      </c>
      <c r="B412" s="22" t="s">
        <v>36</v>
      </c>
      <c r="C412" s="23" t="s">
        <v>605</v>
      </c>
      <c r="D412" s="6" t="s">
        <v>4</v>
      </c>
      <c r="E412" s="22" t="s">
        <v>635</v>
      </c>
      <c r="F412" s="22" t="s">
        <v>12</v>
      </c>
      <c r="G412" s="22" t="s">
        <v>640</v>
      </c>
      <c r="H412" s="32" t="s">
        <v>79</v>
      </c>
    </row>
    <row r="413" ht="20" customHeight="1" spans="1:8" x14ac:dyDescent="0.25">
      <c r="A413" s="24" t="s">
        <v>56</v>
      </c>
      <c r="B413" s="24" t="s">
        <v>38</v>
      </c>
      <c r="C413" s="25" t="s">
        <v>605</v>
      </c>
      <c r="D413" s="36" t="s">
        <v>218</v>
      </c>
      <c r="E413" s="24" t="s">
        <v>12</v>
      </c>
      <c r="F413" s="24" t="s">
        <v>12</v>
      </c>
      <c r="G413" s="24" t="s">
        <v>12</v>
      </c>
      <c r="H413" s="24" t="s">
        <v>32</v>
      </c>
    </row>
    <row r="414" ht="20" customHeight="1" spans="1:8" x14ac:dyDescent="0.25">
      <c r="A414" s="22" t="s">
        <v>57</v>
      </c>
      <c r="B414" s="22" t="s">
        <v>40</v>
      </c>
      <c r="C414" s="23" t="s">
        <v>605</v>
      </c>
      <c r="D414" s="36" t="s">
        <v>218</v>
      </c>
      <c r="E414" s="22" t="s">
        <v>12</v>
      </c>
      <c r="F414" s="22" t="s">
        <v>12</v>
      </c>
      <c r="G414" s="22" t="s">
        <v>12</v>
      </c>
      <c r="H414" s="22" t="s">
        <v>32</v>
      </c>
    </row>
    <row r="415" ht="20" customHeight="1" spans="1:8" x14ac:dyDescent="0.25">
      <c r="A415" s="24" t="s">
        <v>58</v>
      </c>
      <c r="B415" s="24" t="s">
        <v>42</v>
      </c>
      <c r="C415" s="25" t="s">
        <v>605</v>
      </c>
      <c r="D415" s="33" t="s">
        <v>86</v>
      </c>
      <c r="E415" s="24" t="s">
        <v>12</v>
      </c>
      <c r="F415" s="24" t="s">
        <v>12</v>
      </c>
      <c r="G415" s="24" t="s">
        <v>12</v>
      </c>
      <c r="H415" s="24" t="s">
        <v>32</v>
      </c>
    </row>
    <row r="416" ht="20" customHeight="1" spans="1:8" x14ac:dyDescent="0.25">
      <c r="A416" s="22" t="s">
        <v>59</v>
      </c>
      <c r="B416" s="22" t="s">
        <v>45</v>
      </c>
      <c r="C416" s="23" t="s">
        <v>605</v>
      </c>
      <c r="D416" s="6" t="s">
        <v>4</v>
      </c>
      <c r="E416" s="22" t="s">
        <v>362</v>
      </c>
      <c r="F416" s="22" t="s">
        <v>398</v>
      </c>
      <c r="G416" s="22" t="s">
        <v>329</v>
      </c>
      <c r="H416" s="32" t="s">
        <v>79</v>
      </c>
    </row>
    <row r="417" ht="20" customHeight="1" spans="1:8" x14ac:dyDescent="0.25">
      <c r="A417" s="24" t="s">
        <v>60</v>
      </c>
      <c r="B417" s="24" t="s">
        <v>31</v>
      </c>
      <c r="C417" s="25" t="s">
        <v>605</v>
      </c>
      <c r="D417" s="6" t="s">
        <v>4</v>
      </c>
      <c r="E417" s="24" t="s">
        <v>152</v>
      </c>
      <c r="F417" s="24" t="s">
        <v>560</v>
      </c>
      <c r="G417" s="24" t="s">
        <v>263</v>
      </c>
      <c r="H417" s="34" t="s">
        <v>155</v>
      </c>
    </row>
    <row r="418" ht="20" customHeight="1" spans="1:8" x14ac:dyDescent="0.25">
      <c r="A418" s="22" t="s">
        <v>61</v>
      </c>
      <c r="B418" s="22" t="s">
        <v>34</v>
      </c>
      <c r="C418" s="23" t="s">
        <v>605</v>
      </c>
      <c r="D418" s="6" t="s">
        <v>4</v>
      </c>
      <c r="E418" s="22" t="s">
        <v>199</v>
      </c>
      <c r="F418" s="22" t="s">
        <v>560</v>
      </c>
      <c r="G418" s="22" t="s">
        <v>259</v>
      </c>
      <c r="H418" s="29" t="s">
        <v>200</v>
      </c>
    </row>
    <row r="419" ht="20" customHeight="1" spans="1:8" x14ac:dyDescent="0.25">
      <c r="A419" s="24" t="s">
        <v>62</v>
      </c>
      <c r="B419" s="24" t="s">
        <v>36</v>
      </c>
      <c r="C419" s="25" t="s">
        <v>605</v>
      </c>
      <c r="D419" s="6" t="s">
        <v>4</v>
      </c>
      <c r="E419" s="24" t="s">
        <v>403</v>
      </c>
      <c r="F419" s="24" t="s">
        <v>136</v>
      </c>
      <c r="G419" s="24" t="s">
        <v>130</v>
      </c>
      <c r="H419" s="30" t="s">
        <v>79</v>
      </c>
    </row>
    <row r="420" ht="20" customHeight="1" spans="1:8" x14ac:dyDescent="0.25">
      <c r="A420" s="22" t="s">
        <v>63</v>
      </c>
      <c r="B420" s="22" t="s">
        <v>38</v>
      </c>
      <c r="C420" s="23" t="s">
        <v>605</v>
      </c>
      <c r="D420" s="6" t="s">
        <v>4</v>
      </c>
      <c r="E420" s="22" t="s">
        <v>383</v>
      </c>
      <c r="F420" s="22" t="s">
        <v>344</v>
      </c>
      <c r="G420" s="22" t="s">
        <v>290</v>
      </c>
      <c r="H420" s="32" t="s">
        <v>79</v>
      </c>
    </row>
    <row r="421" ht="20" customHeight="1" spans="1:8" x14ac:dyDescent="0.25">
      <c r="A421" s="24" t="s">
        <v>64</v>
      </c>
      <c r="B421" s="24" t="s">
        <v>40</v>
      </c>
      <c r="C421" s="25" t="s">
        <v>605</v>
      </c>
      <c r="D421" s="33" t="s">
        <v>86</v>
      </c>
      <c r="E421" s="24" t="s">
        <v>12</v>
      </c>
      <c r="F421" s="24" t="s">
        <v>12</v>
      </c>
      <c r="G421" s="24" t="s">
        <v>12</v>
      </c>
      <c r="H421" s="24" t="s">
        <v>32</v>
      </c>
    </row>
    <row r="422" ht="20" customHeight="1" spans="1:8" x14ac:dyDescent="0.25">
      <c r="A422" s="22" t="s">
        <v>65</v>
      </c>
      <c r="B422" s="22" t="s">
        <v>42</v>
      </c>
      <c r="C422" s="23" t="s">
        <v>605</v>
      </c>
      <c r="D422" s="35" t="s">
        <v>86</v>
      </c>
      <c r="E422" s="22" t="s">
        <v>12</v>
      </c>
      <c r="F422" s="22" t="s">
        <v>12</v>
      </c>
      <c r="G422" s="22" t="s">
        <v>12</v>
      </c>
      <c r="H422" s="22" t="s">
        <v>32</v>
      </c>
    </row>
    <row r="423" ht="20" customHeight="1" spans="1:8" x14ac:dyDescent="0.25">
      <c r="A423" s="24" t="s">
        <v>66</v>
      </c>
      <c r="B423" s="24" t="s">
        <v>45</v>
      </c>
      <c r="C423" s="25" t="s">
        <v>605</v>
      </c>
      <c r="D423" s="6" t="s">
        <v>4</v>
      </c>
      <c r="E423" s="24" t="s">
        <v>639</v>
      </c>
      <c r="F423" s="24" t="s">
        <v>344</v>
      </c>
      <c r="G423" s="24" t="s">
        <v>147</v>
      </c>
      <c r="H423" s="30" t="s">
        <v>79</v>
      </c>
    </row>
    <row r="424" ht="20" customHeight="1" spans="1:8" x14ac:dyDescent="0.25">
      <c r="A424" s="22" t="s">
        <v>67</v>
      </c>
      <c r="B424" s="22" t="s">
        <v>31</v>
      </c>
      <c r="C424" s="23" t="s">
        <v>605</v>
      </c>
      <c r="D424" s="6" t="s">
        <v>4</v>
      </c>
      <c r="E424" s="22" t="s">
        <v>192</v>
      </c>
      <c r="F424" s="22" t="s">
        <v>641</v>
      </c>
      <c r="G424" s="22" t="s">
        <v>142</v>
      </c>
      <c r="H424" s="29" t="s">
        <v>195</v>
      </c>
    </row>
    <row r="425" ht="20" customHeight="1" spans="1:8" x14ac:dyDescent="0.25">
      <c r="A425" s="24" t="s">
        <v>68</v>
      </c>
      <c r="B425" s="24" t="s">
        <v>34</v>
      </c>
      <c r="C425" s="25" t="s">
        <v>605</v>
      </c>
      <c r="D425" s="6" t="s">
        <v>4</v>
      </c>
      <c r="E425" s="24" t="s">
        <v>242</v>
      </c>
      <c r="F425" s="24" t="s">
        <v>344</v>
      </c>
      <c r="G425" s="24" t="s">
        <v>514</v>
      </c>
      <c r="H425" s="34" t="s">
        <v>244</v>
      </c>
    </row>
    <row r="426" ht="22" customHeight="1" spans="1:8" x14ac:dyDescent="0.25">
      <c r="A426" s="26" t="s">
        <v>69</v>
      </c>
      <c r="B426" s="26"/>
      <c r="C426" s="26"/>
      <c r="D426" s="26"/>
      <c r="E426" s="26"/>
      <c r="F426" s="26"/>
      <c r="G426" s="27" t="s">
        <v>642</v>
      </c>
      <c r="H426" s="28" t="s">
        <v>12</v>
      </c>
    </row>
    <row r="428" ht="26" customHeight="1" spans="1:8" x14ac:dyDescent="0.25">
      <c r="A428" s="20" t="s">
        <v>643</v>
      </c>
      <c r="B428" s="20"/>
      <c r="C428" s="20"/>
      <c r="D428" s="20"/>
      <c r="E428" s="20"/>
      <c r="F428" s="20"/>
      <c r="G428" s="20"/>
      <c r="H428" s="20"/>
    </row>
    <row r="429" ht="22" customHeight="1" spans="1:8" x14ac:dyDescent="0.25">
      <c r="A429" s="21" t="s">
        <v>22</v>
      </c>
      <c r="B429" s="21" t="s">
        <v>23</v>
      </c>
      <c r="C429" s="21" t="s">
        <v>24</v>
      </c>
      <c r="D429" s="21" t="s">
        <v>25</v>
      </c>
      <c r="E429" s="21" t="s">
        <v>26</v>
      </c>
      <c r="F429" s="21" t="s">
        <v>27</v>
      </c>
      <c r="G429" s="21" t="s">
        <v>28</v>
      </c>
      <c r="H429" s="21" t="s">
        <v>29</v>
      </c>
    </row>
    <row r="430" ht="20" customHeight="1" spans="1:8" x14ac:dyDescent="0.25">
      <c r="A430" s="22" t="s">
        <v>30</v>
      </c>
      <c r="B430" s="22" t="s">
        <v>31</v>
      </c>
      <c r="C430" s="23" t="s">
        <v>71</v>
      </c>
      <c r="D430" s="6" t="s">
        <v>4</v>
      </c>
      <c r="E430" s="22" t="s">
        <v>242</v>
      </c>
      <c r="F430" s="22" t="s">
        <v>243</v>
      </c>
      <c r="G430" s="22" t="s">
        <v>99</v>
      </c>
      <c r="H430" s="29" t="s">
        <v>244</v>
      </c>
    </row>
    <row r="431" ht="20" customHeight="1" spans="1:8" x14ac:dyDescent="0.25">
      <c r="A431" s="24" t="s">
        <v>33</v>
      </c>
      <c r="B431" s="24" t="s">
        <v>34</v>
      </c>
      <c r="C431" s="25" t="s">
        <v>71</v>
      </c>
      <c r="D431" s="36" t="s">
        <v>218</v>
      </c>
      <c r="E431" s="24" t="s">
        <v>644</v>
      </c>
      <c r="F431" s="24" t="s">
        <v>560</v>
      </c>
      <c r="G431" s="24" t="s">
        <v>130</v>
      </c>
      <c r="H431" s="34" t="s">
        <v>645</v>
      </c>
    </row>
    <row r="432" ht="20" customHeight="1" spans="1:8" x14ac:dyDescent="0.25">
      <c r="A432" s="22" t="s">
        <v>35</v>
      </c>
      <c r="B432" s="22" t="s">
        <v>36</v>
      </c>
      <c r="C432" s="23" t="s">
        <v>71</v>
      </c>
      <c r="D432" s="36" t="s">
        <v>218</v>
      </c>
      <c r="E432" s="22" t="s">
        <v>547</v>
      </c>
      <c r="F432" s="22" t="s">
        <v>12</v>
      </c>
      <c r="G432" s="22" t="s">
        <v>12</v>
      </c>
      <c r="H432" s="29" t="s">
        <v>548</v>
      </c>
    </row>
    <row r="433" ht="20" customHeight="1" spans="1:8" x14ac:dyDescent="0.25">
      <c r="A433" s="24" t="s">
        <v>37</v>
      </c>
      <c r="B433" s="24" t="s">
        <v>38</v>
      </c>
      <c r="C433" s="25" t="s">
        <v>71</v>
      </c>
      <c r="D433" s="31" t="s">
        <v>11</v>
      </c>
      <c r="E433" s="24" t="s">
        <v>12</v>
      </c>
      <c r="F433" s="24" t="s">
        <v>12</v>
      </c>
      <c r="G433" s="24" t="s">
        <v>12</v>
      </c>
      <c r="H433" s="24" t="s">
        <v>32</v>
      </c>
    </row>
    <row r="434" ht="20" customHeight="1" spans="1:8" x14ac:dyDescent="0.25">
      <c r="A434" s="22" t="s">
        <v>39</v>
      </c>
      <c r="B434" s="22" t="s">
        <v>40</v>
      </c>
      <c r="C434" s="23" t="s">
        <v>71</v>
      </c>
      <c r="D434" s="6" t="s">
        <v>4</v>
      </c>
      <c r="E434" s="22" t="s">
        <v>199</v>
      </c>
      <c r="F434" s="22" t="s">
        <v>343</v>
      </c>
      <c r="G434" s="22" t="s">
        <v>646</v>
      </c>
      <c r="H434" s="29" t="s">
        <v>200</v>
      </c>
    </row>
    <row r="435" ht="20" customHeight="1" spans="1:8" x14ac:dyDescent="0.25">
      <c r="A435" s="24" t="s">
        <v>41</v>
      </c>
      <c r="B435" s="24" t="s">
        <v>42</v>
      </c>
      <c r="C435" s="25" t="s">
        <v>71</v>
      </c>
      <c r="D435" s="33" t="s">
        <v>86</v>
      </c>
      <c r="E435" s="24" t="s">
        <v>12</v>
      </c>
      <c r="F435" s="24" t="s">
        <v>12</v>
      </c>
      <c r="G435" s="24" t="s">
        <v>12</v>
      </c>
      <c r="H435" s="24" t="s">
        <v>32</v>
      </c>
    </row>
    <row r="436" ht="20" customHeight="1" spans="1:8" x14ac:dyDescent="0.25">
      <c r="A436" s="22" t="s">
        <v>44</v>
      </c>
      <c r="B436" s="22" t="s">
        <v>45</v>
      </c>
      <c r="C436" s="23" t="s">
        <v>71</v>
      </c>
      <c r="D436" s="6" t="s">
        <v>4</v>
      </c>
      <c r="E436" s="22" t="s">
        <v>189</v>
      </c>
      <c r="F436" s="22" t="s">
        <v>341</v>
      </c>
      <c r="G436" s="22" t="s">
        <v>647</v>
      </c>
      <c r="H436" s="29" t="s">
        <v>191</v>
      </c>
    </row>
    <row r="437" ht="20" customHeight="1" spans="1:8" x14ac:dyDescent="0.25">
      <c r="A437" s="24" t="s">
        <v>46</v>
      </c>
      <c r="B437" s="24" t="s">
        <v>31</v>
      </c>
      <c r="C437" s="25" t="s">
        <v>71</v>
      </c>
      <c r="D437" s="6" t="s">
        <v>4</v>
      </c>
      <c r="E437" s="24" t="s">
        <v>242</v>
      </c>
      <c r="F437" s="24" t="s">
        <v>395</v>
      </c>
      <c r="G437" s="24" t="s">
        <v>393</v>
      </c>
      <c r="H437" s="34" t="s">
        <v>244</v>
      </c>
    </row>
    <row r="438" ht="20" customHeight="1" spans="1:8" x14ac:dyDescent="0.25">
      <c r="A438" s="22" t="s">
        <v>47</v>
      </c>
      <c r="B438" s="22" t="s">
        <v>34</v>
      </c>
      <c r="C438" s="23" t="s">
        <v>71</v>
      </c>
      <c r="D438" s="6" t="s">
        <v>4</v>
      </c>
      <c r="E438" s="22" t="s">
        <v>322</v>
      </c>
      <c r="F438" s="22" t="s">
        <v>136</v>
      </c>
      <c r="G438" s="22" t="s">
        <v>226</v>
      </c>
      <c r="H438" s="29" t="s">
        <v>323</v>
      </c>
    </row>
    <row r="439" ht="20" customHeight="1" spans="1:8" x14ac:dyDescent="0.25">
      <c r="A439" s="24" t="s">
        <v>48</v>
      </c>
      <c r="B439" s="24" t="s">
        <v>36</v>
      </c>
      <c r="C439" s="25" t="s">
        <v>71</v>
      </c>
      <c r="D439" s="6" t="s">
        <v>4</v>
      </c>
      <c r="E439" s="24" t="s">
        <v>189</v>
      </c>
      <c r="F439" s="24" t="s">
        <v>389</v>
      </c>
      <c r="G439" s="24" t="s">
        <v>367</v>
      </c>
      <c r="H439" s="34" t="s">
        <v>191</v>
      </c>
    </row>
    <row r="440" ht="20" customHeight="1" spans="1:8" x14ac:dyDescent="0.25">
      <c r="A440" s="22" t="s">
        <v>49</v>
      </c>
      <c r="B440" s="22" t="s">
        <v>38</v>
      </c>
      <c r="C440" s="23" t="s">
        <v>71</v>
      </c>
      <c r="D440" s="6" t="s">
        <v>4</v>
      </c>
      <c r="E440" s="22" t="s">
        <v>239</v>
      </c>
      <c r="F440" s="22" t="s">
        <v>354</v>
      </c>
      <c r="G440" s="22" t="s">
        <v>238</v>
      </c>
      <c r="H440" s="29" t="s">
        <v>241</v>
      </c>
    </row>
    <row r="441" ht="20" customHeight="1" spans="1:8" x14ac:dyDescent="0.25">
      <c r="A441" s="24" t="s">
        <v>50</v>
      </c>
      <c r="B441" s="24" t="s">
        <v>40</v>
      </c>
      <c r="C441" s="25" t="s">
        <v>71</v>
      </c>
      <c r="D441" s="33" t="s">
        <v>86</v>
      </c>
      <c r="E441" s="24" t="s">
        <v>12</v>
      </c>
      <c r="F441" s="24" t="s">
        <v>12</v>
      </c>
      <c r="G441" s="24" t="s">
        <v>12</v>
      </c>
      <c r="H441" s="24" t="s">
        <v>32</v>
      </c>
    </row>
    <row r="442" ht="20" customHeight="1" spans="1:8" x14ac:dyDescent="0.25">
      <c r="A442" s="22" t="s">
        <v>51</v>
      </c>
      <c r="B442" s="22" t="s">
        <v>42</v>
      </c>
      <c r="C442" s="23" t="s">
        <v>71</v>
      </c>
      <c r="D442" s="35" t="s">
        <v>86</v>
      </c>
      <c r="E442" s="22" t="s">
        <v>12</v>
      </c>
      <c r="F442" s="22" t="s">
        <v>12</v>
      </c>
      <c r="G442" s="22" t="s">
        <v>12</v>
      </c>
      <c r="H442" s="22" t="s">
        <v>32</v>
      </c>
    </row>
    <row r="443" ht="20" customHeight="1" spans="1:8" x14ac:dyDescent="0.25">
      <c r="A443" s="24" t="s">
        <v>52</v>
      </c>
      <c r="B443" s="24" t="s">
        <v>45</v>
      </c>
      <c r="C443" s="25" t="s">
        <v>71</v>
      </c>
      <c r="D443" s="10" t="s">
        <v>87</v>
      </c>
      <c r="E443" s="24" t="s">
        <v>12</v>
      </c>
      <c r="F443" s="24" t="s">
        <v>12</v>
      </c>
      <c r="G443" s="24" t="s">
        <v>12</v>
      </c>
      <c r="H443" s="24" t="s">
        <v>32</v>
      </c>
    </row>
    <row r="444" ht="20" customHeight="1" spans="1:8" x14ac:dyDescent="0.25">
      <c r="A444" s="22" t="s">
        <v>53</v>
      </c>
      <c r="B444" s="22" t="s">
        <v>31</v>
      </c>
      <c r="C444" s="23" t="s">
        <v>71</v>
      </c>
      <c r="D444" s="6" t="s">
        <v>4</v>
      </c>
      <c r="E444" s="22" t="s">
        <v>392</v>
      </c>
      <c r="F444" s="22" t="s">
        <v>402</v>
      </c>
      <c r="G444" s="22" t="s">
        <v>646</v>
      </c>
      <c r="H444" s="29" t="s">
        <v>394</v>
      </c>
    </row>
    <row r="445" ht="20" customHeight="1" spans="1:8" x14ac:dyDescent="0.25">
      <c r="A445" s="24" t="s">
        <v>54</v>
      </c>
      <c r="B445" s="24" t="s">
        <v>34</v>
      </c>
      <c r="C445" s="25" t="s">
        <v>71</v>
      </c>
      <c r="D445" s="6" t="s">
        <v>4</v>
      </c>
      <c r="E445" s="24" t="s">
        <v>353</v>
      </c>
      <c r="F445" s="24" t="s">
        <v>133</v>
      </c>
      <c r="G445" s="24" t="s">
        <v>165</v>
      </c>
      <c r="H445" s="34" t="s">
        <v>355</v>
      </c>
    </row>
    <row r="446" ht="20" customHeight="1" spans="1:8" x14ac:dyDescent="0.25">
      <c r="A446" s="22" t="s">
        <v>55</v>
      </c>
      <c r="B446" s="22" t="s">
        <v>36</v>
      </c>
      <c r="C446" s="23" t="s">
        <v>71</v>
      </c>
      <c r="D446" s="6" t="s">
        <v>4</v>
      </c>
      <c r="E446" s="22" t="s">
        <v>173</v>
      </c>
      <c r="F446" s="22" t="s">
        <v>648</v>
      </c>
      <c r="G446" s="22" t="s">
        <v>190</v>
      </c>
      <c r="H446" s="29" t="s">
        <v>175</v>
      </c>
    </row>
    <row r="447" ht="20" customHeight="1" spans="1:8" x14ac:dyDescent="0.25">
      <c r="A447" s="24" t="s">
        <v>56</v>
      </c>
      <c r="B447" s="24" t="s">
        <v>38</v>
      </c>
      <c r="C447" s="25" t="s">
        <v>71</v>
      </c>
      <c r="D447" s="6" t="s">
        <v>4</v>
      </c>
      <c r="E447" s="24" t="s">
        <v>649</v>
      </c>
      <c r="F447" s="24" t="s">
        <v>237</v>
      </c>
      <c r="G447" s="24" t="s">
        <v>650</v>
      </c>
      <c r="H447" s="34" t="s">
        <v>651</v>
      </c>
    </row>
    <row r="448" ht="20" customHeight="1" spans="1:8" x14ac:dyDescent="0.25">
      <c r="A448" s="22" t="s">
        <v>57</v>
      </c>
      <c r="B448" s="22" t="s">
        <v>40</v>
      </c>
      <c r="C448" s="23" t="s">
        <v>71</v>
      </c>
      <c r="D448" s="6" t="s">
        <v>4</v>
      </c>
      <c r="E448" s="22" t="s">
        <v>152</v>
      </c>
      <c r="F448" s="22" t="s">
        <v>243</v>
      </c>
      <c r="G448" s="22" t="s">
        <v>214</v>
      </c>
      <c r="H448" s="29" t="s">
        <v>155</v>
      </c>
    </row>
    <row r="449" ht="20" customHeight="1" spans="1:8" x14ac:dyDescent="0.25">
      <c r="A449" s="24" t="s">
        <v>58</v>
      </c>
      <c r="B449" s="24" t="s">
        <v>42</v>
      </c>
      <c r="C449" s="25" t="s">
        <v>71</v>
      </c>
      <c r="D449" s="33" t="s">
        <v>86</v>
      </c>
      <c r="E449" s="24" t="s">
        <v>12</v>
      </c>
      <c r="F449" s="24" t="s">
        <v>12</v>
      </c>
      <c r="G449" s="24" t="s">
        <v>12</v>
      </c>
      <c r="H449" s="24" t="s">
        <v>32</v>
      </c>
    </row>
    <row r="450" ht="20" customHeight="1" spans="1:8" x14ac:dyDescent="0.25">
      <c r="A450" s="22" t="s">
        <v>59</v>
      </c>
      <c r="B450" s="22" t="s">
        <v>45</v>
      </c>
      <c r="C450" s="23" t="s">
        <v>71</v>
      </c>
      <c r="D450" s="6" t="s">
        <v>4</v>
      </c>
      <c r="E450" s="22" t="s">
        <v>644</v>
      </c>
      <c r="F450" s="22" t="s">
        <v>370</v>
      </c>
      <c r="G450" s="22" t="s">
        <v>652</v>
      </c>
      <c r="H450" s="29" t="s">
        <v>645</v>
      </c>
    </row>
    <row r="451" ht="20" customHeight="1" spans="1:8" x14ac:dyDescent="0.25">
      <c r="A451" s="24" t="s">
        <v>60</v>
      </c>
      <c r="B451" s="24" t="s">
        <v>31</v>
      </c>
      <c r="C451" s="25" t="s">
        <v>71</v>
      </c>
      <c r="D451" s="6" t="s">
        <v>4</v>
      </c>
      <c r="E451" s="24" t="s">
        <v>364</v>
      </c>
      <c r="F451" s="24" t="s">
        <v>282</v>
      </c>
      <c r="G451" s="24" t="s">
        <v>614</v>
      </c>
      <c r="H451" s="30" t="s">
        <v>79</v>
      </c>
    </row>
    <row r="452" ht="20" customHeight="1" spans="1:8" x14ac:dyDescent="0.25">
      <c r="A452" s="22" t="s">
        <v>61</v>
      </c>
      <c r="B452" s="22" t="s">
        <v>34</v>
      </c>
      <c r="C452" s="23" t="s">
        <v>71</v>
      </c>
      <c r="D452" s="6" t="s">
        <v>4</v>
      </c>
      <c r="E452" s="22" t="s">
        <v>356</v>
      </c>
      <c r="F452" s="22" t="s">
        <v>12</v>
      </c>
      <c r="G452" s="22" t="s">
        <v>12</v>
      </c>
      <c r="H452" s="29" t="s">
        <v>357</v>
      </c>
    </row>
    <row r="453" ht="20" customHeight="1" spans="1:8" x14ac:dyDescent="0.25">
      <c r="A453" s="24" t="s">
        <v>62</v>
      </c>
      <c r="B453" s="24" t="s">
        <v>36</v>
      </c>
      <c r="C453" s="25" t="s">
        <v>71</v>
      </c>
      <c r="D453" s="10" t="s">
        <v>87</v>
      </c>
      <c r="E453" s="24" t="s">
        <v>12</v>
      </c>
      <c r="F453" s="24" t="s">
        <v>12</v>
      </c>
      <c r="G453" s="24" t="s">
        <v>12</v>
      </c>
      <c r="H453" s="24" t="s">
        <v>32</v>
      </c>
    </row>
    <row r="454" ht="20" customHeight="1" spans="1:8" x14ac:dyDescent="0.25">
      <c r="A454" s="22" t="s">
        <v>63</v>
      </c>
      <c r="B454" s="22" t="s">
        <v>38</v>
      </c>
      <c r="C454" s="23" t="s">
        <v>71</v>
      </c>
      <c r="D454" s="10" t="s">
        <v>87</v>
      </c>
      <c r="E454" s="22" t="s">
        <v>12</v>
      </c>
      <c r="F454" s="22" t="s">
        <v>12</v>
      </c>
      <c r="G454" s="22" t="s">
        <v>12</v>
      </c>
      <c r="H454" s="22" t="s">
        <v>32</v>
      </c>
    </row>
    <row r="455" ht="20" customHeight="1" spans="1:8" x14ac:dyDescent="0.25">
      <c r="A455" s="24" t="s">
        <v>64</v>
      </c>
      <c r="B455" s="24" t="s">
        <v>40</v>
      </c>
      <c r="C455" s="25" t="s">
        <v>71</v>
      </c>
      <c r="D455" s="33" t="s">
        <v>86</v>
      </c>
      <c r="E455" s="24" t="s">
        <v>12</v>
      </c>
      <c r="F455" s="24" t="s">
        <v>12</v>
      </c>
      <c r="G455" s="24" t="s">
        <v>12</v>
      </c>
      <c r="H455" s="24" t="s">
        <v>32</v>
      </c>
    </row>
    <row r="456" ht="20" customHeight="1" spans="1:8" x14ac:dyDescent="0.25">
      <c r="A456" s="22" t="s">
        <v>65</v>
      </c>
      <c r="B456" s="22" t="s">
        <v>42</v>
      </c>
      <c r="C456" s="23" t="s">
        <v>71</v>
      </c>
      <c r="D456" s="35" t="s">
        <v>86</v>
      </c>
      <c r="E456" s="22" t="s">
        <v>12</v>
      </c>
      <c r="F456" s="22" t="s">
        <v>12</v>
      </c>
      <c r="G456" s="22" t="s">
        <v>12</v>
      </c>
      <c r="H456" s="22" t="s">
        <v>32</v>
      </c>
    </row>
    <row r="457" ht="20" customHeight="1" spans="1:8" x14ac:dyDescent="0.25">
      <c r="A457" s="24" t="s">
        <v>66</v>
      </c>
      <c r="B457" s="24" t="s">
        <v>45</v>
      </c>
      <c r="C457" s="25" t="s">
        <v>71</v>
      </c>
      <c r="D457" s="6" t="s">
        <v>4</v>
      </c>
      <c r="E457" s="24" t="s">
        <v>515</v>
      </c>
      <c r="F457" s="24" t="s">
        <v>389</v>
      </c>
      <c r="G457" s="24" t="s">
        <v>263</v>
      </c>
      <c r="H457" s="34" t="s">
        <v>517</v>
      </c>
    </row>
    <row r="458" ht="20" customHeight="1" spans="1:8" x14ac:dyDescent="0.25">
      <c r="A458" s="22" t="s">
        <v>67</v>
      </c>
      <c r="B458" s="22" t="s">
        <v>31</v>
      </c>
      <c r="C458" s="23" t="s">
        <v>71</v>
      </c>
      <c r="D458" s="6" t="s">
        <v>4</v>
      </c>
      <c r="E458" s="22" t="s">
        <v>375</v>
      </c>
      <c r="F458" s="22" t="s">
        <v>133</v>
      </c>
      <c r="G458" s="22" t="s">
        <v>329</v>
      </c>
      <c r="H458" s="32" t="s">
        <v>79</v>
      </c>
    </row>
    <row r="459" ht="20" customHeight="1" spans="1:8" x14ac:dyDescent="0.25">
      <c r="A459" s="24" t="s">
        <v>68</v>
      </c>
      <c r="B459" s="24" t="s">
        <v>34</v>
      </c>
      <c r="C459" s="25" t="s">
        <v>71</v>
      </c>
      <c r="D459" s="6" t="s">
        <v>4</v>
      </c>
      <c r="E459" s="24" t="s">
        <v>353</v>
      </c>
      <c r="F459" s="24" t="s">
        <v>404</v>
      </c>
      <c r="G459" s="24" t="s">
        <v>261</v>
      </c>
      <c r="H459" s="34" t="s">
        <v>355</v>
      </c>
    </row>
    <row r="460" ht="22" customHeight="1" spans="1:8" x14ac:dyDescent="0.25">
      <c r="A460" s="26" t="s">
        <v>69</v>
      </c>
      <c r="B460" s="26"/>
      <c r="C460" s="26"/>
      <c r="D460" s="26"/>
      <c r="E460" s="26"/>
      <c r="F460" s="26"/>
      <c r="G460" s="27" t="s">
        <v>653</v>
      </c>
      <c r="H460" s="28" t="s">
        <v>12</v>
      </c>
    </row>
  </sheetData>
  <mergeCells count="28">
    <mergeCell ref="A1:P1"/>
    <mergeCell ref="A2:P2"/>
    <mergeCell ref="A20:H20"/>
    <mergeCell ref="A52:F52"/>
    <mergeCell ref="A54:H54"/>
    <mergeCell ref="A86:F86"/>
    <mergeCell ref="A88:H88"/>
    <mergeCell ref="A120:F120"/>
    <mergeCell ref="A122:H122"/>
    <mergeCell ref="A154:F154"/>
    <mergeCell ref="A156:H156"/>
    <mergeCell ref="A188:F188"/>
    <mergeCell ref="A190:H190"/>
    <mergeCell ref="A222:F222"/>
    <mergeCell ref="A224:H224"/>
    <mergeCell ref="A256:F256"/>
    <mergeCell ref="A258:H258"/>
    <mergeCell ref="A290:F290"/>
    <mergeCell ref="A292:H292"/>
    <mergeCell ref="A324:F324"/>
    <mergeCell ref="A326:H326"/>
    <mergeCell ref="A358:F358"/>
    <mergeCell ref="A360:H360"/>
    <mergeCell ref="A392:F392"/>
    <mergeCell ref="A394:H394"/>
    <mergeCell ref="A426:F426"/>
    <mergeCell ref="A428:H428"/>
    <mergeCell ref="A460:F46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5"/>
  <sheetViews>
    <sheetView workbookViewId="0"/>
  </sheetViews>
  <sheetFormatPr defaultRowHeight="15" outlineLevelRow="0" outlineLevelCol="0" x14ac:dyDescent="55"/>
  <cols>
    <col min="1" max="1" width="28" customWidth="1"/>
    <col min="2" max="2" width="20" customWidth="1"/>
    <col min="3" max="4" width="13" customWidth="1"/>
    <col min="5" max="7" width="18" customWidth="1"/>
    <col min="8" max="10" width="14" customWidth="1"/>
    <col min="11" max="12" width="6" customWidth="1"/>
    <col min="13" max="13" width="28" customWidth="1"/>
    <col min="14" max="14" width="14" customWidth="1"/>
    <col min="15" max="16" width="18" customWidth="1"/>
  </cols>
  <sheetData>
    <row r="1" ht="30" customHeight="1" spans="1:16" x14ac:dyDescent="0.25">
      <c r="A1" s="1" t="s">
        <v>654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2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26" customHeight="1" spans="1:1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</row>
    <row r="5" ht="22" customHeight="1" spans="1:16" x14ac:dyDescent="0.25">
      <c r="A5" s="4" t="s">
        <v>655</v>
      </c>
      <c r="B5" s="5">
        <v>0</v>
      </c>
      <c r="C5" s="6">
        <v>0</v>
      </c>
      <c r="D5" s="7">
        <v>24</v>
      </c>
      <c r="E5" s="8">
        <v>0</v>
      </c>
      <c r="F5" s="9">
        <v>0</v>
      </c>
      <c r="G5" s="10">
        <v>0</v>
      </c>
      <c r="H5" s="11">
        <v>6</v>
      </c>
      <c r="I5" s="12">
        <v>0</v>
      </c>
      <c r="J5" s="13">
        <v>0</v>
      </c>
      <c r="K5" s="14" t="s">
        <v>12</v>
      </c>
      <c r="L5" s="14" t="s">
        <v>12</v>
      </c>
      <c r="M5" s="15">
        <v>18.5</v>
      </c>
      <c r="N5" s="16">
        <v>0</v>
      </c>
      <c r="O5" s="17">
        <v>18.5</v>
      </c>
      <c r="P5" s="18" t="s">
        <v>18</v>
      </c>
    </row>
    <row r="6" ht="22" customHeight="1" spans="1:16" x14ac:dyDescent="0.25">
      <c r="A6" s="19" t="s">
        <v>656</v>
      </c>
      <c r="B6" s="5">
        <v>30</v>
      </c>
      <c r="C6" s="6">
        <v>23</v>
      </c>
      <c r="D6" s="7">
        <v>0</v>
      </c>
      <c r="E6" s="8">
        <v>0</v>
      </c>
      <c r="F6" s="9">
        <v>1</v>
      </c>
      <c r="G6" s="10">
        <v>1</v>
      </c>
      <c r="H6" s="11">
        <v>0</v>
      </c>
      <c r="I6" s="12">
        <v>5</v>
      </c>
      <c r="J6" s="13">
        <v>1</v>
      </c>
      <c r="K6" s="14" t="s">
        <v>12</v>
      </c>
      <c r="L6" s="14" t="s">
        <v>12</v>
      </c>
      <c r="M6" s="15">
        <v>18</v>
      </c>
      <c r="N6" s="16">
        <v>1</v>
      </c>
      <c r="O6" s="17">
        <v>17</v>
      </c>
      <c r="P6" s="18" t="s">
        <v>142</v>
      </c>
    </row>
    <row r="9" ht="26" customHeight="1" spans="1:8" x14ac:dyDescent="0.25">
      <c r="A9" s="20" t="s">
        <v>657</v>
      </c>
      <c r="B9" s="20"/>
      <c r="C9" s="20"/>
      <c r="D9" s="20"/>
      <c r="E9" s="20"/>
      <c r="F9" s="20"/>
      <c r="G9" s="20"/>
      <c r="H9" s="20"/>
    </row>
    <row r="10" ht="22" customHeight="1" spans="1:8" x14ac:dyDescent="0.25">
      <c r="A10" s="21" t="s">
        <v>22</v>
      </c>
      <c r="B10" s="21" t="s">
        <v>23</v>
      </c>
      <c r="C10" s="21" t="s">
        <v>24</v>
      </c>
      <c r="D10" s="21" t="s">
        <v>25</v>
      </c>
      <c r="E10" s="21" t="s">
        <v>26</v>
      </c>
      <c r="F10" s="21" t="s">
        <v>27</v>
      </c>
      <c r="G10" s="21" t="s">
        <v>28</v>
      </c>
      <c r="H10" s="21" t="s">
        <v>29</v>
      </c>
    </row>
    <row r="11" ht="20" customHeight="1" spans="1:8" x14ac:dyDescent="0.25">
      <c r="A11" s="22" t="s">
        <v>30</v>
      </c>
      <c r="B11" s="22" t="s">
        <v>31</v>
      </c>
      <c r="C11" s="23" t="s">
        <v>71</v>
      </c>
      <c r="D11" s="7" t="s">
        <v>5</v>
      </c>
      <c r="E11" s="22" t="s">
        <v>12</v>
      </c>
      <c r="F11" s="22" t="s">
        <v>12</v>
      </c>
      <c r="G11" s="22" t="s">
        <v>12</v>
      </c>
      <c r="H11" s="22" t="s">
        <v>32</v>
      </c>
    </row>
    <row r="12" ht="20" customHeight="1" spans="1:8" x14ac:dyDescent="0.25">
      <c r="A12" s="24" t="s">
        <v>33</v>
      </c>
      <c r="B12" s="24" t="s">
        <v>34</v>
      </c>
      <c r="C12" s="25" t="s">
        <v>71</v>
      </c>
      <c r="D12" s="7" t="s">
        <v>5</v>
      </c>
      <c r="E12" s="24" t="s">
        <v>12</v>
      </c>
      <c r="F12" s="24" t="s">
        <v>12</v>
      </c>
      <c r="G12" s="24" t="s">
        <v>12</v>
      </c>
      <c r="H12" s="24" t="s">
        <v>32</v>
      </c>
    </row>
    <row r="13" ht="20" customHeight="1" spans="1:8" x14ac:dyDescent="0.25">
      <c r="A13" s="22" t="s">
        <v>35</v>
      </c>
      <c r="B13" s="22" t="s">
        <v>36</v>
      </c>
      <c r="C13" s="23" t="s">
        <v>71</v>
      </c>
      <c r="D13" s="7" t="s">
        <v>5</v>
      </c>
      <c r="E13" s="22" t="s">
        <v>12</v>
      </c>
      <c r="F13" s="22" t="s">
        <v>12</v>
      </c>
      <c r="G13" s="22" t="s">
        <v>12</v>
      </c>
      <c r="H13" s="22" t="s">
        <v>32</v>
      </c>
    </row>
    <row r="14" ht="20" customHeight="1" spans="1:8" x14ac:dyDescent="0.25">
      <c r="A14" s="24" t="s">
        <v>37</v>
      </c>
      <c r="B14" s="24" t="s">
        <v>38</v>
      </c>
      <c r="C14" s="25" t="s">
        <v>71</v>
      </c>
      <c r="D14" s="16" t="s">
        <v>43</v>
      </c>
      <c r="E14" s="24" t="s">
        <v>12</v>
      </c>
      <c r="F14" s="24" t="s">
        <v>12</v>
      </c>
      <c r="G14" s="24" t="s">
        <v>12</v>
      </c>
      <c r="H14" s="24" t="s">
        <v>32</v>
      </c>
    </row>
    <row r="15" ht="20" customHeight="1" spans="1:8" x14ac:dyDescent="0.25">
      <c r="A15" s="22" t="s">
        <v>39</v>
      </c>
      <c r="B15" s="22" t="s">
        <v>40</v>
      </c>
      <c r="C15" s="23" t="s">
        <v>71</v>
      </c>
      <c r="D15" s="7" t="s">
        <v>5</v>
      </c>
      <c r="E15" s="22" t="s">
        <v>12</v>
      </c>
      <c r="F15" s="22" t="s">
        <v>12</v>
      </c>
      <c r="G15" s="22" t="s">
        <v>12</v>
      </c>
      <c r="H15" s="22" t="s">
        <v>32</v>
      </c>
    </row>
    <row r="16" ht="20" customHeight="1" spans="1:8" x14ac:dyDescent="0.25">
      <c r="A16" s="24" t="s">
        <v>41</v>
      </c>
      <c r="B16" s="24" t="s">
        <v>42</v>
      </c>
      <c r="C16" s="25" t="s">
        <v>71</v>
      </c>
      <c r="D16" s="16" t="s">
        <v>43</v>
      </c>
      <c r="E16" s="24" t="s">
        <v>12</v>
      </c>
      <c r="F16" s="24" t="s">
        <v>12</v>
      </c>
      <c r="G16" s="24" t="s">
        <v>12</v>
      </c>
      <c r="H16" s="24" t="s">
        <v>32</v>
      </c>
    </row>
    <row r="17" ht="20" customHeight="1" spans="1:8" x14ac:dyDescent="0.25">
      <c r="A17" s="22" t="s">
        <v>44</v>
      </c>
      <c r="B17" s="22" t="s">
        <v>45</v>
      </c>
      <c r="C17" s="23" t="s">
        <v>71</v>
      </c>
      <c r="D17" s="7" t="s">
        <v>5</v>
      </c>
      <c r="E17" s="22" t="s">
        <v>12</v>
      </c>
      <c r="F17" s="22" t="s">
        <v>12</v>
      </c>
      <c r="G17" s="22" t="s">
        <v>12</v>
      </c>
      <c r="H17" s="22" t="s">
        <v>32</v>
      </c>
    </row>
    <row r="18" ht="20" customHeight="1" spans="1:8" x14ac:dyDescent="0.25">
      <c r="A18" s="24" t="s">
        <v>46</v>
      </c>
      <c r="B18" s="24" t="s">
        <v>31</v>
      </c>
      <c r="C18" s="25" t="s">
        <v>71</v>
      </c>
      <c r="D18" s="7" t="s">
        <v>5</v>
      </c>
      <c r="E18" s="24" t="s">
        <v>12</v>
      </c>
      <c r="F18" s="24" t="s">
        <v>12</v>
      </c>
      <c r="G18" s="24" t="s">
        <v>12</v>
      </c>
      <c r="H18" s="24" t="s">
        <v>32</v>
      </c>
    </row>
    <row r="19" ht="20" customHeight="1" spans="1:8" x14ac:dyDescent="0.25">
      <c r="A19" s="22" t="s">
        <v>47</v>
      </c>
      <c r="B19" s="22" t="s">
        <v>34</v>
      </c>
      <c r="C19" s="23" t="s">
        <v>71</v>
      </c>
      <c r="D19" s="7" t="s">
        <v>5</v>
      </c>
      <c r="E19" s="22" t="s">
        <v>12</v>
      </c>
      <c r="F19" s="22" t="s">
        <v>12</v>
      </c>
      <c r="G19" s="22" t="s">
        <v>12</v>
      </c>
      <c r="H19" s="22" t="s">
        <v>32</v>
      </c>
    </row>
    <row r="20" ht="20" customHeight="1" spans="1:8" x14ac:dyDescent="0.25">
      <c r="A20" s="24" t="s">
        <v>48</v>
      </c>
      <c r="B20" s="24" t="s">
        <v>36</v>
      </c>
      <c r="C20" s="25" t="s">
        <v>71</v>
      </c>
      <c r="D20" s="7" t="s">
        <v>5</v>
      </c>
      <c r="E20" s="24" t="s">
        <v>12</v>
      </c>
      <c r="F20" s="24" t="s">
        <v>12</v>
      </c>
      <c r="G20" s="24" t="s">
        <v>12</v>
      </c>
      <c r="H20" s="24" t="s">
        <v>32</v>
      </c>
    </row>
    <row r="21" ht="20" customHeight="1" spans="1:8" x14ac:dyDescent="0.25">
      <c r="A21" s="22" t="s">
        <v>49</v>
      </c>
      <c r="B21" s="22" t="s">
        <v>38</v>
      </c>
      <c r="C21" s="23" t="s">
        <v>71</v>
      </c>
      <c r="D21" s="7" t="s">
        <v>5</v>
      </c>
      <c r="E21" s="22" t="s">
        <v>12</v>
      </c>
      <c r="F21" s="22" t="s">
        <v>12</v>
      </c>
      <c r="G21" s="22" t="s">
        <v>12</v>
      </c>
      <c r="H21" s="22" t="s">
        <v>32</v>
      </c>
    </row>
    <row r="22" ht="20" customHeight="1" spans="1:8" x14ac:dyDescent="0.25">
      <c r="A22" s="24" t="s">
        <v>50</v>
      </c>
      <c r="B22" s="24" t="s">
        <v>40</v>
      </c>
      <c r="C22" s="25" t="s">
        <v>71</v>
      </c>
      <c r="D22" s="16" t="s">
        <v>43</v>
      </c>
      <c r="E22" s="24" t="s">
        <v>12</v>
      </c>
      <c r="F22" s="24" t="s">
        <v>12</v>
      </c>
      <c r="G22" s="24" t="s">
        <v>12</v>
      </c>
      <c r="H22" s="24" t="s">
        <v>32</v>
      </c>
    </row>
    <row r="23" ht="20" customHeight="1" spans="1:8" x14ac:dyDescent="0.25">
      <c r="A23" s="22" t="s">
        <v>51</v>
      </c>
      <c r="B23" s="22" t="s">
        <v>42</v>
      </c>
      <c r="C23" s="23" t="s">
        <v>71</v>
      </c>
      <c r="D23" s="16" t="s">
        <v>43</v>
      </c>
      <c r="E23" s="22" t="s">
        <v>12</v>
      </c>
      <c r="F23" s="22" t="s">
        <v>12</v>
      </c>
      <c r="G23" s="22" t="s">
        <v>12</v>
      </c>
      <c r="H23" s="22" t="s">
        <v>32</v>
      </c>
    </row>
    <row r="24" ht="20" customHeight="1" spans="1:8" x14ac:dyDescent="0.25">
      <c r="A24" s="24" t="s">
        <v>52</v>
      </c>
      <c r="B24" s="24" t="s">
        <v>45</v>
      </c>
      <c r="C24" s="25" t="s">
        <v>71</v>
      </c>
      <c r="D24" s="7" t="s">
        <v>5</v>
      </c>
      <c r="E24" s="24" t="s">
        <v>12</v>
      </c>
      <c r="F24" s="24" t="s">
        <v>12</v>
      </c>
      <c r="G24" s="24" t="s">
        <v>12</v>
      </c>
      <c r="H24" s="24" t="s">
        <v>32</v>
      </c>
    </row>
    <row r="25" ht="20" customHeight="1" spans="1:8" x14ac:dyDescent="0.25">
      <c r="A25" s="22" t="s">
        <v>53</v>
      </c>
      <c r="B25" s="22" t="s">
        <v>31</v>
      </c>
      <c r="C25" s="23" t="s">
        <v>71</v>
      </c>
      <c r="D25" s="7" t="s">
        <v>5</v>
      </c>
      <c r="E25" s="22" t="s">
        <v>12</v>
      </c>
      <c r="F25" s="22" t="s">
        <v>12</v>
      </c>
      <c r="G25" s="22" t="s">
        <v>12</v>
      </c>
      <c r="H25" s="22" t="s">
        <v>32</v>
      </c>
    </row>
    <row r="26" ht="20" customHeight="1" spans="1:8" x14ac:dyDescent="0.25">
      <c r="A26" s="24" t="s">
        <v>54</v>
      </c>
      <c r="B26" s="24" t="s">
        <v>34</v>
      </c>
      <c r="C26" s="25" t="s">
        <v>71</v>
      </c>
      <c r="D26" s="7" t="s">
        <v>5</v>
      </c>
      <c r="E26" s="24" t="s">
        <v>12</v>
      </c>
      <c r="F26" s="24" t="s">
        <v>12</v>
      </c>
      <c r="G26" s="24" t="s">
        <v>12</v>
      </c>
      <c r="H26" s="24" t="s">
        <v>32</v>
      </c>
    </row>
    <row r="27" ht="20" customHeight="1" spans="1:8" x14ac:dyDescent="0.25">
      <c r="A27" s="22" t="s">
        <v>55</v>
      </c>
      <c r="B27" s="22" t="s">
        <v>36</v>
      </c>
      <c r="C27" s="23" t="s">
        <v>71</v>
      </c>
      <c r="D27" s="7" t="s">
        <v>5</v>
      </c>
      <c r="E27" s="22" t="s">
        <v>12</v>
      </c>
      <c r="F27" s="22" t="s">
        <v>12</v>
      </c>
      <c r="G27" s="22" t="s">
        <v>12</v>
      </c>
      <c r="H27" s="22" t="s">
        <v>32</v>
      </c>
    </row>
    <row r="28" ht="20" customHeight="1" spans="1:8" x14ac:dyDescent="0.25">
      <c r="A28" s="24" t="s">
        <v>56</v>
      </c>
      <c r="B28" s="24" t="s">
        <v>38</v>
      </c>
      <c r="C28" s="25" t="s">
        <v>71</v>
      </c>
      <c r="D28" s="7" t="s">
        <v>5</v>
      </c>
      <c r="E28" s="24" t="s">
        <v>12</v>
      </c>
      <c r="F28" s="24" t="s">
        <v>12</v>
      </c>
      <c r="G28" s="24" t="s">
        <v>12</v>
      </c>
      <c r="H28" s="24" t="s">
        <v>32</v>
      </c>
    </row>
    <row r="29" ht="20" customHeight="1" spans="1:8" x14ac:dyDescent="0.25">
      <c r="A29" s="22" t="s">
        <v>57</v>
      </c>
      <c r="B29" s="22" t="s">
        <v>40</v>
      </c>
      <c r="C29" s="23" t="s">
        <v>71</v>
      </c>
      <c r="D29" s="7" t="s">
        <v>5</v>
      </c>
      <c r="E29" s="22" t="s">
        <v>12</v>
      </c>
      <c r="F29" s="22" t="s">
        <v>12</v>
      </c>
      <c r="G29" s="22" t="s">
        <v>12</v>
      </c>
      <c r="H29" s="22" t="s">
        <v>32</v>
      </c>
    </row>
    <row r="30" ht="20" customHeight="1" spans="1:8" x14ac:dyDescent="0.25">
      <c r="A30" s="24" t="s">
        <v>58</v>
      </c>
      <c r="B30" s="24" t="s">
        <v>42</v>
      </c>
      <c r="C30" s="25" t="s">
        <v>71</v>
      </c>
      <c r="D30" s="16" t="s">
        <v>43</v>
      </c>
      <c r="E30" s="24" t="s">
        <v>12</v>
      </c>
      <c r="F30" s="24" t="s">
        <v>12</v>
      </c>
      <c r="G30" s="24" t="s">
        <v>12</v>
      </c>
      <c r="H30" s="24" t="s">
        <v>32</v>
      </c>
    </row>
    <row r="31" ht="20" customHeight="1" spans="1:8" x14ac:dyDescent="0.25">
      <c r="A31" s="22" t="s">
        <v>59</v>
      </c>
      <c r="B31" s="22" t="s">
        <v>45</v>
      </c>
      <c r="C31" s="23" t="s">
        <v>71</v>
      </c>
      <c r="D31" s="7" t="s">
        <v>5</v>
      </c>
      <c r="E31" s="22" t="s">
        <v>12</v>
      </c>
      <c r="F31" s="22" t="s">
        <v>12</v>
      </c>
      <c r="G31" s="22" t="s">
        <v>12</v>
      </c>
      <c r="H31" s="22" t="s">
        <v>32</v>
      </c>
    </row>
    <row r="32" ht="20" customHeight="1" spans="1:8" x14ac:dyDescent="0.25">
      <c r="A32" s="24" t="s">
        <v>60</v>
      </c>
      <c r="B32" s="24" t="s">
        <v>31</v>
      </c>
      <c r="C32" s="25" t="s">
        <v>71</v>
      </c>
      <c r="D32" s="7" t="s">
        <v>5</v>
      </c>
      <c r="E32" s="24" t="s">
        <v>12</v>
      </c>
      <c r="F32" s="24" t="s">
        <v>12</v>
      </c>
      <c r="G32" s="24" t="s">
        <v>12</v>
      </c>
      <c r="H32" s="24" t="s">
        <v>32</v>
      </c>
    </row>
    <row r="33" ht="20" customHeight="1" spans="1:8" x14ac:dyDescent="0.25">
      <c r="A33" s="22" t="s">
        <v>61</v>
      </c>
      <c r="B33" s="22" t="s">
        <v>34</v>
      </c>
      <c r="C33" s="23" t="s">
        <v>71</v>
      </c>
      <c r="D33" s="7" t="s">
        <v>5</v>
      </c>
      <c r="E33" s="22" t="s">
        <v>12</v>
      </c>
      <c r="F33" s="22" t="s">
        <v>12</v>
      </c>
      <c r="G33" s="22" t="s">
        <v>12</v>
      </c>
      <c r="H33" s="22" t="s">
        <v>32</v>
      </c>
    </row>
    <row r="34" ht="20" customHeight="1" spans="1:8" x14ac:dyDescent="0.25">
      <c r="A34" s="24" t="s">
        <v>62</v>
      </c>
      <c r="B34" s="24" t="s">
        <v>36</v>
      </c>
      <c r="C34" s="25" t="s">
        <v>71</v>
      </c>
      <c r="D34" s="7" t="s">
        <v>5</v>
      </c>
      <c r="E34" s="24" t="s">
        <v>12</v>
      </c>
      <c r="F34" s="24" t="s">
        <v>12</v>
      </c>
      <c r="G34" s="24" t="s">
        <v>12</v>
      </c>
      <c r="H34" s="24" t="s">
        <v>32</v>
      </c>
    </row>
    <row r="35" ht="20" customHeight="1" spans="1:8" x14ac:dyDescent="0.25">
      <c r="A35" s="22" t="s">
        <v>63</v>
      </c>
      <c r="B35" s="22" t="s">
        <v>38</v>
      </c>
      <c r="C35" s="23" t="s">
        <v>71</v>
      </c>
      <c r="D35" s="7" t="s">
        <v>5</v>
      </c>
      <c r="E35" s="22" t="s">
        <v>12</v>
      </c>
      <c r="F35" s="22" t="s">
        <v>12</v>
      </c>
      <c r="G35" s="22" t="s">
        <v>12</v>
      </c>
      <c r="H35" s="22" t="s">
        <v>32</v>
      </c>
    </row>
    <row r="36" ht="20" customHeight="1" spans="1:8" x14ac:dyDescent="0.25">
      <c r="A36" s="24" t="s">
        <v>64</v>
      </c>
      <c r="B36" s="24" t="s">
        <v>40</v>
      </c>
      <c r="C36" s="25" t="s">
        <v>71</v>
      </c>
      <c r="D36" s="7" t="s">
        <v>5</v>
      </c>
      <c r="E36" s="24" t="s">
        <v>12</v>
      </c>
      <c r="F36" s="24" t="s">
        <v>12</v>
      </c>
      <c r="G36" s="24" t="s">
        <v>12</v>
      </c>
      <c r="H36" s="24" t="s">
        <v>32</v>
      </c>
    </row>
    <row r="37" ht="20" customHeight="1" spans="1:8" x14ac:dyDescent="0.25">
      <c r="A37" s="22" t="s">
        <v>65</v>
      </c>
      <c r="B37" s="22" t="s">
        <v>42</v>
      </c>
      <c r="C37" s="23" t="s">
        <v>71</v>
      </c>
      <c r="D37" s="16" t="s">
        <v>43</v>
      </c>
      <c r="E37" s="22" t="s">
        <v>12</v>
      </c>
      <c r="F37" s="22" t="s">
        <v>12</v>
      </c>
      <c r="G37" s="22" t="s">
        <v>12</v>
      </c>
      <c r="H37" s="22" t="s">
        <v>32</v>
      </c>
    </row>
    <row r="38" ht="20" customHeight="1" spans="1:8" x14ac:dyDescent="0.25">
      <c r="A38" s="24" t="s">
        <v>66</v>
      </c>
      <c r="B38" s="24" t="s">
        <v>45</v>
      </c>
      <c r="C38" s="25" t="s">
        <v>71</v>
      </c>
      <c r="D38" s="7" t="s">
        <v>5</v>
      </c>
      <c r="E38" s="24" t="s">
        <v>12</v>
      </c>
      <c r="F38" s="24" t="s">
        <v>12</v>
      </c>
      <c r="G38" s="24" t="s">
        <v>12</v>
      </c>
      <c r="H38" s="24" t="s">
        <v>32</v>
      </c>
    </row>
    <row r="39" ht="20" customHeight="1" spans="1:8" x14ac:dyDescent="0.25">
      <c r="A39" s="22" t="s">
        <v>67</v>
      </c>
      <c r="B39" s="22" t="s">
        <v>31</v>
      </c>
      <c r="C39" s="23" t="s">
        <v>71</v>
      </c>
      <c r="D39" s="7" t="s">
        <v>5</v>
      </c>
      <c r="E39" s="22" t="s">
        <v>12</v>
      </c>
      <c r="F39" s="22" t="s">
        <v>12</v>
      </c>
      <c r="G39" s="22" t="s">
        <v>12</v>
      </c>
      <c r="H39" s="22" t="s">
        <v>32</v>
      </c>
    </row>
    <row r="40" ht="20" customHeight="1" spans="1:8" x14ac:dyDescent="0.25">
      <c r="A40" s="24" t="s">
        <v>68</v>
      </c>
      <c r="B40" s="24" t="s">
        <v>34</v>
      </c>
      <c r="C40" s="25" t="s">
        <v>71</v>
      </c>
      <c r="D40" s="7" t="s">
        <v>5</v>
      </c>
      <c r="E40" s="24" t="s">
        <v>12</v>
      </c>
      <c r="F40" s="24" t="s">
        <v>12</v>
      </c>
      <c r="G40" s="24" t="s">
        <v>12</v>
      </c>
      <c r="H40" s="24" t="s">
        <v>32</v>
      </c>
    </row>
    <row r="41" ht="22" customHeight="1" spans="1:8" x14ac:dyDescent="0.25">
      <c r="A41" s="26" t="s">
        <v>69</v>
      </c>
      <c r="B41" s="26"/>
      <c r="C41" s="26"/>
      <c r="D41" s="26"/>
      <c r="E41" s="26"/>
      <c r="F41" s="26"/>
      <c r="G41" s="27" t="s">
        <v>18</v>
      </c>
      <c r="H41" s="28" t="s">
        <v>12</v>
      </c>
    </row>
    <row r="43" ht="26" customHeight="1" spans="1:8" x14ac:dyDescent="0.25">
      <c r="A43" s="20" t="s">
        <v>658</v>
      </c>
      <c r="B43" s="20"/>
      <c r="C43" s="20"/>
      <c r="D43" s="20"/>
      <c r="E43" s="20"/>
      <c r="F43" s="20"/>
      <c r="G43" s="20"/>
      <c r="H43" s="20"/>
    </row>
    <row r="44" ht="22" customHeight="1" spans="1:8" x14ac:dyDescent="0.25">
      <c r="A44" s="21" t="s">
        <v>22</v>
      </c>
      <c r="B44" s="21" t="s">
        <v>23</v>
      </c>
      <c r="C44" s="21" t="s">
        <v>24</v>
      </c>
      <c r="D44" s="21" t="s">
        <v>25</v>
      </c>
      <c r="E44" s="21" t="s">
        <v>26</v>
      </c>
      <c r="F44" s="21" t="s">
        <v>27</v>
      </c>
      <c r="G44" s="21" t="s">
        <v>28</v>
      </c>
      <c r="H44" s="21" t="s">
        <v>29</v>
      </c>
    </row>
    <row r="45" ht="20" customHeight="1" spans="1:8" x14ac:dyDescent="0.25">
      <c r="A45" s="22" t="s">
        <v>30</v>
      </c>
      <c r="B45" s="22" t="s">
        <v>31</v>
      </c>
      <c r="C45" s="23" t="s">
        <v>71</v>
      </c>
      <c r="D45" s="6" t="s">
        <v>4</v>
      </c>
      <c r="E45" s="22" t="s">
        <v>554</v>
      </c>
      <c r="F45" s="22" t="s">
        <v>623</v>
      </c>
      <c r="G45" s="22" t="s">
        <v>659</v>
      </c>
      <c r="H45" s="29" t="s">
        <v>624</v>
      </c>
    </row>
    <row r="46" ht="20" customHeight="1" spans="1:8" x14ac:dyDescent="0.25">
      <c r="A46" s="24" t="s">
        <v>33</v>
      </c>
      <c r="B46" s="24" t="s">
        <v>34</v>
      </c>
      <c r="C46" s="25" t="s">
        <v>71</v>
      </c>
      <c r="D46" s="6" t="s">
        <v>4</v>
      </c>
      <c r="E46" s="24" t="s">
        <v>435</v>
      </c>
      <c r="F46" s="24" t="s">
        <v>321</v>
      </c>
      <c r="G46" s="24" t="s">
        <v>475</v>
      </c>
      <c r="H46" s="30" t="s">
        <v>79</v>
      </c>
    </row>
    <row r="47" ht="20" customHeight="1" spans="1:8" x14ac:dyDescent="0.25">
      <c r="A47" s="22" t="s">
        <v>35</v>
      </c>
      <c r="B47" s="22" t="s">
        <v>36</v>
      </c>
      <c r="C47" s="23" t="s">
        <v>71</v>
      </c>
      <c r="D47" s="6" t="s">
        <v>4</v>
      </c>
      <c r="E47" s="22" t="s">
        <v>92</v>
      </c>
      <c r="F47" s="22" t="s">
        <v>631</v>
      </c>
      <c r="G47" s="22" t="s">
        <v>291</v>
      </c>
      <c r="H47" s="29" t="s">
        <v>632</v>
      </c>
    </row>
    <row r="48" ht="20" customHeight="1" spans="1:8" x14ac:dyDescent="0.25">
      <c r="A48" s="24" t="s">
        <v>37</v>
      </c>
      <c r="B48" s="24" t="s">
        <v>38</v>
      </c>
      <c r="C48" s="25" t="s">
        <v>71</v>
      </c>
      <c r="D48" s="31" t="s">
        <v>11</v>
      </c>
      <c r="E48" s="24" t="s">
        <v>12</v>
      </c>
      <c r="F48" s="24" t="s">
        <v>12</v>
      </c>
      <c r="G48" s="24" t="s">
        <v>12</v>
      </c>
      <c r="H48" s="24" t="s">
        <v>32</v>
      </c>
    </row>
    <row r="49" ht="20" customHeight="1" spans="1:8" x14ac:dyDescent="0.25">
      <c r="A49" s="22" t="s">
        <v>39</v>
      </c>
      <c r="B49" s="22" t="s">
        <v>40</v>
      </c>
      <c r="C49" s="23" t="s">
        <v>71</v>
      </c>
      <c r="D49" s="6" t="s">
        <v>4</v>
      </c>
      <c r="E49" s="22" t="s">
        <v>660</v>
      </c>
      <c r="F49" s="22" t="s">
        <v>661</v>
      </c>
      <c r="G49" s="22" t="s">
        <v>646</v>
      </c>
      <c r="H49" s="29" t="s">
        <v>100</v>
      </c>
    </row>
    <row r="50" ht="20" customHeight="1" spans="1:8" x14ac:dyDescent="0.25">
      <c r="A50" s="24" t="s">
        <v>41</v>
      </c>
      <c r="B50" s="24" t="s">
        <v>42</v>
      </c>
      <c r="C50" s="25" t="s">
        <v>71</v>
      </c>
      <c r="D50" s="33" t="s">
        <v>86</v>
      </c>
      <c r="E50" s="24" t="s">
        <v>12</v>
      </c>
      <c r="F50" s="24" t="s">
        <v>12</v>
      </c>
      <c r="G50" s="24" t="s">
        <v>12</v>
      </c>
      <c r="H50" s="24" t="s">
        <v>32</v>
      </c>
    </row>
    <row r="51" ht="20" customHeight="1" spans="1:8" x14ac:dyDescent="0.25">
      <c r="A51" s="22" t="s">
        <v>44</v>
      </c>
      <c r="B51" s="22" t="s">
        <v>45</v>
      </c>
      <c r="C51" s="23" t="s">
        <v>71</v>
      </c>
      <c r="D51" s="6" t="s">
        <v>4</v>
      </c>
      <c r="E51" s="22" t="s">
        <v>109</v>
      </c>
      <c r="F51" s="22" t="s">
        <v>662</v>
      </c>
      <c r="G51" s="22" t="s">
        <v>290</v>
      </c>
      <c r="H51" s="29" t="s">
        <v>663</v>
      </c>
    </row>
    <row r="52" ht="20" customHeight="1" spans="1:8" x14ac:dyDescent="0.25">
      <c r="A52" s="24" t="s">
        <v>46</v>
      </c>
      <c r="B52" s="24" t="s">
        <v>31</v>
      </c>
      <c r="C52" s="25" t="s">
        <v>71</v>
      </c>
      <c r="D52" s="6" t="s">
        <v>4</v>
      </c>
      <c r="E52" s="24" t="s">
        <v>114</v>
      </c>
      <c r="F52" s="24" t="s">
        <v>525</v>
      </c>
      <c r="G52" s="24" t="s">
        <v>81</v>
      </c>
      <c r="H52" s="34" t="s">
        <v>526</v>
      </c>
    </row>
    <row r="53" ht="20" customHeight="1" spans="1:8" x14ac:dyDescent="0.25">
      <c r="A53" s="22" t="s">
        <v>47</v>
      </c>
      <c r="B53" s="22" t="s">
        <v>34</v>
      </c>
      <c r="C53" s="23" t="s">
        <v>71</v>
      </c>
      <c r="D53" s="6" t="s">
        <v>4</v>
      </c>
      <c r="E53" s="22" t="s">
        <v>664</v>
      </c>
      <c r="F53" s="22" t="s">
        <v>544</v>
      </c>
      <c r="G53" s="22" t="s">
        <v>283</v>
      </c>
      <c r="H53" s="29" t="s">
        <v>665</v>
      </c>
    </row>
    <row r="54" ht="20" customHeight="1" spans="1:8" x14ac:dyDescent="0.25">
      <c r="A54" s="24" t="s">
        <v>48</v>
      </c>
      <c r="B54" s="24" t="s">
        <v>36</v>
      </c>
      <c r="C54" s="25" t="s">
        <v>71</v>
      </c>
      <c r="D54" s="6" t="s">
        <v>4</v>
      </c>
      <c r="E54" s="24" t="s">
        <v>101</v>
      </c>
      <c r="F54" s="24" t="s">
        <v>666</v>
      </c>
      <c r="G54" s="24" t="s">
        <v>99</v>
      </c>
      <c r="H54" s="34" t="s">
        <v>667</v>
      </c>
    </row>
    <row r="55" ht="20" customHeight="1" spans="1:8" x14ac:dyDescent="0.25">
      <c r="A55" s="22" t="s">
        <v>49</v>
      </c>
      <c r="B55" s="22" t="s">
        <v>38</v>
      </c>
      <c r="C55" s="23" t="s">
        <v>71</v>
      </c>
      <c r="D55" s="6" t="s">
        <v>4</v>
      </c>
      <c r="E55" s="22" t="s">
        <v>117</v>
      </c>
      <c r="F55" s="22" t="s">
        <v>668</v>
      </c>
      <c r="G55" s="22" t="s">
        <v>187</v>
      </c>
      <c r="H55" s="29" t="s">
        <v>669</v>
      </c>
    </row>
    <row r="56" ht="20" customHeight="1" spans="1:8" x14ac:dyDescent="0.25">
      <c r="A56" s="24" t="s">
        <v>50</v>
      </c>
      <c r="B56" s="24" t="s">
        <v>40</v>
      </c>
      <c r="C56" s="25" t="s">
        <v>71</v>
      </c>
      <c r="D56" s="33" t="s">
        <v>86</v>
      </c>
      <c r="E56" s="24" t="s">
        <v>12</v>
      </c>
      <c r="F56" s="24" t="s">
        <v>12</v>
      </c>
      <c r="G56" s="24" t="s">
        <v>12</v>
      </c>
      <c r="H56" s="24" t="s">
        <v>32</v>
      </c>
    </row>
    <row r="57" ht="20" customHeight="1" spans="1:8" x14ac:dyDescent="0.25">
      <c r="A57" s="22" t="s">
        <v>51</v>
      </c>
      <c r="B57" s="22" t="s">
        <v>42</v>
      </c>
      <c r="C57" s="23" t="s">
        <v>71</v>
      </c>
      <c r="D57" s="35" t="s">
        <v>86</v>
      </c>
      <c r="E57" s="22" t="s">
        <v>12</v>
      </c>
      <c r="F57" s="22" t="s">
        <v>12</v>
      </c>
      <c r="G57" s="22" t="s">
        <v>12</v>
      </c>
      <c r="H57" s="22" t="s">
        <v>32</v>
      </c>
    </row>
    <row r="58" ht="20" customHeight="1" spans="1:8" x14ac:dyDescent="0.25">
      <c r="A58" s="24" t="s">
        <v>52</v>
      </c>
      <c r="B58" s="24" t="s">
        <v>45</v>
      </c>
      <c r="C58" s="25" t="s">
        <v>71</v>
      </c>
      <c r="D58" s="6" t="s">
        <v>4</v>
      </c>
      <c r="E58" s="24" t="s">
        <v>106</v>
      </c>
      <c r="F58" s="24" t="s">
        <v>122</v>
      </c>
      <c r="G58" s="24" t="s">
        <v>174</v>
      </c>
      <c r="H58" s="34" t="s">
        <v>124</v>
      </c>
    </row>
    <row r="59" ht="20" customHeight="1" spans="1:8" x14ac:dyDescent="0.25">
      <c r="A59" s="22" t="s">
        <v>53</v>
      </c>
      <c r="B59" s="22" t="s">
        <v>31</v>
      </c>
      <c r="C59" s="23" t="s">
        <v>71</v>
      </c>
      <c r="D59" s="6" t="s">
        <v>4</v>
      </c>
      <c r="E59" s="22" t="s">
        <v>527</v>
      </c>
      <c r="F59" s="22" t="s">
        <v>626</v>
      </c>
      <c r="G59" s="22" t="s">
        <v>259</v>
      </c>
      <c r="H59" s="29" t="s">
        <v>670</v>
      </c>
    </row>
    <row r="60" ht="20" customHeight="1" spans="1:8" x14ac:dyDescent="0.25">
      <c r="A60" s="24" t="s">
        <v>54</v>
      </c>
      <c r="B60" s="24" t="s">
        <v>34</v>
      </c>
      <c r="C60" s="25" t="s">
        <v>71</v>
      </c>
      <c r="D60" s="6" t="s">
        <v>4</v>
      </c>
      <c r="E60" s="24" t="s">
        <v>76</v>
      </c>
      <c r="F60" s="24" t="s">
        <v>626</v>
      </c>
      <c r="G60" s="24" t="s">
        <v>187</v>
      </c>
      <c r="H60" s="34" t="s">
        <v>627</v>
      </c>
    </row>
    <row r="61" ht="20" customHeight="1" spans="1:8" x14ac:dyDescent="0.25">
      <c r="A61" s="22" t="s">
        <v>55</v>
      </c>
      <c r="B61" s="22" t="s">
        <v>36</v>
      </c>
      <c r="C61" s="23" t="s">
        <v>71</v>
      </c>
      <c r="D61" s="6" t="s">
        <v>4</v>
      </c>
      <c r="E61" s="22" t="s">
        <v>106</v>
      </c>
      <c r="F61" s="22" t="s">
        <v>442</v>
      </c>
      <c r="G61" s="22" t="s">
        <v>283</v>
      </c>
      <c r="H61" s="32" t="s">
        <v>79</v>
      </c>
    </row>
    <row r="62" ht="20" customHeight="1" spans="1:8" x14ac:dyDescent="0.25">
      <c r="A62" s="24" t="s">
        <v>56</v>
      </c>
      <c r="B62" s="24" t="s">
        <v>38</v>
      </c>
      <c r="C62" s="25" t="s">
        <v>71</v>
      </c>
      <c r="D62" s="6" t="s">
        <v>4</v>
      </c>
      <c r="E62" s="24" t="s">
        <v>511</v>
      </c>
      <c r="F62" s="24" t="s">
        <v>278</v>
      </c>
      <c r="G62" s="24" t="s">
        <v>142</v>
      </c>
      <c r="H62" s="30" t="s">
        <v>79</v>
      </c>
    </row>
    <row r="63" ht="20" customHeight="1" spans="1:8" x14ac:dyDescent="0.25">
      <c r="A63" s="22" t="s">
        <v>57</v>
      </c>
      <c r="B63" s="22" t="s">
        <v>40</v>
      </c>
      <c r="C63" s="23" t="s">
        <v>71</v>
      </c>
      <c r="D63" s="6" t="s">
        <v>4</v>
      </c>
      <c r="E63" s="22" t="s">
        <v>101</v>
      </c>
      <c r="F63" s="22" t="s">
        <v>666</v>
      </c>
      <c r="G63" s="22" t="s">
        <v>99</v>
      </c>
      <c r="H63" s="29" t="s">
        <v>671</v>
      </c>
    </row>
    <row r="64" ht="20" customHeight="1" spans="1:8" x14ac:dyDescent="0.25">
      <c r="A64" s="24" t="s">
        <v>58</v>
      </c>
      <c r="B64" s="24" t="s">
        <v>42</v>
      </c>
      <c r="C64" s="25" t="s">
        <v>71</v>
      </c>
      <c r="D64" s="33" t="s">
        <v>86</v>
      </c>
      <c r="E64" s="24" t="s">
        <v>12</v>
      </c>
      <c r="F64" s="24" t="s">
        <v>12</v>
      </c>
      <c r="G64" s="24" t="s">
        <v>12</v>
      </c>
      <c r="H64" s="24" t="s">
        <v>32</v>
      </c>
    </row>
    <row r="65" ht="20" customHeight="1" spans="1:8" x14ac:dyDescent="0.25">
      <c r="A65" s="22" t="s">
        <v>59</v>
      </c>
      <c r="B65" s="22" t="s">
        <v>45</v>
      </c>
      <c r="C65" s="23" t="s">
        <v>71</v>
      </c>
      <c r="D65" s="6" t="s">
        <v>4</v>
      </c>
      <c r="E65" s="22" t="s">
        <v>672</v>
      </c>
      <c r="F65" s="22" t="s">
        <v>552</v>
      </c>
      <c r="G65" s="22" t="s">
        <v>161</v>
      </c>
      <c r="H65" s="29" t="s">
        <v>553</v>
      </c>
    </row>
    <row r="66" ht="20" customHeight="1" spans="1:8" x14ac:dyDescent="0.25">
      <c r="A66" s="24" t="s">
        <v>60</v>
      </c>
      <c r="B66" s="24" t="s">
        <v>31</v>
      </c>
      <c r="C66" s="25" t="s">
        <v>71</v>
      </c>
      <c r="D66" s="6" t="s">
        <v>4</v>
      </c>
      <c r="E66" s="24" t="s">
        <v>673</v>
      </c>
      <c r="F66" s="24" t="s">
        <v>272</v>
      </c>
      <c r="G66" s="24" t="s">
        <v>325</v>
      </c>
      <c r="H66" s="34" t="s">
        <v>274</v>
      </c>
    </row>
    <row r="67" ht="20" customHeight="1" spans="1:8" x14ac:dyDescent="0.25">
      <c r="A67" s="22" t="s">
        <v>61</v>
      </c>
      <c r="B67" s="22" t="s">
        <v>34</v>
      </c>
      <c r="C67" s="23" t="s">
        <v>71</v>
      </c>
      <c r="D67" s="6" t="s">
        <v>4</v>
      </c>
      <c r="E67" s="22" t="s">
        <v>533</v>
      </c>
      <c r="F67" s="22" t="s">
        <v>662</v>
      </c>
      <c r="G67" s="22" t="s">
        <v>147</v>
      </c>
      <c r="H67" s="29" t="s">
        <v>663</v>
      </c>
    </row>
    <row r="68" ht="20" customHeight="1" spans="1:8" x14ac:dyDescent="0.25">
      <c r="A68" s="24" t="s">
        <v>62</v>
      </c>
      <c r="B68" s="24" t="s">
        <v>36</v>
      </c>
      <c r="C68" s="25" t="s">
        <v>71</v>
      </c>
      <c r="D68" s="6" t="s">
        <v>4</v>
      </c>
      <c r="E68" s="24" t="s">
        <v>554</v>
      </c>
      <c r="F68" s="24" t="s">
        <v>621</v>
      </c>
      <c r="G68" s="24" t="s">
        <v>130</v>
      </c>
      <c r="H68" s="34" t="s">
        <v>622</v>
      </c>
    </row>
    <row r="69" ht="20" customHeight="1" spans="1:8" x14ac:dyDescent="0.25">
      <c r="A69" s="22" t="s">
        <v>63</v>
      </c>
      <c r="B69" s="22" t="s">
        <v>38</v>
      </c>
      <c r="C69" s="23" t="s">
        <v>71</v>
      </c>
      <c r="D69" s="6" t="s">
        <v>4</v>
      </c>
      <c r="E69" s="22" t="s">
        <v>527</v>
      </c>
      <c r="F69" s="22" t="s">
        <v>621</v>
      </c>
      <c r="G69" s="22" t="s">
        <v>267</v>
      </c>
      <c r="H69" s="29" t="s">
        <v>622</v>
      </c>
    </row>
    <row r="70" ht="20" customHeight="1" spans="1:8" x14ac:dyDescent="0.25">
      <c r="A70" s="24" t="s">
        <v>64</v>
      </c>
      <c r="B70" s="24" t="s">
        <v>40</v>
      </c>
      <c r="C70" s="25" t="s">
        <v>71</v>
      </c>
      <c r="D70" s="10" t="s">
        <v>87</v>
      </c>
      <c r="E70" s="24" t="s">
        <v>12</v>
      </c>
      <c r="F70" s="24" t="s">
        <v>12</v>
      </c>
      <c r="G70" s="24" t="s">
        <v>12</v>
      </c>
      <c r="H70" s="24" t="s">
        <v>32</v>
      </c>
    </row>
    <row r="71" ht="20" customHeight="1" spans="1:8" x14ac:dyDescent="0.25">
      <c r="A71" s="22" t="s">
        <v>65</v>
      </c>
      <c r="B71" s="22" t="s">
        <v>42</v>
      </c>
      <c r="C71" s="23" t="s">
        <v>71</v>
      </c>
      <c r="D71" s="35" t="s">
        <v>86</v>
      </c>
      <c r="E71" s="22" t="s">
        <v>12</v>
      </c>
      <c r="F71" s="22" t="s">
        <v>12</v>
      </c>
      <c r="G71" s="22" t="s">
        <v>12</v>
      </c>
      <c r="H71" s="22" t="s">
        <v>32</v>
      </c>
    </row>
    <row r="72" ht="20" customHeight="1" spans="1:8" x14ac:dyDescent="0.25">
      <c r="A72" s="24" t="s">
        <v>66</v>
      </c>
      <c r="B72" s="24" t="s">
        <v>45</v>
      </c>
      <c r="C72" s="25" t="s">
        <v>71</v>
      </c>
      <c r="D72" s="6" t="s">
        <v>4</v>
      </c>
      <c r="E72" s="24" t="s">
        <v>674</v>
      </c>
      <c r="F72" s="24" t="s">
        <v>442</v>
      </c>
      <c r="G72" s="24" t="s">
        <v>296</v>
      </c>
      <c r="H72" s="30" t="s">
        <v>79</v>
      </c>
    </row>
    <row r="73" ht="20" customHeight="1" spans="1:8" x14ac:dyDescent="0.25">
      <c r="A73" s="22" t="s">
        <v>67</v>
      </c>
      <c r="B73" s="22" t="s">
        <v>31</v>
      </c>
      <c r="C73" s="23" t="s">
        <v>71</v>
      </c>
      <c r="D73" s="6" t="s">
        <v>4</v>
      </c>
      <c r="E73" s="22" t="s">
        <v>114</v>
      </c>
      <c r="F73" s="22" t="s">
        <v>433</v>
      </c>
      <c r="G73" s="22" t="s">
        <v>302</v>
      </c>
      <c r="H73" s="32" t="s">
        <v>79</v>
      </c>
    </row>
    <row r="74" ht="20" customHeight="1" spans="1:8" x14ac:dyDescent="0.25">
      <c r="A74" s="24" t="s">
        <v>68</v>
      </c>
      <c r="B74" s="24" t="s">
        <v>34</v>
      </c>
      <c r="C74" s="25" t="s">
        <v>71</v>
      </c>
      <c r="D74" s="6" t="s">
        <v>4</v>
      </c>
      <c r="E74" s="24" t="s">
        <v>117</v>
      </c>
      <c r="F74" s="24" t="s">
        <v>504</v>
      </c>
      <c r="G74" s="24" t="s">
        <v>206</v>
      </c>
      <c r="H74" s="34" t="s">
        <v>506</v>
      </c>
    </row>
    <row r="75" ht="22" customHeight="1" spans="1:8" x14ac:dyDescent="0.25">
      <c r="A75" s="26" t="s">
        <v>69</v>
      </c>
      <c r="B75" s="26"/>
      <c r="C75" s="26"/>
      <c r="D75" s="26"/>
      <c r="E75" s="26"/>
      <c r="F75" s="26"/>
      <c r="G75" s="27" t="s">
        <v>675</v>
      </c>
      <c r="H75" s="28" t="s">
        <v>12</v>
      </c>
    </row>
  </sheetData>
  <mergeCells count="6">
    <mergeCell ref="A1:P1"/>
    <mergeCell ref="A2:P2"/>
    <mergeCell ref="A9:H9"/>
    <mergeCell ref="A41:F41"/>
    <mergeCell ref="A43:H43"/>
    <mergeCell ref="A75:F7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0"/>
  <sheetViews>
    <sheetView workbookViewId="0"/>
  </sheetViews>
  <sheetFormatPr defaultRowHeight="15" outlineLevelRow="0" outlineLevelCol="0" x14ac:dyDescent="55"/>
  <cols>
    <col min="1" max="1" width="28" customWidth="1"/>
    <col min="2" max="2" width="20" customWidth="1"/>
    <col min="3" max="4" width="13" customWidth="1"/>
    <col min="5" max="7" width="18" customWidth="1"/>
    <col min="8" max="10" width="14" customWidth="1"/>
    <col min="11" max="12" width="6" customWidth="1"/>
    <col min="13" max="13" width="28" customWidth="1"/>
    <col min="14" max="14" width="14" customWidth="1"/>
    <col min="15" max="16" width="18" customWidth="1"/>
  </cols>
  <sheetData>
    <row r="1" ht="30" customHeight="1" spans="1:16" x14ac:dyDescent="0.25">
      <c r="A1" s="1" t="s">
        <v>676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2" customHeight="1" spans="1:16" x14ac:dyDescent="0.25">
      <c r="A2" s="2" t="s">
        <v>677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26" customHeight="1" spans="1:1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</row>
    <row r="5" ht="22" customHeight="1" spans="1:16" x14ac:dyDescent="0.25">
      <c r="A5" s="4" t="s">
        <v>678</v>
      </c>
      <c r="B5" s="5">
        <v>30</v>
      </c>
      <c r="C5" s="6">
        <v>22</v>
      </c>
      <c r="D5" s="7">
        <v>0</v>
      </c>
      <c r="E5" s="8">
        <v>0</v>
      </c>
      <c r="F5" s="9">
        <v>2</v>
      </c>
      <c r="G5" s="10">
        <v>2</v>
      </c>
      <c r="H5" s="11">
        <v>0</v>
      </c>
      <c r="I5" s="12">
        <v>5</v>
      </c>
      <c r="J5" s="13">
        <v>1</v>
      </c>
      <c r="K5" s="14" t="s">
        <v>12</v>
      </c>
      <c r="L5" s="14" t="s">
        <v>12</v>
      </c>
      <c r="M5" s="15">
        <v>20.5</v>
      </c>
      <c r="N5" s="16">
        <v>2</v>
      </c>
      <c r="O5" s="17">
        <v>18.5</v>
      </c>
      <c r="P5" s="18" t="s">
        <v>147</v>
      </c>
    </row>
    <row r="6" ht="22" customHeight="1" spans="1:16" x14ac:dyDescent="0.25">
      <c r="A6" s="19" t="s">
        <v>679</v>
      </c>
      <c r="B6" s="5">
        <v>30</v>
      </c>
      <c r="C6" s="6">
        <v>22.5</v>
      </c>
      <c r="D6" s="7">
        <v>0</v>
      </c>
      <c r="E6" s="8">
        <v>1</v>
      </c>
      <c r="F6" s="9">
        <v>1</v>
      </c>
      <c r="G6" s="10">
        <v>1.5</v>
      </c>
      <c r="H6" s="11">
        <v>0</v>
      </c>
      <c r="I6" s="12">
        <v>5</v>
      </c>
      <c r="J6" s="13">
        <v>1</v>
      </c>
      <c r="K6" s="14" t="s">
        <v>12</v>
      </c>
      <c r="L6" s="14" t="s">
        <v>12</v>
      </c>
      <c r="M6" s="15">
        <v>21</v>
      </c>
      <c r="N6" s="16">
        <v>1.5</v>
      </c>
      <c r="O6" s="17">
        <v>19.5</v>
      </c>
      <c r="P6" s="18" t="s">
        <v>147</v>
      </c>
    </row>
    <row r="7" ht="22" customHeight="1" spans="1:16" x14ac:dyDescent="0.25">
      <c r="A7" s="4" t="s">
        <v>680</v>
      </c>
      <c r="B7" s="5">
        <v>30</v>
      </c>
      <c r="C7" s="6">
        <v>19.5</v>
      </c>
      <c r="D7" s="7">
        <v>0</v>
      </c>
      <c r="E7" s="8">
        <v>1</v>
      </c>
      <c r="F7" s="9">
        <v>5</v>
      </c>
      <c r="G7" s="10">
        <v>5.5</v>
      </c>
      <c r="H7" s="11">
        <v>0</v>
      </c>
      <c r="I7" s="12">
        <v>5</v>
      </c>
      <c r="J7" s="13">
        <v>0</v>
      </c>
      <c r="K7" s="14" t="s">
        <v>12</v>
      </c>
      <c r="L7" s="14" t="s">
        <v>12</v>
      </c>
      <c r="M7" s="15">
        <v>18.5</v>
      </c>
      <c r="N7" s="16">
        <v>5.5</v>
      </c>
      <c r="O7" s="17">
        <v>13</v>
      </c>
      <c r="P7" s="18" t="s">
        <v>429</v>
      </c>
    </row>
    <row r="8" ht="22" customHeight="1" spans="1:16" x14ac:dyDescent="0.25">
      <c r="A8" s="19" t="s">
        <v>681</v>
      </c>
      <c r="B8" s="5">
        <v>30</v>
      </c>
      <c r="C8" s="6">
        <v>20</v>
      </c>
      <c r="D8" s="7">
        <v>0</v>
      </c>
      <c r="E8" s="8">
        <v>0</v>
      </c>
      <c r="F8" s="9">
        <v>6</v>
      </c>
      <c r="G8" s="10">
        <v>6</v>
      </c>
      <c r="H8" s="11">
        <v>0</v>
      </c>
      <c r="I8" s="12">
        <v>4</v>
      </c>
      <c r="J8" s="13">
        <v>0</v>
      </c>
      <c r="K8" s="14" t="s">
        <v>12</v>
      </c>
      <c r="L8" s="14" t="s">
        <v>12</v>
      </c>
      <c r="M8" s="15">
        <v>13.5</v>
      </c>
      <c r="N8" s="16">
        <v>6</v>
      </c>
      <c r="O8" s="17">
        <v>7.5</v>
      </c>
      <c r="P8" s="18" t="s">
        <v>99</v>
      </c>
    </row>
    <row r="9" ht="22" customHeight="1" spans="1:16" x14ac:dyDescent="0.25">
      <c r="A9" s="4" t="s">
        <v>682</v>
      </c>
      <c r="B9" s="5">
        <v>29.5</v>
      </c>
      <c r="C9" s="6">
        <v>23.5</v>
      </c>
      <c r="D9" s="7">
        <v>0.5</v>
      </c>
      <c r="E9" s="8">
        <v>0</v>
      </c>
      <c r="F9" s="9">
        <v>0</v>
      </c>
      <c r="G9" s="10">
        <v>0</v>
      </c>
      <c r="H9" s="11">
        <v>0</v>
      </c>
      <c r="I9" s="12">
        <v>5</v>
      </c>
      <c r="J9" s="13">
        <v>1</v>
      </c>
      <c r="K9" s="14" t="s">
        <v>12</v>
      </c>
      <c r="L9" s="14" t="s">
        <v>12</v>
      </c>
      <c r="M9" s="15">
        <v>24.5</v>
      </c>
      <c r="N9" s="16">
        <v>0</v>
      </c>
      <c r="O9" s="17">
        <v>24.5</v>
      </c>
      <c r="P9" s="18" t="s">
        <v>119</v>
      </c>
    </row>
    <row r="10" ht="22" customHeight="1" spans="1:16" x14ac:dyDescent="0.25">
      <c r="A10" s="19" t="s">
        <v>683</v>
      </c>
      <c r="B10" s="5">
        <v>30</v>
      </c>
      <c r="C10" s="6">
        <v>23</v>
      </c>
      <c r="D10" s="7">
        <v>0</v>
      </c>
      <c r="E10" s="8">
        <v>0</v>
      </c>
      <c r="F10" s="9">
        <v>2</v>
      </c>
      <c r="G10" s="10">
        <v>2</v>
      </c>
      <c r="H10" s="11">
        <v>0</v>
      </c>
      <c r="I10" s="12">
        <v>5</v>
      </c>
      <c r="J10" s="13">
        <v>0</v>
      </c>
      <c r="K10" s="14" t="s">
        <v>12</v>
      </c>
      <c r="L10" s="14" t="s">
        <v>12</v>
      </c>
      <c r="M10" s="15">
        <v>14.5</v>
      </c>
      <c r="N10" s="16">
        <v>2</v>
      </c>
      <c r="O10" s="17">
        <v>12.5</v>
      </c>
      <c r="P10" s="18" t="s">
        <v>147</v>
      </c>
    </row>
    <row r="11" ht="22" customHeight="1" spans="1:16" x14ac:dyDescent="0.25">
      <c r="A11" s="4" t="s">
        <v>684</v>
      </c>
      <c r="B11" s="5">
        <v>30</v>
      </c>
      <c r="C11" s="6">
        <v>22</v>
      </c>
      <c r="D11" s="7">
        <v>0</v>
      </c>
      <c r="E11" s="8">
        <v>0</v>
      </c>
      <c r="F11" s="9">
        <v>2</v>
      </c>
      <c r="G11" s="10">
        <v>2</v>
      </c>
      <c r="H11" s="11">
        <v>0</v>
      </c>
      <c r="I11" s="12">
        <v>5</v>
      </c>
      <c r="J11" s="13">
        <v>1</v>
      </c>
      <c r="K11" s="14" t="s">
        <v>12</v>
      </c>
      <c r="L11" s="14" t="s">
        <v>12</v>
      </c>
      <c r="M11" s="15">
        <v>16</v>
      </c>
      <c r="N11" s="16">
        <v>2</v>
      </c>
      <c r="O11" s="17">
        <v>14</v>
      </c>
      <c r="P11" s="18" t="s">
        <v>414</v>
      </c>
    </row>
    <row r="12" ht="22" customHeight="1" spans="1:16" x14ac:dyDescent="0.25">
      <c r="A12" s="19" t="s">
        <v>685</v>
      </c>
      <c r="B12" s="5">
        <v>29</v>
      </c>
      <c r="C12" s="6">
        <v>23</v>
      </c>
      <c r="D12" s="7">
        <v>0</v>
      </c>
      <c r="E12" s="8">
        <v>0</v>
      </c>
      <c r="F12" s="9">
        <v>0</v>
      </c>
      <c r="G12" s="10">
        <v>0</v>
      </c>
      <c r="H12" s="11">
        <v>1</v>
      </c>
      <c r="I12" s="12">
        <v>5</v>
      </c>
      <c r="J12" s="13">
        <v>1</v>
      </c>
      <c r="K12" s="14" t="s">
        <v>12</v>
      </c>
      <c r="L12" s="14" t="s">
        <v>12</v>
      </c>
      <c r="M12" s="15">
        <v>0</v>
      </c>
      <c r="N12" s="16">
        <v>0</v>
      </c>
      <c r="O12" s="17">
        <v>0</v>
      </c>
      <c r="P12" s="18" t="s">
        <v>686</v>
      </c>
    </row>
    <row r="13" ht="22" customHeight="1" spans="1:16" x14ac:dyDescent="0.25">
      <c r="A13" s="4" t="s">
        <v>687</v>
      </c>
      <c r="B13" s="5">
        <v>29</v>
      </c>
      <c r="C13" s="6">
        <v>23</v>
      </c>
      <c r="D13" s="7">
        <v>0</v>
      </c>
      <c r="E13" s="8">
        <v>0</v>
      </c>
      <c r="F13" s="9">
        <v>0</v>
      </c>
      <c r="G13" s="10">
        <v>0</v>
      </c>
      <c r="H13" s="11">
        <v>1</v>
      </c>
      <c r="I13" s="12">
        <v>5</v>
      </c>
      <c r="J13" s="13">
        <v>1</v>
      </c>
      <c r="K13" s="14" t="s">
        <v>12</v>
      </c>
      <c r="L13" s="14" t="s">
        <v>12</v>
      </c>
      <c r="M13" s="15">
        <v>10</v>
      </c>
      <c r="N13" s="16">
        <v>0</v>
      </c>
      <c r="O13" s="17">
        <v>10</v>
      </c>
      <c r="P13" s="18" t="s">
        <v>232</v>
      </c>
    </row>
    <row r="14" ht="22" customHeight="1" spans="1:16" x14ac:dyDescent="0.25">
      <c r="A14" s="19" t="s">
        <v>688</v>
      </c>
      <c r="B14" s="5">
        <v>30</v>
      </c>
      <c r="C14" s="6">
        <v>24</v>
      </c>
      <c r="D14" s="7">
        <v>0</v>
      </c>
      <c r="E14" s="8">
        <v>0</v>
      </c>
      <c r="F14" s="9">
        <v>1</v>
      </c>
      <c r="G14" s="10">
        <v>1</v>
      </c>
      <c r="H14" s="11">
        <v>0</v>
      </c>
      <c r="I14" s="12">
        <v>4</v>
      </c>
      <c r="J14" s="13">
        <v>1</v>
      </c>
      <c r="K14" s="14" t="s">
        <v>12</v>
      </c>
      <c r="L14" s="14" t="s">
        <v>12</v>
      </c>
      <c r="M14" s="15">
        <v>40.5</v>
      </c>
      <c r="N14" s="16">
        <v>1</v>
      </c>
      <c r="O14" s="17">
        <v>39.5</v>
      </c>
      <c r="P14" s="18" t="s">
        <v>142</v>
      </c>
    </row>
    <row r="15" ht="22" customHeight="1" spans="1:16" x14ac:dyDescent="0.25">
      <c r="A15" s="4" t="s">
        <v>689</v>
      </c>
      <c r="B15" s="5">
        <v>30</v>
      </c>
      <c r="C15" s="6">
        <v>20</v>
      </c>
      <c r="D15" s="7">
        <v>0</v>
      </c>
      <c r="E15" s="8">
        <v>0</v>
      </c>
      <c r="F15" s="9">
        <v>4</v>
      </c>
      <c r="G15" s="10">
        <v>4</v>
      </c>
      <c r="H15" s="11">
        <v>0</v>
      </c>
      <c r="I15" s="12">
        <v>5</v>
      </c>
      <c r="J15" s="13">
        <v>1</v>
      </c>
      <c r="K15" s="14" t="s">
        <v>12</v>
      </c>
      <c r="L15" s="14" t="s">
        <v>12</v>
      </c>
      <c r="M15" s="15">
        <v>19.5</v>
      </c>
      <c r="N15" s="16">
        <v>4</v>
      </c>
      <c r="O15" s="17">
        <v>15.5</v>
      </c>
      <c r="P15" s="18" t="s">
        <v>429</v>
      </c>
    </row>
    <row r="18" ht="26" customHeight="1" spans="1:8" x14ac:dyDescent="0.25">
      <c r="A18" s="20" t="s">
        <v>690</v>
      </c>
      <c r="B18" s="20"/>
      <c r="C18" s="20"/>
      <c r="D18" s="20"/>
      <c r="E18" s="20"/>
      <c r="F18" s="20"/>
      <c r="G18" s="20"/>
      <c r="H18" s="20"/>
    </row>
    <row r="19" ht="22" customHeight="1" spans="1:8" x14ac:dyDescent="0.25">
      <c r="A19" s="21" t="s">
        <v>22</v>
      </c>
      <c r="B19" s="21" t="s">
        <v>23</v>
      </c>
      <c r="C19" s="21" t="s">
        <v>24</v>
      </c>
      <c r="D19" s="21" t="s">
        <v>25</v>
      </c>
      <c r="E19" s="21" t="s">
        <v>26</v>
      </c>
      <c r="F19" s="21" t="s">
        <v>27</v>
      </c>
      <c r="G19" s="21" t="s">
        <v>28</v>
      </c>
      <c r="H19" s="21" t="s">
        <v>29</v>
      </c>
    </row>
    <row r="20" ht="20" customHeight="1" spans="1:8" x14ac:dyDescent="0.25">
      <c r="A20" s="22" t="s">
        <v>30</v>
      </c>
      <c r="B20" s="22" t="s">
        <v>31</v>
      </c>
      <c r="C20" s="23" t="s">
        <v>71</v>
      </c>
      <c r="D20" s="6" t="s">
        <v>4</v>
      </c>
      <c r="E20" s="22" t="s">
        <v>598</v>
      </c>
      <c r="F20" s="22" t="s">
        <v>587</v>
      </c>
      <c r="G20" s="22" t="s">
        <v>250</v>
      </c>
      <c r="H20" s="29" t="s">
        <v>588</v>
      </c>
    </row>
    <row r="21" ht="20" customHeight="1" spans="1:8" x14ac:dyDescent="0.25">
      <c r="A21" s="24" t="s">
        <v>33</v>
      </c>
      <c r="B21" s="24" t="s">
        <v>34</v>
      </c>
      <c r="C21" s="25" t="s">
        <v>71</v>
      </c>
      <c r="D21" s="6" t="s">
        <v>4</v>
      </c>
      <c r="E21" s="24" t="s">
        <v>691</v>
      </c>
      <c r="F21" s="24" t="s">
        <v>692</v>
      </c>
      <c r="G21" s="24" t="s">
        <v>130</v>
      </c>
      <c r="H21" s="34" t="s">
        <v>693</v>
      </c>
    </row>
    <row r="22" ht="20" customHeight="1" spans="1:8" x14ac:dyDescent="0.25">
      <c r="A22" s="22" t="s">
        <v>35</v>
      </c>
      <c r="B22" s="22" t="s">
        <v>36</v>
      </c>
      <c r="C22" s="23" t="s">
        <v>71</v>
      </c>
      <c r="D22" s="6" t="s">
        <v>4</v>
      </c>
      <c r="E22" s="22" t="s">
        <v>694</v>
      </c>
      <c r="F22" s="22" t="s">
        <v>695</v>
      </c>
      <c r="G22" s="22" t="s">
        <v>429</v>
      </c>
      <c r="H22" s="29" t="s">
        <v>696</v>
      </c>
    </row>
    <row r="23" ht="20" customHeight="1" spans="1:8" x14ac:dyDescent="0.25">
      <c r="A23" s="24" t="s">
        <v>37</v>
      </c>
      <c r="B23" s="24" t="s">
        <v>38</v>
      </c>
      <c r="C23" s="25" t="s">
        <v>71</v>
      </c>
      <c r="D23" s="31" t="s">
        <v>11</v>
      </c>
      <c r="E23" s="24" t="s">
        <v>12</v>
      </c>
      <c r="F23" s="24" t="s">
        <v>12</v>
      </c>
      <c r="G23" s="24" t="s">
        <v>12</v>
      </c>
      <c r="H23" s="24" t="s">
        <v>32</v>
      </c>
    </row>
    <row r="24" ht="20" customHeight="1" spans="1:8" x14ac:dyDescent="0.25">
      <c r="A24" s="22" t="s">
        <v>39</v>
      </c>
      <c r="B24" s="22" t="s">
        <v>40</v>
      </c>
      <c r="C24" s="23" t="s">
        <v>71</v>
      </c>
      <c r="D24" s="10" t="s">
        <v>87</v>
      </c>
      <c r="E24" s="22" t="s">
        <v>12</v>
      </c>
      <c r="F24" s="22" t="s">
        <v>12</v>
      </c>
      <c r="G24" s="22" t="s">
        <v>12</v>
      </c>
      <c r="H24" s="22" t="s">
        <v>32</v>
      </c>
    </row>
    <row r="25" ht="20" customHeight="1" spans="1:8" x14ac:dyDescent="0.25">
      <c r="A25" s="24" t="s">
        <v>41</v>
      </c>
      <c r="B25" s="24" t="s">
        <v>42</v>
      </c>
      <c r="C25" s="25" t="s">
        <v>71</v>
      </c>
      <c r="D25" s="33" t="s">
        <v>86</v>
      </c>
      <c r="E25" s="24" t="s">
        <v>12</v>
      </c>
      <c r="F25" s="24" t="s">
        <v>12</v>
      </c>
      <c r="G25" s="24" t="s">
        <v>12</v>
      </c>
      <c r="H25" s="24" t="s">
        <v>32</v>
      </c>
    </row>
    <row r="26" ht="20" customHeight="1" spans="1:8" x14ac:dyDescent="0.25">
      <c r="A26" s="22" t="s">
        <v>44</v>
      </c>
      <c r="B26" s="22" t="s">
        <v>45</v>
      </c>
      <c r="C26" s="23" t="s">
        <v>71</v>
      </c>
      <c r="D26" s="6" t="s">
        <v>4</v>
      </c>
      <c r="E26" s="22" t="s">
        <v>697</v>
      </c>
      <c r="F26" s="22" t="s">
        <v>587</v>
      </c>
      <c r="G26" s="22" t="s">
        <v>250</v>
      </c>
      <c r="H26" s="29" t="s">
        <v>588</v>
      </c>
    </row>
    <row r="27" ht="20" customHeight="1" spans="1:8" x14ac:dyDescent="0.25">
      <c r="A27" s="24" t="s">
        <v>46</v>
      </c>
      <c r="B27" s="24" t="s">
        <v>31</v>
      </c>
      <c r="C27" s="25" t="s">
        <v>71</v>
      </c>
      <c r="D27" s="6" t="s">
        <v>4</v>
      </c>
      <c r="E27" s="24" t="s">
        <v>698</v>
      </c>
      <c r="F27" s="24" t="s">
        <v>699</v>
      </c>
      <c r="G27" s="24" t="s">
        <v>161</v>
      </c>
      <c r="H27" s="34" t="s">
        <v>700</v>
      </c>
    </row>
    <row r="28" ht="20" customHeight="1" spans="1:8" x14ac:dyDescent="0.25">
      <c r="A28" s="22" t="s">
        <v>47</v>
      </c>
      <c r="B28" s="22" t="s">
        <v>34</v>
      </c>
      <c r="C28" s="23" t="s">
        <v>71</v>
      </c>
      <c r="D28" s="6" t="s">
        <v>4</v>
      </c>
      <c r="E28" s="22" t="s">
        <v>598</v>
      </c>
      <c r="F28" s="22" t="s">
        <v>701</v>
      </c>
      <c r="G28" s="22" t="s">
        <v>267</v>
      </c>
      <c r="H28" s="29" t="s">
        <v>702</v>
      </c>
    </row>
    <row r="29" ht="20" customHeight="1" spans="1:8" x14ac:dyDescent="0.25">
      <c r="A29" s="24" t="s">
        <v>48</v>
      </c>
      <c r="B29" s="24" t="s">
        <v>36</v>
      </c>
      <c r="C29" s="25" t="s">
        <v>71</v>
      </c>
      <c r="D29" s="6" t="s">
        <v>4</v>
      </c>
      <c r="E29" s="24" t="s">
        <v>703</v>
      </c>
      <c r="F29" s="24" t="s">
        <v>704</v>
      </c>
      <c r="G29" s="24" t="s">
        <v>259</v>
      </c>
      <c r="H29" s="34" t="s">
        <v>705</v>
      </c>
    </row>
    <row r="30" ht="20" customHeight="1" spans="1:8" x14ac:dyDescent="0.25">
      <c r="A30" s="22" t="s">
        <v>49</v>
      </c>
      <c r="B30" s="22" t="s">
        <v>38</v>
      </c>
      <c r="C30" s="23" t="s">
        <v>71</v>
      </c>
      <c r="D30" s="6" t="s">
        <v>4</v>
      </c>
      <c r="E30" s="22" t="s">
        <v>698</v>
      </c>
      <c r="F30" s="22" t="s">
        <v>701</v>
      </c>
      <c r="G30" s="22" t="s">
        <v>99</v>
      </c>
      <c r="H30" s="29" t="s">
        <v>702</v>
      </c>
    </row>
    <row r="31" ht="20" customHeight="1" spans="1:8" x14ac:dyDescent="0.25">
      <c r="A31" s="24" t="s">
        <v>50</v>
      </c>
      <c r="B31" s="24" t="s">
        <v>40</v>
      </c>
      <c r="C31" s="25" t="s">
        <v>71</v>
      </c>
      <c r="D31" s="33" t="s">
        <v>86</v>
      </c>
      <c r="E31" s="24" t="s">
        <v>12</v>
      </c>
      <c r="F31" s="24" t="s">
        <v>12</v>
      </c>
      <c r="G31" s="24" t="s">
        <v>12</v>
      </c>
      <c r="H31" s="24" t="s">
        <v>32</v>
      </c>
    </row>
    <row r="32" ht="20" customHeight="1" spans="1:8" x14ac:dyDescent="0.25">
      <c r="A32" s="22" t="s">
        <v>51</v>
      </c>
      <c r="B32" s="22" t="s">
        <v>42</v>
      </c>
      <c r="C32" s="23" t="s">
        <v>71</v>
      </c>
      <c r="D32" s="35" t="s">
        <v>86</v>
      </c>
      <c r="E32" s="22" t="s">
        <v>12</v>
      </c>
      <c r="F32" s="22" t="s">
        <v>12</v>
      </c>
      <c r="G32" s="22" t="s">
        <v>12</v>
      </c>
      <c r="H32" s="22" t="s">
        <v>32</v>
      </c>
    </row>
    <row r="33" ht="20" customHeight="1" spans="1:8" x14ac:dyDescent="0.25">
      <c r="A33" s="24" t="s">
        <v>52</v>
      </c>
      <c r="B33" s="24" t="s">
        <v>45</v>
      </c>
      <c r="C33" s="25" t="s">
        <v>71</v>
      </c>
      <c r="D33" s="6" t="s">
        <v>4</v>
      </c>
      <c r="E33" s="24" t="s">
        <v>598</v>
      </c>
      <c r="F33" s="24" t="s">
        <v>544</v>
      </c>
      <c r="G33" s="24" t="s">
        <v>568</v>
      </c>
      <c r="H33" s="34" t="s">
        <v>665</v>
      </c>
    </row>
    <row r="34" ht="20" customHeight="1" spans="1:8" x14ac:dyDescent="0.25">
      <c r="A34" s="22" t="s">
        <v>53</v>
      </c>
      <c r="B34" s="22" t="s">
        <v>31</v>
      </c>
      <c r="C34" s="23" t="s">
        <v>71</v>
      </c>
      <c r="D34" s="6" t="s">
        <v>4</v>
      </c>
      <c r="E34" s="22" t="s">
        <v>698</v>
      </c>
      <c r="F34" s="22" t="s">
        <v>706</v>
      </c>
      <c r="G34" s="22" t="s">
        <v>659</v>
      </c>
      <c r="H34" s="29" t="s">
        <v>707</v>
      </c>
    </row>
    <row r="35" ht="20" customHeight="1" spans="1:8" x14ac:dyDescent="0.25">
      <c r="A35" s="24" t="s">
        <v>54</v>
      </c>
      <c r="B35" s="24" t="s">
        <v>34</v>
      </c>
      <c r="C35" s="25" t="s">
        <v>71</v>
      </c>
      <c r="D35" s="6" t="s">
        <v>4</v>
      </c>
      <c r="E35" s="24" t="s">
        <v>698</v>
      </c>
      <c r="F35" s="24" t="s">
        <v>587</v>
      </c>
      <c r="G35" s="24" t="s">
        <v>329</v>
      </c>
      <c r="H35" s="34" t="s">
        <v>588</v>
      </c>
    </row>
    <row r="36" ht="20" customHeight="1" spans="1:8" x14ac:dyDescent="0.25">
      <c r="A36" s="22" t="s">
        <v>55</v>
      </c>
      <c r="B36" s="22" t="s">
        <v>36</v>
      </c>
      <c r="C36" s="23" t="s">
        <v>71</v>
      </c>
      <c r="D36" s="6" t="s">
        <v>4</v>
      </c>
      <c r="E36" s="22" t="s">
        <v>698</v>
      </c>
      <c r="F36" s="22" t="s">
        <v>508</v>
      </c>
      <c r="G36" s="22" t="s">
        <v>708</v>
      </c>
      <c r="H36" s="29" t="s">
        <v>709</v>
      </c>
    </row>
    <row r="37" ht="20" customHeight="1" spans="1:8" x14ac:dyDescent="0.25">
      <c r="A37" s="24" t="s">
        <v>56</v>
      </c>
      <c r="B37" s="24" t="s">
        <v>38</v>
      </c>
      <c r="C37" s="25" t="s">
        <v>71</v>
      </c>
      <c r="D37" s="6" t="s">
        <v>4</v>
      </c>
      <c r="E37" s="24" t="s">
        <v>697</v>
      </c>
      <c r="F37" s="24" t="s">
        <v>704</v>
      </c>
      <c r="G37" s="24" t="s">
        <v>147</v>
      </c>
      <c r="H37" s="34" t="s">
        <v>705</v>
      </c>
    </row>
    <row r="38" ht="20" customHeight="1" spans="1:8" x14ac:dyDescent="0.25">
      <c r="A38" s="22" t="s">
        <v>57</v>
      </c>
      <c r="B38" s="22" t="s">
        <v>40</v>
      </c>
      <c r="C38" s="23" t="s">
        <v>71</v>
      </c>
      <c r="D38" s="6" t="s">
        <v>4</v>
      </c>
      <c r="E38" s="22" t="s">
        <v>697</v>
      </c>
      <c r="F38" s="22" t="s">
        <v>710</v>
      </c>
      <c r="G38" s="22" t="s">
        <v>711</v>
      </c>
      <c r="H38" s="29" t="s">
        <v>712</v>
      </c>
    </row>
    <row r="39" ht="20" customHeight="1" spans="1:8" x14ac:dyDescent="0.25">
      <c r="A39" s="24" t="s">
        <v>58</v>
      </c>
      <c r="B39" s="24" t="s">
        <v>42</v>
      </c>
      <c r="C39" s="25" t="s">
        <v>71</v>
      </c>
      <c r="D39" s="33" t="s">
        <v>86</v>
      </c>
      <c r="E39" s="24" t="s">
        <v>12</v>
      </c>
      <c r="F39" s="24" t="s">
        <v>12</v>
      </c>
      <c r="G39" s="24" t="s">
        <v>12</v>
      </c>
      <c r="H39" s="24" t="s">
        <v>32</v>
      </c>
    </row>
    <row r="40" ht="20" customHeight="1" spans="1:8" x14ac:dyDescent="0.25">
      <c r="A40" s="22" t="s">
        <v>59</v>
      </c>
      <c r="B40" s="22" t="s">
        <v>45</v>
      </c>
      <c r="C40" s="23" t="s">
        <v>71</v>
      </c>
      <c r="D40" s="6" t="s">
        <v>4</v>
      </c>
      <c r="E40" s="22" t="s">
        <v>698</v>
      </c>
      <c r="F40" s="22" t="s">
        <v>692</v>
      </c>
      <c r="G40" s="22" t="s">
        <v>329</v>
      </c>
      <c r="H40" s="29" t="s">
        <v>693</v>
      </c>
    </row>
    <row r="41" ht="20" customHeight="1" spans="1:8" x14ac:dyDescent="0.25">
      <c r="A41" s="24" t="s">
        <v>60</v>
      </c>
      <c r="B41" s="24" t="s">
        <v>31</v>
      </c>
      <c r="C41" s="25" t="s">
        <v>71</v>
      </c>
      <c r="D41" s="6" t="s">
        <v>4</v>
      </c>
      <c r="E41" s="24" t="s">
        <v>598</v>
      </c>
      <c r="F41" s="24" t="s">
        <v>713</v>
      </c>
      <c r="G41" s="24" t="s">
        <v>161</v>
      </c>
      <c r="H41" s="34" t="s">
        <v>714</v>
      </c>
    </row>
    <row r="42" ht="20" customHeight="1" spans="1:8" x14ac:dyDescent="0.25">
      <c r="A42" s="22" t="s">
        <v>61</v>
      </c>
      <c r="B42" s="22" t="s">
        <v>34</v>
      </c>
      <c r="C42" s="23" t="s">
        <v>71</v>
      </c>
      <c r="D42" s="6" t="s">
        <v>4</v>
      </c>
      <c r="E42" s="22" t="s">
        <v>598</v>
      </c>
      <c r="F42" s="22" t="s">
        <v>715</v>
      </c>
      <c r="G42" s="22" t="s">
        <v>99</v>
      </c>
      <c r="H42" s="29" t="s">
        <v>716</v>
      </c>
    </row>
    <row r="43" ht="20" customHeight="1" spans="1:8" x14ac:dyDescent="0.25">
      <c r="A43" s="24" t="s">
        <v>62</v>
      </c>
      <c r="B43" s="24" t="s">
        <v>36</v>
      </c>
      <c r="C43" s="25" t="s">
        <v>71</v>
      </c>
      <c r="D43" s="6" t="s">
        <v>4</v>
      </c>
      <c r="E43" s="24" t="s">
        <v>598</v>
      </c>
      <c r="F43" s="24" t="s">
        <v>587</v>
      </c>
      <c r="G43" s="24" t="s">
        <v>180</v>
      </c>
      <c r="H43" s="34" t="s">
        <v>588</v>
      </c>
    </row>
    <row r="44" ht="20" customHeight="1" spans="1:8" x14ac:dyDescent="0.25">
      <c r="A44" s="22" t="s">
        <v>63</v>
      </c>
      <c r="B44" s="22" t="s">
        <v>38</v>
      </c>
      <c r="C44" s="23" t="s">
        <v>71</v>
      </c>
      <c r="D44" s="10" t="s">
        <v>87</v>
      </c>
      <c r="E44" s="22" t="s">
        <v>12</v>
      </c>
      <c r="F44" s="22" t="s">
        <v>12</v>
      </c>
      <c r="G44" s="22" t="s">
        <v>12</v>
      </c>
      <c r="H44" s="22" t="s">
        <v>32</v>
      </c>
    </row>
    <row r="45" ht="20" customHeight="1" spans="1:8" x14ac:dyDescent="0.25">
      <c r="A45" s="24" t="s">
        <v>64</v>
      </c>
      <c r="B45" s="24" t="s">
        <v>40</v>
      </c>
      <c r="C45" s="25" t="s">
        <v>71</v>
      </c>
      <c r="D45" s="6" t="s">
        <v>4</v>
      </c>
      <c r="E45" s="24" t="s">
        <v>703</v>
      </c>
      <c r="F45" s="24" t="s">
        <v>717</v>
      </c>
      <c r="G45" s="24" t="s">
        <v>190</v>
      </c>
      <c r="H45" s="34" t="s">
        <v>532</v>
      </c>
    </row>
    <row r="46" ht="20" customHeight="1" spans="1:8" x14ac:dyDescent="0.25">
      <c r="A46" s="22" t="s">
        <v>65</v>
      </c>
      <c r="B46" s="22" t="s">
        <v>42</v>
      </c>
      <c r="C46" s="23" t="s">
        <v>71</v>
      </c>
      <c r="D46" s="35" t="s">
        <v>86</v>
      </c>
      <c r="E46" s="22" t="s">
        <v>12</v>
      </c>
      <c r="F46" s="22" t="s">
        <v>12</v>
      </c>
      <c r="G46" s="22" t="s">
        <v>12</v>
      </c>
      <c r="H46" s="22" t="s">
        <v>32</v>
      </c>
    </row>
    <row r="47" ht="20" customHeight="1" spans="1:8" x14ac:dyDescent="0.25">
      <c r="A47" s="24" t="s">
        <v>66</v>
      </c>
      <c r="B47" s="24" t="s">
        <v>45</v>
      </c>
      <c r="C47" s="25" t="s">
        <v>71</v>
      </c>
      <c r="D47" s="6" t="s">
        <v>4</v>
      </c>
      <c r="E47" s="24" t="s">
        <v>718</v>
      </c>
      <c r="F47" s="24" t="s">
        <v>719</v>
      </c>
      <c r="G47" s="24" t="s">
        <v>171</v>
      </c>
      <c r="H47" s="34" t="s">
        <v>720</v>
      </c>
    </row>
    <row r="48" ht="20" customHeight="1" spans="1:8" x14ac:dyDescent="0.25">
      <c r="A48" s="22" t="s">
        <v>67</v>
      </c>
      <c r="B48" s="22" t="s">
        <v>31</v>
      </c>
      <c r="C48" s="23" t="s">
        <v>71</v>
      </c>
      <c r="D48" s="6" t="s">
        <v>4</v>
      </c>
      <c r="E48" s="22" t="s">
        <v>721</v>
      </c>
      <c r="F48" s="22" t="s">
        <v>695</v>
      </c>
      <c r="G48" s="22" t="s">
        <v>259</v>
      </c>
      <c r="H48" s="29" t="s">
        <v>696</v>
      </c>
    </row>
    <row r="49" ht="20" customHeight="1" spans="1:8" x14ac:dyDescent="0.25">
      <c r="A49" s="24" t="s">
        <v>68</v>
      </c>
      <c r="B49" s="24" t="s">
        <v>34</v>
      </c>
      <c r="C49" s="25" t="s">
        <v>71</v>
      </c>
      <c r="D49" s="6" t="s">
        <v>4</v>
      </c>
      <c r="E49" s="24" t="s">
        <v>691</v>
      </c>
      <c r="F49" s="24" t="s">
        <v>722</v>
      </c>
      <c r="G49" s="24" t="s">
        <v>171</v>
      </c>
      <c r="H49" s="34" t="s">
        <v>723</v>
      </c>
    </row>
    <row r="50" ht="22" customHeight="1" spans="1:8" x14ac:dyDescent="0.25">
      <c r="A50" s="26" t="s">
        <v>69</v>
      </c>
      <c r="B50" s="26"/>
      <c r="C50" s="26"/>
      <c r="D50" s="26"/>
      <c r="E50" s="26"/>
      <c r="F50" s="26"/>
      <c r="G50" s="27" t="s">
        <v>724</v>
      </c>
      <c r="H50" s="28" t="s">
        <v>12</v>
      </c>
    </row>
    <row r="52" ht="26" customHeight="1" spans="1:8" x14ac:dyDescent="0.25">
      <c r="A52" s="20" t="s">
        <v>725</v>
      </c>
      <c r="B52" s="20"/>
      <c r="C52" s="20"/>
      <c r="D52" s="20"/>
      <c r="E52" s="20"/>
      <c r="F52" s="20"/>
      <c r="G52" s="20"/>
      <c r="H52" s="20"/>
    </row>
    <row r="53" ht="22" customHeight="1" spans="1:8" x14ac:dyDescent="0.25">
      <c r="A53" s="21" t="s">
        <v>22</v>
      </c>
      <c r="B53" s="21" t="s">
        <v>23</v>
      </c>
      <c r="C53" s="21" t="s">
        <v>24</v>
      </c>
      <c r="D53" s="21" t="s">
        <v>25</v>
      </c>
      <c r="E53" s="21" t="s">
        <v>26</v>
      </c>
      <c r="F53" s="21" t="s">
        <v>27</v>
      </c>
      <c r="G53" s="21" t="s">
        <v>28</v>
      </c>
      <c r="H53" s="21" t="s">
        <v>29</v>
      </c>
    </row>
    <row r="54" ht="20" customHeight="1" spans="1:8" x14ac:dyDescent="0.25">
      <c r="A54" s="22" t="s">
        <v>30</v>
      </c>
      <c r="B54" s="22" t="s">
        <v>31</v>
      </c>
      <c r="C54" s="23" t="s">
        <v>71</v>
      </c>
      <c r="D54" s="6" t="s">
        <v>4</v>
      </c>
      <c r="E54" s="22" t="s">
        <v>392</v>
      </c>
      <c r="F54" s="22" t="s">
        <v>321</v>
      </c>
      <c r="G54" s="22" t="s">
        <v>505</v>
      </c>
      <c r="H54" s="29" t="s">
        <v>394</v>
      </c>
    </row>
    <row r="55" ht="20" customHeight="1" spans="1:8" x14ac:dyDescent="0.25">
      <c r="A55" s="24" t="s">
        <v>33</v>
      </c>
      <c r="B55" s="24" t="s">
        <v>34</v>
      </c>
      <c r="C55" s="25" t="s">
        <v>71</v>
      </c>
      <c r="D55" s="6" t="s">
        <v>4</v>
      </c>
      <c r="E55" s="24" t="s">
        <v>372</v>
      </c>
      <c r="F55" s="24" t="s">
        <v>324</v>
      </c>
      <c r="G55" s="24" t="s">
        <v>161</v>
      </c>
      <c r="H55" s="30" t="s">
        <v>79</v>
      </c>
    </row>
    <row r="56" ht="20" customHeight="1" spans="1:8" x14ac:dyDescent="0.25">
      <c r="A56" s="22" t="s">
        <v>35</v>
      </c>
      <c r="B56" s="22" t="s">
        <v>36</v>
      </c>
      <c r="C56" s="23" t="s">
        <v>71</v>
      </c>
      <c r="D56" s="6" t="s">
        <v>4</v>
      </c>
      <c r="E56" s="22" t="s">
        <v>515</v>
      </c>
      <c r="F56" s="22" t="s">
        <v>338</v>
      </c>
      <c r="G56" s="22" t="s">
        <v>267</v>
      </c>
      <c r="H56" s="29" t="s">
        <v>517</v>
      </c>
    </row>
    <row r="57" ht="20" customHeight="1" spans="1:8" x14ac:dyDescent="0.25">
      <c r="A57" s="24" t="s">
        <v>37</v>
      </c>
      <c r="B57" s="24" t="s">
        <v>38</v>
      </c>
      <c r="C57" s="25" t="s">
        <v>71</v>
      </c>
      <c r="D57" s="31" t="s">
        <v>11</v>
      </c>
      <c r="E57" s="24" t="s">
        <v>12</v>
      </c>
      <c r="F57" s="24" t="s">
        <v>12</v>
      </c>
      <c r="G57" s="24" t="s">
        <v>12</v>
      </c>
      <c r="H57" s="24" t="s">
        <v>32</v>
      </c>
    </row>
    <row r="58" ht="20" customHeight="1" spans="1:8" x14ac:dyDescent="0.25">
      <c r="A58" s="22" t="s">
        <v>39</v>
      </c>
      <c r="B58" s="22" t="s">
        <v>40</v>
      </c>
      <c r="C58" s="23" t="s">
        <v>71</v>
      </c>
      <c r="D58" s="6" t="s">
        <v>4</v>
      </c>
      <c r="E58" s="22" t="s">
        <v>411</v>
      </c>
      <c r="F58" s="22" t="s">
        <v>237</v>
      </c>
      <c r="G58" s="22" t="s">
        <v>285</v>
      </c>
      <c r="H58" s="32" t="s">
        <v>79</v>
      </c>
    </row>
    <row r="59" ht="20" customHeight="1" spans="1:8" x14ac:dyDescent="0.25">
      <c r="A59" s="24" t="s">
        <v>41</v>
      </c>
      <c r="B59" s="24" t="s">
        <v>42</v>
      </c>
      <c r="C59" s="25" t="s">
        <v>71</v>
      </c>
      <c r="D59" s="33" t="s">
        <v>86</v>
      </c>
      <c r="E59" s="24" t="s">
        <v>12</v>
      </c>
      <c r="F59" s="24" t="s">
        <v>12</v>
      </c>
      <c r="G59" s="24" t="s">
        <v>12</v>
      </c>
      <c r="H59" s="24" t="s">
        <v>32</v>
      </c>
    </row>
    <row r="60" ht="20" customHeight="1" spans="1:8" x14ac:dyDescent="0.25">
      <c r="A60" s="22" t="s">
        <v>44</v>
      </c>
      <c r="B60" s="22" t="s">
        <v>45</v>
      </c>
      <c r="C60" s="23" t="s">
        <v>71</v>
      </c>
      <c r="D60" s="6" t="s">
        <v>4</v>
      </c>
      <c r="E60" s="22" t="s">
        <v>503</v>
      </c>
      <c r="F60" s="22" t="s">
        <v>395</v>
      </c>
      <c r="G60" s="22" t="s">
        <v>206</v>
      </c>
      <c r="H60" s="32" t="s">
        <v>79</v>
      </c>
    </row>
    <row r="61" ht="20" customHeight="1" spans="1:8" x14ac:dyDescent="0.25">
      <c r="A61" s="24" t="s">
        <v>46</v>
      </c>
      <c r="B61" s="24" t="s">
        <v>31</v>
      </c>
      <c r="C61" s="25" t="s">
        <v>71</v>
      </c>
      <c r="D61" s="6" t="s">
        <v>4</v>
      </c>
      <c r="E61" s="24" t="s">
        <v>362</v>
      </c>
      <c r="F61" s="24" t="s">
        <v>133</v>
      </c>
      <c r="G61" s="24" t="s">
        <v>250</v>
      </c>
      <c r="H61" s="30" t="s">
        <v>79</v>
      </c>
    </row>
    <row r="62" ht="20" customHeight="1" spans="1:8" x14ac:dyDescent="0.25">
      <c r="A62" s="22" t="s">
        <v>47</v>
      </c>
      <c r="B62" s="22" t="s">
        <v>34</v>
      </c>
      <c r="C62" s="23" t="s">
        <v>71</v>
      </c>
      <c r="D62" s="6" t="s">
        <v>4</v>
      </c>
      <c r="E62" s="22" t="s">
        <v>564</v>
      </c>
      <c r="F62" s="22" t="s">
        <v>354</v>
      </c>
      <c r="G62" s="22" t="s">
        <v>259</v>
      </c>
      <c r="H62" s="32" t="s">
        <v>79</v>
      </c>
    </row>
    <row r="63" ht="20" customHeight="1" spans="1:8" x14ac:dyDescent="0.25">
      <c r="A63" s="24" t="s">
        <v>48</v>
      </c>
      <c r="B63" s="24" t="s">
        <v>36</v>
      </c>
      <c r="C63" s="25" t="s">
        <v>71</v>
      </c>
      <c r="D63" s="6" t="s">
        <v>4</v>
      </c>
      <c r="E63" s="24" t="s">
        <v>385</v>
      </c>
      <c r="F63" s="24" t="s">
        <v>404</v>
      </c>
      <c r="G63" s="24" t="s">
        <v>726</v>
      </c>
      <c r="H63" s="30" t="s">
        <v>79</v>
      </c>
    </row>
    <row r="64" ht="20" customHeight="1" spans="1:8" x14ac:dyDescent="0.25">
      <c r="A64" s="22" t="s">
        <v>49</v>
      </c>
      <c r="B64" s="22" t="s">
        <v>38</v>
      </c>
      <c r="C64" s="23" t="s">
        <v>71</v>
      </c>
      <c r="D64" s="6" t="s">
        <v>4</v>
      </c>
      <c r="E64" s="22" t="s">
        <v>322</v>
      </c>
      <c r="F64" s="22" t="s">
        <v>344</v>
      </c>
      <c r="G64" s="22" t="s">
        <v>174</v>
      </c>
      <c r="H64" s="29" t="s">
        <v>323</v>
      </c>
    </row>
    <row r="65" ht="20" customHeight="1" spans="1:8" x14ac:dyDescent="0.25">
      <c r="A65" s="24" t="s">
        <v>50</v>
      </c>
      <c r="B65" s="24" t="s">
        <v>40</v>
      </c>
      <c r="C65" s="25" t="s">
        <v>71</v>
      </c>
      <c r="D65" s="33" t="s">
        <v>86</v>
      </c>
      <c r="E65" s="24" t="s">
        <v>12</v>
      </c>
      <c r="F65" s="24" t="s">
        <v>12</v>
      </c>
      <c r="G65" s="24" t="s">
        <v>12</v>
      </c>
      <c r="H65" s="24" t="s">
        <v>32</v>
      </c>
    </row>
    <row r="66" ht="20" customHeight="1" spans="1:8" x14ac:dyDescent="0.25">
      <c r="A66" s="22" t="s">
        <v>51</v>
      </c>
      <c r="B66" s="22" t="s">
        <v>42</v>
      </c>
      <c r="C66" s="23" t="s">
        <v>71</v>
      </c>
      <c r="D66" s="35" t="s">
        <v>86</v>
      </c>
      <c r="E66" s="22" t="s">
        <v>12</v>
      </c>
      <c r="F66" s="22" t="s">
        <v>12</v>
      </c>
      <c r="G66" s="22" t="s">
        <v>12</v>
      </c>
      <c r="H66" s="22" t="s">
        <v>32</v>
      </c>
    </row>
    <row r="67" ht="20" customHeight="1" spans="1:8" x14ac:dyDescent="0.25">
      <c r="A67" s="24" t="s">
        <v>52</v>
      </c>
      <c r="B67" s="24" t="s">
        <v>45</v>
      </c>
      <c r="C67" s="25" t="s">
        <v>71</v>
      </c>
      <c r="D67" s="10" t="s">
        <v>87</v>
      </c>
      <c r="E67" s="24" t="s">
        <v>12</v>
      </c>
      <c r="F67" s="24" t="s">
        <v>12</v>
      </c>
      <c r="G67" s="24" t="s">
        <v>12</v>
      </c>
      <c r="H67" s="24" t="s">
        <v>32</v>
      </c>
    </row>
    <row r="68" ht="20" customHeight="1" spans="1:8" x14ac:dyDescent="0.25">
      <c r="A68" s="22" t="s">
        <v>53</v>
      </c>
      <c r="B68" s="22" t="s">
        <v>31</v>
      </c>
      <c r="C68" s="23" t="s">
        <v>71</v>
      </c>
      <c r="D68" s="6" t="s">
        <v>4</v>
      </c>
      <c r="E68" s="22" t="s">
        <v>397</v>
      </c>
      <c r="F68" s="22" t="s">
        <v>354</v>
      </c>
      <c r="G68" s="22" t="s">
        <v>81</v>
      </c>
      <c r="H68" s="32" t="s">
        <v>79</v>
      </c>
    </row>
    <row r="69" ht="20" customHeight="1" spans="1:8" x14ac:dyDescent="0.25">
      <c r="A69" s="24" t="s">
        <v>54</v>
      </c>
      <c r="B69" s="24" t="s">
        <v>34</v>
      </c>
      <c r="C69" s="25" t="s">
        <v>71</v>
      </c>
      <c r="D69" s="6" t="s">
        <v>4</v>
      </c>
      <c r="E69" s="24" t="s">
        <v>411</v>
      </c>
      <c r="F69" s="24" t="s">
        <v>389</v>
      </c>
      <c r="G69" s="24" t="s">
        <v>329</v>
      </c>
      <c r="H69" s="30" t="s">
        <v>79</v>
      </c>
    </row>
    <row r="70" ht="20" customHeight="1" spans="1:8" x14ac:dyDescent="0.25">
      <c r="A70" s="22" t="s">
        <v>55</v>
      </c>
      <c r="B70" s="22" t="s">
        <v>36</v>
      </c>
      <c r="C70" s="23" t="s">
        <v>71</v>
      </c>
      <c r="D70" s="6" t="s">
        <v>4</v>
      </c>
      <c r="E70" s="22" t="s">
        <v>564</v>
      </c>
      <c r="F70" s="22" t="s">
        <v>321</v>
      </c>
      <c r="G70" s="22" t="s">
        <v>646</v>
      </c>
      <c r="H70" s="32" t="s">
        <v>79</v>
      </c>
    </row>
    <row r="71" ht="20" customHeight="1" spans="1:8" x14ac:dyDescent="0.25">
      <c r="A71" s="24" t="s">
        <v>56</v>
      </c>
      <c r="B71" s="24" t="s">
        <v>38</v>
      </c>
      <c r="C71" s="25" t="s">
        <v>71</v>
      </c>
      <c r="D71" s="36" t="s">
        <v>218</v>
      </c>
      <c r="E71" s="24" t="s">
        <v>12</v>
      </c>
      <c r="F71" s="24" t="s">
        <v>12</v>
      </c>
      <c r="G71" s="24" t="s">
        <v>12</v>
      </c>
      <c r="H71" s="24" t="s">
        <v>32</v>
      </c>
    </row>
    <row r="72" ht="20" customHeight="1" spans="1:8" x14ac:dyDescent="0.25">
      <c r="A72" s="22" t="s">
        <v>57</v>
      </c>
      <c r="B72" s="22" t="s">
        <v>40</v>
      </c>
      <c r="C72" s="23" t="s">
        <v>71</v>
      </c>
      <c r="D72" s="6" t="s">
        <v>4</v>
      </c>
      <c r="E72" s="22" t="s">
        <v>242</v>
      </c>
      <c r="F72" s="22" t="s">
        <v>324</v>
      </c>
      <c r="G72" s="22" t="s">
        <v>226</v>
      </c>
      <c r="H72" s="29" t="s">
        <v>244</v>
      </c>
    </row>
    <row r="73" ht="20" customHeight="1" spans="1:8" x14ac:dyDescent="0.25">
      <c r="A73" s="24" t="s">
        <v>58</v>
      </c>
      <c r="B73" s="24" t="s">
        <v>42</v>
      </c>
      <c r="C73" s="25" t="s">
        <v>71</v>
      </c>
      <c r="D73" s="33" t="s">
        <v>86</v>
      </c>
      <c r="E73" s="24" t="s">
        <v>12</v>
      </c>
      <c r="F73" s="24" t="s">
        <v>12</v>
      </c>
      <c r="G73" s="24" t="s">
        <v>12</v>
      </c>
      <c r="H73" s="24" t="s">
        <v>32</v>
      </c>
    </row>
    <row r="74" ht="20" customHeight="1" spans="1:8" x14ac:dyDescent="0.25">
      <c r="A74" s="22" t="s">
        <v>59</v>
      </c>
      <c r="B74" s="22" t="s">
        <v>45</v>
      </c>
      <c r="C74" s="23" t="s">
        <v>71</v>
      </c>
      <c r="D74" s="6" t="s">
        <v>4</v>
      </c>
      <c r="E74" s="22" t="s">
        <v>401</v>
      </c>
      <c r="F74" s="22" t="s">
        <v>243</v>
      </c>
      <c r="G74" s="22" t="s">
        <v>203</v>
      </c>
      <c r="H74" s="32" t="s">
        <v>79</v>
      </c>
    </row>
    <row r="75" ht="20" customHeight="1" spans="1:8" x14ac:dyDescent="0.25">
      <c r="A75" s="24" t="s">
        <v>60</v>
      </c>
      <c r="B75" s="24" t="s">
        <v>31</v>
      </c>
      <c r="C75" s="25" t="s">
        <v>71</v>
      </c>
      <c r="D75" s="6" t="s">
        <v>4</v>
      </c>
      <c r="E75" s="24" t="s">
        <v>409</v>
      </c>
      <c r="F75" s="24" t="s">
        <v>386</v>
      </c>
      <c r="G75" s="24" t="s">
        <v>147</v>
      </c>
      <c r="H75" s="30" t="s">
        <v>79</v>
      </c>
    </row>
    <row r="76" ht="20" customHeight="1" spans="1:8" x14ac:dyDescent="0.25">
      <c r="A76" s="22" t="s">
        <v>61</v>
      </c>
      <c r="B76" s="22" t="s">
        <v>34</v>
      </c>
      <c r="C76" s="23" t="s">
        <v>71</v>
      </c>
      <c r="D76" s="6" t="s">
        <v>4</v>
      </c>
      <c r="E76" s="22" t="s">
        <v>372</v>
      </c>
      <c r="F76" s="22" t="s">
        <v>389</v>
      </c>
      <c r="G76" s="22" t="s">
        <v>180</v>
      </c>
      <c r="H76" s="32" t="s">
        <v>79</v>
      </c>
    </row>
    <row r="77" ht="20" customHeight="1" spans="1:8" x14ac:dyDescent="0.25">
      <c r="A77" s="24" t="s">
        <v>62</v>
      </c>
      <c r="B77" s="24" t="s">
        <v>36</v>
      </c>
      <c r="C77" s="25" t="s">
        <v>71</v>
      </c>
      <c r="D77" s="6" t="s">
        <v>4</v>
      </c>
      <c r="E77" s="24" t="s">
        <v>639</v>
      </c>
      <c r="F77" s="24" t="s">
        <v>354</v>
      </c>
      <c r="G77" s="24" t="s">
        <v>329</v>
      </c>
      <c r="H77" s="30" t="s">
        <v>79</v>
      </c>
    </row>
    <row r="78" ht="20" customHeight="1" spans="1:8" x14ac:dyDescent="0.25">
      <c r="A78" s="22" t="s">
        <v>63</v>
      </c>
      <c r="B78" s="22" t="s">
        <v>38</v>
      </c>
      <c r="C78" s="23" t="s">
        <v>71</v>
      </c>
      <c r="D78" s="6" t="s">
        <v>4</v>
      </c>
      <c r="E78" s="22" t="s">
        <v>567</v>
      </c>
      <c r="F78" s="22" t="s">
        <v>237</v>
      </c>
      <c r="G78" s="22" t="s">
        <v>259</v>
      </c>
      <c r="H78" s="32" t="s">
        <v>79</v>
      </c>
    </row>
    <row r="79" ht="20" customHeight="1" spans="1:8" x14ac:dyDescent="0.25">
      <c r="A79" s="24" t="s">
        <v>64</v>
      </c>
      <c r="B79" s="24" t="s">
        <v>40</v>
      </c>
      <c r="C79" s="25" t="s">
        <v>71</v>
      </c>
      <c r="D79" s="6" t="s">
        <v>4</v>
      </c>
      <c r="E79" s="24" t="s">
        <v>377</v>
      </c>
      <c r="F79" s="24" t="s">
        <v>384</v>
      </c>
      <c r="G79" s="24" t="s">
        <v>214</v>
      </c>
      <c r="H79" s="34" t="s">
        <v>378</v>
      </c>
    </row>
    <row r="80" ht="20" customHeight="1" spans="1:8" x14ac:dyDescent="0.25">
      <c r="A80" s="22" t="s">
        <v>65</v>
      </c>
      <c r="B80" s="22" t="s">
        <v>42</v>
      </c>
      <c r="C80" s="23" t="s">
        <v>71</v>
      </c>
      <c r="D80" s="35" t="s">
        <v>86</v>
      </c>
      <c r="E80" s="22" t="s">
        <v>12</v>
      </c>
      <c r="F80" s="22" t="s">
        <v>12</v>
      </c>
      <c r="G80" s="22" t="s">
        <v>12</v>
      </c>
      <c r="H80" s="22" t="s">
        <v>32</v>
      </c>
    </row>
    <row r="81" ht="20" customHeight="1" spans="1:8" x14ac:dyDescent="0.25">
      <c r="A81" s="24" t="s">
        <v>66</v>
      </c>
      <c r="B81" s="24" t="s">
        <v>45</v>
      </c>
      <c r="C81" s="25" t="s">
        <v>71</v>
      </c>
      <c r="D81" s="6" t="s">
        <v>4</v>
      </c>
      <c r="E81" s="24" t="s">
        <v>405</v>
      </c>
      <c r="F81" s="24" t="s">
        <v>373</v>
      </c>
      <c r="G81" s="24" t="s">
        <v>81</v>
      </c>
      <c r="H81" s="30" t="s">
        <v>79</v>
      </c>
    </row>
    <row r="82" ht="20" customHeight="1" spans="1:8" x14ac:dyDescent="0.25">
      <c r="A82" s="22" t="s">
        <v>67</v>
      </c>
      <c r="B82" s="22" t="s">
        <v>31</v>
      </c>
      <c r="C82" s="23" t="s">
        <v>71</v>
      </c>
      <c r="D82" s="6" t="s">
        <v>4</v>
      </c>
      <c r="E82" s="22" t="s">
        <v>397</v>
      </c>
      <c r="F82" s="22" t="s">
        <v>373</v>
      </c>
      <c r="G82" s="22" t="s">
        <v>177</v>
      </c>
      <c r="H82" s="32" t="s">
        <v>79</v>
      </c>
    </row>
    <row r="83" ht="20" customHeight="1" spans="1:8" x14ac:dyDescent="0.25">
      <c r="A83" s="24" t="s">
        <v>68</v>
      </c>
      <c r="B83" s="24" t="s">
        <v>34</v>
      </c>
      <c r="C83" s="25" t="s">
        <v>71</v>
      </c>
      <c r="D83" s="6" t="s">
        <v>4</v>
      </c>
      <c r="E83" s="24" t="s">
        <v>125</v>
      </c>
      <c r="F83" s="24" t="s">
        <v>376</v>
      </c>
      <c r="G83" s="24" t="s">
        <v>161</v>
      </c>
      <c r="H83" s="30" t="s">
        <v>79</v>
      </c>
    </row>
    <row r="84" ht="22" customHeight="1" spans="1:8" x14ac:dyDescent="0.25">
      <c r="A84" s="26" t="s">
        <v>69</v>
      </c>
      <c r="B84" s="26"/>
      <c r="C84" s="26"/>
      <c r="D84" s="26"/>
      <c r="E84" s="26"/>
      <c r="F84" s="26"/>
      <c r="G84" s="27" t="s">
        <v>727</v>
      </c>
      <c r="H84" s="28" t="s">
        <v>12</v>
      </c>
    </row>
    <row r="86" ht="26" customHeight="1" spans="1:8" x14ac:dyDescent="0.25">
      <c r="A86" s="20" t="s">
        <v>728</v>
      </c>
      <c r="B86" s="20"/>
      <c r="C86" s="20"/>
      <c r="D86" s="20"/>
      <c r="E86" s="20"/>
      <c r="F86" s="20"/>
      <c r="G86" s="20"/>
      <c r="H86" s="20"/>
    </row>
    <row r="87" ht="22" customHeight="1" spans="1:8" x14ac:dyDescent="0.25">
      <c r="A87" s="21" t="s">
        <v>22</v>
      </c>
      <c r="B87" s="21" t="s">
        <v>23</v>
      </c>
      <c r="C87" s="21" t="s">
        <v>24</v>
      </c>
      <c r="D87" s="21" t="s">
        <v>25</v>
      </c>
      <c r="E87" s="21" t="s">
        <v>26</v>
      </c>
      <c r="F87" s="21" t="s">
        <v>27</v>
      </c>
      <c r="G87" s="21" t="s">
        <v>28</v>
      </c>
      <c r="H87" s="21" t="s">
        <v>29</v>
      </c>
    </row>
    <row r="88" ht="20" customHeight="1" spans="1:8" x14ac:dyDescent="0.25">
      <c r="A88" s="22" t="s">
        <v>30</v>
      </c>
      <c r="B88" s="22" t="s">
        <v>31</v>
      </c>
      <c r="C88" s="23" t="s">
        <v>71</v>
      </c>
      <c r="D88" s="36" t="s">
        <v>218</v>
      </c>
      <c r="E88" s="22" t="s">
        <v>199</v>
      </c>
      <c r="F88" s="22" t="s">
        <v>729</v>
      </c>
      <c r="G88" s="22" t="s">
        <v>730</v>
      </c>
      <c r="H88" s="29" t="s">
        <v>731</v>
      </c>
    </row>
    <row r="89" ht="20" customHeight="1" spans="1:8" x14ac:dyDescent="0.25">
      <c r="A89" s="24" t="s">
        <v>33</v>
      </c>
      <c r="B89" s="24" t="s">
        <v>34</v>
      </c>
      <c r="C89" s="25" t="s">
        <v>71</v>
      </c>
      <c r="D89" s="10" t="s">
        <v>87</v>
      </c>
      <c r="E89" s="24" t="s">
        <v>12</v>
      </c>
      <c r="F89" s="24" t="s">
        <v>12</v>
      </c>
      <c r="G89" s="24" t="s">
        <v>12</v>
      </c>
      <c r="H89" s="24" t="s">
        <v>32</v>
      </c>
    </row>
    <row r="90" ht="20" customHeight="1" spans="1:8" x14ac:dyDescent="0.25">
      <c r="A90" s="22" t="s">
        <v>35</v>
      </c>
      <c r="B90" s="22" t="s">
        <v>36</v>
      </c>
      <c r="C90" s="23" t="s">
        <v>71</v>
      </c>
      <c r="D90" s="10" t="s">
        <v>87</v>
      </c>
      <c r="E90" s="22" t="s">
        <v>12</v>
      </c>
      <c r="F90" s="22" t="s">
        <v>12</v>
      </c>
      <c r="G90" s="22" t="s">
        <v>12</v>
      </c>
      <c r="H90" s="22" t="s">
        <v>32</v>
      </c>
    </row>
    <row r="91" ht="20" customHeight="1" spans="1:8" x14ac:dyDescent="0.25">
      <c r="A91" s="24" t="s">
        <v>37</v>
      </c>
      <c r="B91" s="24" t="s">
        <v>38</v>
      </c>
      <c r="C91" s="25" t="s">
        <v>71</v>
      </c>
      <c r="D91" s="10" t="s">
        <v>87</v>
      </c>
      <c r="E91" s="24" t="s">
        <v>12</v>
      </c>
      <c r="F91" s="24" t="s">
        <v>12</v>
      </c>
      <c r="G91" s="24" t="s">
        <v>12</v>
      </c>
      <c r="H91" s="24" t="s">
        <v>32</v>
      </c>
    </row>
    <row r="92" ht="20" customHeight="1" spans="1:8" x14ac:dyDescent="0.25">
      <c r="A92" s="22" t="s">
        <v>39</v>
      </c>
      <c r="B92" s="22" t="s">
        <v>40</v>
      </c>
      <c r="C92" s="23" t="s">
        <v>71</v>
      </c>
      <c r="D92" s="10" t="s">
        <v>87</v>
      </c>
      <c r="E92" s="22" t="s">
        <v>12</v>
      </c>
      <c r="F92" s="22" t="s">
        <v>12</v>
      </c>
      <c r="G92" s="22" t="s">
        <v>12</v>
      </c>
      <c r="H92" s="22" t="s">
        <v>32</v>
      </c>
    </row>
    <row r="93" ht="20" customHeight="1" spans="1:8" x14ac:dyDescent="0.25">
      <c r="A93" s="24" t="s">
        <v>41</v>
      </c>
      <c r="B93" s="24" t="s">
        <v>42</v>
      </c>
      <c r="C93" s="25" t="s">
        <v>71</v>
      </c>
      <c r="D93" s="33" t="s">
        <v>86</v>
      </c>
      <c r="E93" s="24" t="s">
        <v>12</v>
      </c>
      <c r="F93" s="24" t="s">
        <v>12</v>
      </c>
      <c r="G93" s="24" t="s">
        <v>12</v>
      </c>
      <c r="H93" s="24" t="s">
        <v>32</v>
      </c>
    </row>
    <row r="94" ht="20" customHeight="1" spans="1:8" x14ac:dyDescent="0.25">
      <c r="A94" s="22" t="s">
        <v>44</v>
      </c>
      <c r="B94" s="22" t="s">
        <v>45</v>
      </c>
      <c r="C94" s="23" t="s">
        <v>71</v>
      </c>
      <c r="D94" s="6" t="s">
        <v>4</v>
      </c>
      <c r="E94" s="22" t="s">
        <v>518</v>
      </c>
      <c r="F94" s="22" t="s">
        <v>732</v>
      </c>
      <c r="G94" s="22" t="s">
        <v>259</v>
      </c>
      <c r="H94" s="32" t="s">
        <v>79</v>
      </c>
    </row>
    <row r="95" ht="20" customHeight="1" spans="1:8" x14ac:dyDescent="0.25">
      <c r="A95" s="24" t="s">
        <v>46</v>
      </c>
      <c r="B95" s="24" t="s">
        <v>31</v>
      </c>
      <c r="C95" s="25" t="s">
        <v>71</v>
      </c>
      <c r="D95" s="6" t="s">
        <v>4</v>
      </c>
      <c r="E95" s="24" t="s">
        <v>322</v>
      </c>
      <c r="F95" s="24" t="s">
        <v>389</v>
      </c>
      <c r="G95" s="24" t="s">
        <v>514</v>
      </c>
      <c r="H95" s="34" t="s">
        <v>323</v>
      </c>
    </row>
    <row r="96" ht="20" customHeight="1" spans="1:8" x14ac:dyDescent="0.25">
      <c r="A96" s="22" t="s">
        <v>47</v>
      </c>
      <c r="B96" s="22" t="s">
        <v>34</v>
      </c>
      <c r="C96" s="23" t="s">
        <v>71</v>
      </c>
      <c r="D96" s="6" t="s">
        <v>4</v>
      </c>
      <c r="E96" s="22" t="s">
        <v>322</v>
      </c>
      <c r="F96" s="22" t="s">
        <v>373</v>
      </c>
      <c r="G96" s="22" t="s">
        <v>429</v>
      </c>
      <c r="H96" s="29" t="s">
        <v>323</v>
      </c>
    </row>
    <row r="97" ht="20" customHeight="1" spans="1:8" x14ac:dyDescent="0.25">
      <c r="A97" s="24" t="s">
        <v>48</v>
      </c>
      <c r="B97" s="24" t="s">
        <v>36</v>
      </c>
      <c r="C97" s="25" t="s">
        <v>71</v>
      </c>
      <c r="D97" s="6" t="s">
        <v>4</v>
      </c>
      <c r="E97" s="24" t="s">
        <v>189</v>
      </c>
      <c r="F97" s="24" t="s">
        <v>519</v>
      </c>
      <c r="G97" s="24" t="s">
        <v>646</v>
      </c>
      <c r="H97" s="34" t="s">
        <v>191</v>
      </c>
    </row>
    <row r="98" ht="20" customHeight="1" spans="1:8" x14ac:dyDescent="0.25">
      <c r="A98" s="22" t="s">
        <v>49</v>
      </c>
      <c r="B98" s="22" t="s">
        <v>38</v>
      </c>
      <c r="C98" s="23" t="s">
        <v>71</v>
      </c>
      <c r="D98" s="6" t="s">
        <v>4</v>
      </c>
      <c r="E98" s="22" t="s">
        <v>576</v>
      </c>
      <c r="F98" s="22" t="s">
        <v>402</v>
      </c>
      <c r="G98" s="22" t="s">
        <v>410</v>
      </c>
      <c r="H98" s="32" t="s">
        <v>79</v>
      </c>
    </row>
    <row r="99" ht="20" customHeight="1" spans="1:8" x14ac:dyDescent="0.25">
      <c r="A99" s="24" t="s">
        <v>50</v>
      </c>
      <c r="B99" s="24" t="s">
        <v>40</v>
      </c>
      <c r="C99" s="25" t="s">
        <v>71</v>
      </c>
      <c r="D99" s="33" t="s">
        <v>86</v>
      </c>
      <c r="E99" s="24" t="s">
        <v>12</v>
      </c>
      <c r="F99" s="24" t="s">
        <v>12</v>
      </c>
      <c r="G99" s="24" t="s">
        <v>12</v>
      </c>
      <c r="H99" s="24" t="s">
        <v>32</v>
      </c>
    </row>
    <row r="100" ht="20" customHeight="1" spans="1:8" x14ac:dyDescent="0.25">
      <c r="A100" s="22" t="s">
        <v>51</v>
      </c>
      <c r="B100" s="22" t="s">
        <v>42</v>
      </c>
      <c r="C100" s="23" t="s">
        <v>71</v>
      </c>
      <c r="D100" s="35" t="s">
        <v>86</v>
      </c>
      <c r="E100" s="22" t="s">
        <v>12</v>
      </c>
      <c r="F100" s="22" t="s">
        <v>12</v>
      </c>
      <c r="G100" s="22" t="s">
        <v>12</v>
      </c>
      <c r="H100" s="22" t="s">
        <v>32</v>
      </c>
    </row>
    <row r="101" ht="20" customHeight="1" spans="1:8" x14ac:dyDescent="0.25">
      <c r="A101" s="24" t="s">
        <v>52</v>
      </c>
      <c r="B101" s="24" t="s">
        <v>45</v>
      </c>
      <c r="C101" s="25" t="s">
        <v>71</v>
      </c>
      <c r="D101" s="6" t="s">
        <v>4</v>
      </c>
      <c r="E101" s="24" t="s">
        <v>201</v>
      </c>
      <c r="F101" s="24" t="s">
        <v>235</v>
      </c>
      <c r="G101" s="24" t="s">
        <v>232</v>
      </c>
      <c r="H101" s="34" t="s">
        <v>204</v>
      </c>
    </row>
    <row r="102" ht="20" customHeight="1" spans="1:8" x14ac:dyDescent="0.25">
      <c r="A102" s="22" t="s">
        <v>53</v>
      </c>
      <c r="B102" s="22" t="s">
        <v>31</v>
      </c>
      <c r="C102" s="23" t="s">
        <v>71</v>
      </c>
      <c r="D102" s="6" t="s">
        <v>4</v>
      </c>
      <c r="E102" s="22" t="s">
        <v>377</v>
      </c>
      <c r="F102" s="22" t="s">
        <v>344</v>
      </c>
      <c r="G102" s="22" t="s">
        <v>99</v>
      </c>
      <c r="H102" s="29" t="s">
        <v>378</v>
      </c>
    </row>
    <row r="103" ht="20" customHeight="1" spans="1:8" x14ac:dyDescent="0.25">
      <c r="A103" s="24" t="s">
        <v>54</v>
      </c>
      <c r="B103" s="24" t="s">
        <v>34</v>
      </c>
      <c r="C103" s="25" t="s">
        <v>71</v>
      </c>
      <c r="D103" s="6" t="s">
        <v>4</v>
      </c>
      <c r="E103" s="24" t="s">
        <v>353</v>
      </c>
      <c r="F103" s="24" t="s">
        <v>733</v>
      </c>
      <c r="G103" s="24" t="s">
        <v>574</v>
      </c>
      <c r="H103" s="34" t="s">
        <v>355</v>
      </c>
    </row>
    <row r="104" ht="20" customHeight="1" spans="1:8" x14ac:dyDescent="0.25">
      <c r="A104" s="22" t="s">
        <v>55</v>
      </c>
      <c r="B104" s="22" t="s">
        <v>36</v>
      </c>
      <c r="C104" s="23" t="s">
        <v>71</v>
      </c>
      <c r="D104" s="10" t="s">
        <v>87</v>
      </c>
      <c r="E104" s="22" t="s">
        <v>12</v>
      </c>
      <c r="F104" s="22" t="s">
        <v>12</v>
      </c>
      <c r="G104" s="22" t="s">
        <v>12</v>
      </c>
      <c r="H104" s="22" t="s">
        <v>32</v>
      </c>
    </row>
    <row r="105" ht="20" customHeight="1" spans="1:8" x14ac:dyDescent="0.25">
      <c r="A105" s="24" t="s">
        <v>56</v>
      </c>
      <c r="B105" s="24" t="s">
        <v>38</v>
      </c>
      <c r="C105" s="25" t="s">
        <v>71</v>
      </c>
      <c r="D105" s="6" t="s">
        <v>4</v>
      </c>
      <c r="E105" s="24" t="s">
        <v>362</v>
      </c>
      <c r="F105" s="24" t="s">
        <v>354</v>
      </c>
      <c r="G105" s="24" t="s">
        <v>161</v>
      </c>
      <c r="H105" s="30" t="s">
        <v>79</v>
      </c>
    </row>
    <row r="106" ht="20" customHeight="1" spans="1:8" x14ac:dyDescent="0.25">
      <c r="A106" s="22" t="s">
        <v>57</v>
      </c>
      <c r="B106" s="22" t="s">
        <v>40</v>
      </c>
      <c r="C106" s="23" t="s">
        <v>71</v>
      </c>
      <c r="D106" s="6" t="s">
        <v>4</v>
      </c>
      <c r="E106" s="22" t="s">
        <v>356</v>
      </c>
      <c r="F106" s="22" t="s">
        <v>324</v>
      </c>
      <c r="G106" s="22" t="s">
        <v>514</v>
      </c>
      <c r="H106" s="29" t="s">
        <v>357</v>
      </c>
    </row>
    <row r="107" ht="20" customHeight="1" spans="1:8" x14ac:dyDescent="0.25">
      <c r="A107" s="24" t="s">
        <v>58</v>
      </c>
      <c r="B107" s="24" t="s">
        <v>42</v>
      </c>
      <c r="C107" s="25" t="s">
        <v>71</v>
      </c>
      <c r="D107" s="33" t="s">
        <v>86</v>
      </c>
      <c r="E107" s="24" t="s">
        <v>12</v>
      </c>
      <c r="F107" s="24" t="s">
        <v>12</v>
      </c>
      <c r="G107" s="24" t="s">
        <v>12</v>
      </c>
      <c r="H107" s="24" t="s">
        <v>32</v>
      </c>
    </row>
    <row r="108" ht="20" customHeight="1" spans="1:8" x14ac:dyDescent="0.25">
      <c r="A108" s="22" t="s">
        <v>59</v>
      </c>
      <c r="B108" s="22" t="s">
        <v>45</v>
      </c>
      <c r="C108" s="23" t="s">
        <v>71</v>
      </c>
      <c r="D108" s="6" t="s">
        <v>4</v>
      </c>
      <c r="E108" s="22" t="s">
        <v>644</v>
      </c>
      <c r="F108" s="22" t="s">
        <v>133</v>
      </c>
      <c r="G108" s="22" t="s">
        <v>232</v>
      </c>
      <c r="H108" s="29" t="s">
        <v>645</v>
      </c>
    </row>
    <row r="109" ht="20" customHeight="1" spans="1:8" x14ac:dyDescent="0.25">
      <c r="A109" s="24" t="s">
        <v>60</v>
      </c>
      <c r="B109" s="24" t="s">
        <v>31</v>
      </c>
      <c r="C109" s="25" t="s">
        <v>71</v>
      </c>
      <c r="D109" s="6" t="s">
        <v>4</v>
      </c>
      <c r="E109" s="24" t="s">
        <v>320</v>
      </c>
      <c r="F109" s="24" t="s">
        <v>225</v>
      </c>
      <c r="G109" s="24" t="s">
        <v>410</v>
      </c>
      <c r="H109" s="30" t="s">
        <v>79</v>
      </c>
    </row>
    <row r="110" ht="20" customHeight="1" spans="1:8" x14ac:dyDescent="0.25">
      <c r="A110" s="22" t="s">
        <v>61</v>
      </c>
      <c r="B110" s="22" t="s">
        <v>34</v>
      </c>
      <c r="C110" s="23" t="s">
        <v>71</v>
      </c>
      <c r="D110" s="6" t="s">
        <v>4</v>
      </c>
      <c r="E110" s="22" t="s">
        <v>383</v>
      </c>
      <c r="F110" s="22" t="s">
        <v>395</v>
      </c>
      <c r="G110" s="22" t="s">
        <v>267</v>
      </c>
      <c r="H110" s="32" t="s">
        <v>79</v>
      </c>
    </row>
    <row r="111" ht="20" customHeight="1" spans="1:8" x14ac:dyDescent="0.25">
      <c r="A111" s="24" t="s">
        <v>62</v>
      </c>
      <c r="B111" s="24" t="s">
        <v>36</v>
      </c>
      <c r="C111" s="25" t="s">
        <v>71</v>
      </c>
      <c r="D111" s="6" t="s">
        <v>4</v>
      </c>
      <c r="E111" s="24" t="s">
        <v>635</v>
      </c>
      <c r="F111" s="24" t="s">
        <v>237</v>
      </c>
      <c r="G111" s="24" t="s">
        <v>329</v>
      </c>
      <c r="H111" s="30" t="s">
        <v>79</v>
      </c>
    </row>
    <row r="112" ht="20" customHeight="1" spans="1:8" x14ac:dyDescent="0.25">
      <c r="A112" s="22" t="s">
        <v>63</v>
      </c>
      <c r="B112" s="22" t="s">
        <v>38</v>
      </c>
      <c r="C112" s="23" t="s">
        <v>71</v>
      </c>
      <c r="D112" s="6" t="s">
        <v>4</v>
      </c>
      <c r="E112" s="22" t="s">
        <v>387</v>
      </c>
      <c r="F112" s="22" t="s">
        <v>734</v>
      </c>
      <c r="G112" s="22" t="s">
        <v>161</v>
      </c>
      <c r="H112" s="32" t="s">
        <v>79</v>
      </c>
    </row>
    <row r="113" ht="20" customHeight="1" spans="1:8" x14ac:dyDescent="0.25">
      <c r="A113" s="24" t="s">
        <v>64</v>
      </c>
      <c r="B113" s="24" t="s">
        <v>40</v>
      </c>
      <c r="C113" s="25" t="s">
        <v>71</v>
      </c>
      <c r="D113" s="6" t="s">
        <v>4</v>
      </c>
      <c r="E113" s="24" t="s">
        <v>356</v>
      </c>
      <c r="F113" s="24" t="s">
        <v>735</v>
      </c>
      <c r="G113" s="24" t="s">
        <v>267</v>
      </c>
      <c r="H113" s="34" t="s">
        <v>357</v>
      </c>
    </row>
    <row r="114" ht="20" customHeight="1" spans="1:8" x14ac:dyDescent="0.25">
      <c r="A114" s="22" t="s">
        <v>65</v>
      </c>
      <c r="B114" s="22" t="s">
        <v>42</v>
      </c>
      <c r="C114" s="23" t="s">
        <v>71</v>
      </c>
      <c r="D114" s="35" t="s">
        <v>86</v>
      </c>
      <c r="E114" s="22" t="s">
        <v>12</v>
      </c>
      <c r="F114" s="22" t="s">
        <v>12</v>
      </c>
      <c r="G114" s="22" t="s">
        <v>12</v>
      </c>
      <c r="H114" s="22" t="s">
        <v>32</v>
      </c>
    </row>
    <row r="115" ht="20" customHeight="1" spans="1:8" x14ac:dyDescent="0.25">
      <c r="A115" s="24" t="s">
        <v>66</v>
      </c>
      <c r="B115" s="24" t="s">
        <v>45</v>
      </c>
      <c r="C115" s="25" t="s">
        <v>71</v>
      </c>
      <c r="D115" s="6" t="s">
        <v>4</v>
      </c>
      <c r="E115" s="24" t="s">
        <v>375</v>
      </c>
      <c r="F115" s="24" t="s">
        <v>374</v>
      </c>
      <c r="G115" s="24" t="s">
        <v>174</v>
      </c>
      <c r="H115" s="30" t="s">
        <v>79</v>
      </c>
    </row>
    <row r="116" ht="20" customHeight="1" spans="1:8" x14ac:dyDescent="0.25">
      <c r="A116" s="22" t="s">
        <v>67</v>
      </c>
      <c r="B116" s="22" t="s">
        <v>31</v>
      </c>
      <c r="C116" s="23" t="s">
        <v>71</v>
      </c>
      <c r="D116" s="6" t="s">
        <v>4</v>
      </c>
      <c r="E116" s="22" t="s">
        <v>564</v>
      </c>
      <c r="F116" s="22" t="s">
        <v>278</v>
      </c>
      <c r="G116" s="22" t="s">
        <v>226</v>
      </c>
      <c r="H116" s="32" t="s">
        <v>79</v>
      </c>
    </row>
    <row r="117" ht="20" customHeight="1" spans="1:8" x14ac:dyDescent="0.25">
      <c r="A117" s="24" t="s">
        <v>68</v>
      </c>
      <c r="B117" s="24" t="s">
        <v>34</v>
      </c>
      <c r="C117" s="25" t="s">
        <v>71</v>
      </c>
      <c r="D117" s="6" t="s">
        <v>4</v>
      </c>
      <c r="E117" s="24" t="s">
        <v>567</v>
      </c>
      <c r="F117" s="24" t="s">
        <v>133</v>
      </c>
      <c r="G117" s="24" t="s">
        <v>154</v>
      </c>
      <c r="H117" s="30" t="s">
        <v>79</v>
      </c>
    </row>
    <row r="118" ht="22" customHeight="1" spans="1:8" x14ac:dyDescent="0.25">
      <c r="A118" s="26" t="s">
        <v>69</v>
      </c>
      <c r="B118" s="26"/>
      <c r="C118" s="26"/>
      <c r="D118" s="26"/>
      <c r="E118" s="26"/>
      <c r="F118" s="26"/>
      <c r="G118" s="27" t="s">
        <v>736</v>
      </c>
      <c r="H118" s="28" t="s">
        <v>12</v>
      </c>
    </row>
    <row r="120" ht="26" customHeight="1" spans="1:8" x14ac:dyDescent="0.25">
      <c r="A120" s="20" t="s">
        <v>737</v>
      </c>
      <c r="B120" s="20"/>
      <c r="C120" s="20"/>
      <c r="D120" s="20"/>
      <c r="E120" s="20"/>
      <c r="F120" s="20"/>
      <c r="G120" s="20"/>
      <c r="H120" s="20"/>
    </row>
    <row r="121" ht="22" customHeight="1" spans="1:8" x14ac:dyDescent="0.25">
      <c r="A121" s="21" t="s">
        <v>22</v>
      </c>
      <c r="B121" s="21" t="s">
        <v>23</v>
      </c>
      <c r="C121" s="21" t="s">
        <v>24</v>
      </c>
      <c r="D121" s="21" t="s">
        <v>25</v>
      </c>
      <c r="E121" s="21" t="s">
        <v>26</v>
      </c>
      <c r="F121" s="21" t="s">
        <v>27</v>
      </c>
      <c r="G121" s="21" t="s">
        <v>28</v>
      </c>
      <c r="H121" s="21" t="s">
        <v>29</v>
      </c>
    </row>
    <row r="122" ht="20" customHeight="1" spans="1:8" x14ac:dyDescent="0.25">
      <c r="A122" s="22" t="s">
        <v>30</v>
      </c>
      <c r="B122" s="22" t="s">
        <v>31</v>
      </c>
      <c r="C122" s="23" t="s">
        <v>71</v>
      </c>
      <c r="D122" s="10" t="s">
        <v>87</v>
      </c>
      <c r="E122" s="22" t="s">
        <v>12</v>
      </c>
      <c r="F122" s="22" t="s">
        <v>12</v>
      </c>
      <c r="G122" s="22" t="s">
        <v>12</v>
      </c>
      <c r="H122" s="22" t="s">
        <v>32</v>
      </c>
    </row>
    <row r="123" ht="20" customHeight="1" spans="1:8" x14ac:dyDescent="0.25">
      <c r="A123" s="24" t="s">
        <v>33</v>
      </c>
      <c r="B123" s="24" t="s">
        <v>34</v>
      </c>
      <c r="C123" s="25" t="s">
        <v>71</v>
      </c>
      <c r="D123" s="10" t="s">
        <v>87</v>
      </c>
      <c r="E123" s="24" t="s">
        <v>12</v>
      </c>
      <c r="F123" s="24" t="s">
        <v>12</v>
      </c>
      <c r="G123" s="24" t="s">
        <v>12</v>
      </c>
      <c r="H123" s="24" t="s">
        <v>32</v>
      </c>
    </row>
    <row r="124" ht="20" customHeight="1" spans="1:8" x14ac:dyDescent="0.25">
      <c r="A124" s="22" t="s">
        <v>35</v>
      </c>
      <c r="B124" s="22" t="s">
        <v>36</v>
      </c>
      <c r="C124" s="23" t="s">
        <v>71</v>
      </c>
      <c r="D124" s="10" t="s">
        <v>87</v>
      </c>
      <c r="E124" s="22" t="s">
        <v>12</v>
      </c>
      <c r="F124" s="22" t="s">
        <v>12</v>
      </c>
      <c r="G124" s="22" t="s">
        <v>12</v>
      </c>
      <c r="H124" s="22" t="s">
        <v>32</v>
      </c>
    </row>
    <row r="125" ht="20" customHeight="1" spans="1:8" x14ac:dyDescent="0.25">
      <c r="A125" s="24" t="s">
        <v>37</v>
      </c>
      <c r="B125" s="24" t="s">
        <v>38</v>
      </c>
      <c r="C125" s="25" t="s">
        <v>71</v>
      </c>
      <c r="D125" s="10" t="s">
        <v>87</v>
      </c>
      <c r="E125" s="24" t="s">
        <v>12</v>
      </c>
      <c r="F125" s="24" t="s">
        <v>12</v>
      </c>
      <c r="G125" s="24" t="s">
        <v>12</v>
      </c>
      <c r="H125" s="24" t="s">
        <v>32</v>
      </c>
    </row>
    <row r="126" ht="20" customHeight="1" spans="1:8" x14ac:dyDescent="0.25">
      <c r="A126" s="22" t="s">
        <v>39</v>
      </c>
      <c r="B126" s="22" t="s">
        <v>40</v>
      </c>
      <c r="C126" s="23" t="s">
        <v>71</v>
      </c>
      <c r="D126" s="10" t="s">
        <v>87</v>
      </c>
      <c r="E126" s="22" t="s">
        <v>12</v>
      </c>
      <c r="F126" s="22" t="s">
        <v>12</v>
      </c>
      <c r="G126" s="22" t="s">
        <v>12</v>
      </c>
      <c r="H126" s="22" t="s">
        <v>32</v>
      </c>
    </row>
    <row r="127" ht="20" customHeight="1" spans="1:8" x14ac:dyDescent="0.25">
      <c r="A127" s="24" t="s">
        <v>41</v>
      </c>
      <c r="B127" s="24" t="s">
        <v>42</v>
      </c>
      <c r="C127" s="25" t="s">
        <v>71</v>
      </c>
      <c r="D127" s="33" t="s">
        <v>86</v>
      </c>
      <c r="E127" s="24" t="s">
        <v>12</v>
      </c>
      <c r="F127" s="24" t="s">
        <v>12</v>
      </c>
      <c r="G127" s="24" t="s">
        <v>12</v>
      </c>
      <c r="H127" s="24" t="s">
        <v>32</v>
      </c>
    </row>
    <row r="128" ht="20" customHeight="1" spans="1:8" x14ac:dyDescent="0.25">
      <c r="A128" s="22" t="s">
        <v>44</v>
      </c>
      <c r="B128" s="22" t="s">
        <v>45</v>
      </c>
      <c r="C128" s="23" t="s">
        <v>71</v>
      </c>
      <c r="D128" s="6" t="s">
        <v>4</v>
      </c>
      <c r="E128" s="22" t="s">
        <v>738</v>
      </c>
      <c r="F128" s="22" t="s">
        <v>157</v>
      </c>
      <c r="G128" s="22" t="s">
        <v>273</v>
      </c>
      <c r="H128" s="29" t="s">
        <v>739</v>
      </c>
    </row>
    <row r="129" ht="20" customHeight="1" spans="1:8" x14ac:dyDescent="0.25">
      <c r="A129" s="24" t="s">
        <v>46</v>
      </c>
      <c r="B129" s="24" t="s">
        <v>31</v>
      </c>
      <c r="C129" s="25" t="s">
        <v>71</v>
      </c>
      <c r="D129" s="6" t="s">
        <v>4</v>
      </c>
      <c r="E129" s="24" t="s">
        <v>189</v>
      </c>
      <c r="F129" s="24" t="s">
        <v>345</v>
      </c>
      <c r="G129" s="24" t="s">
        <v>396</v>
      </c>
      <c r="H129" s="34" t="s">
        <v>191</v>
      </c>
    </row>
    <row r="130" ht="20" customHeight="1" spans="1:8" x14ac:dyDescent="0.25">
      <c r="A130" s="22" t="s">
        <v>47</v>
      </c>
      <c r="B130" s="22" t="s">
        <v>34</v>
      </c>
      <c r="C130" s="23" t="s">
        <v>71</v>
      </c>
      <c r="D130" s="6" t="s">
        <v>4</v>
      </c>
      <c r="E130" s="22" t="s">
        <v>392</v>
      </c>
      <c r="F130" s="22" t="s">
        <v>373</v>
      </c>
      <c r="G130" s="22" t="s">
        <v>614</v>
      </c>
      <c r="H130" s="29" t="s">
        <v>394</v>
      </c>
    </row>
    <row r="131" ht="20" customHeight="1" spans="1:8" x14ac:dyDescent="0.25">
      <c r="A131" s="24" t="s">
        <v>48</v>
      </c>
      <c r="B131" s="24" t="s">
        <v>36</v>
      </c>
      <c r="C131" s="25" t="s">
        <v>71</v>
      </c>
      <c r="D131" s="6" t="s">
        <v>4</v>
      </c>
      <c r="E131" s="24" t="s">
        <v>377</v>
      </c>
      <c r="F131" s="24" t="s">
        <v>107</v>
      </c>
      <c r="G131" s="24" t="s">
        <v>740</v>
      </c>
      <c r="H131" s="34" t="s">
        <v>378</v>
      </c>
    </row>
    <row r="132" ht="20" customHeight="1" spans="1:8" x14ac:dyDescent="0.25">
      <c r="A132" s="22" t="s">
        <v>49</v>
      </c>
      <c r="B132" s="22" t="s">
        <v>38</v>
      </c>
      <c r="C132" s="23" t="s">
        <v>71</v>
      </c>
      <c r="D132" s="6" t="s">
        <v>4</v>
      </c>
      <c r="E132" s="22" t="s">
        <v>159</v>
      </c>
      <c r="F132" s="22" t="s">
        <v>107</v>
      </c>
      <c r="G132" s="22" t="s">
        <v>281</v>
      </c>
      <c r="H132" s="29" t="s">
        <v>162</v>
      </c>
    </row>
    <row r="133" ht="20" customHeight="1" spans="1:8" x14ac:dyDescent="0.25">
      <c r="A133" s="24" t="s">
        <v>50</v>
      </c>
      <c r="B133" s="24" t="s">
        <v>40</v>
      </c>
      <c r="C133" s="25" t="s">
        <v>71</v>
      </c>
      <c r="D133" s="6" t="s">
        <v>4</v>
      </c>
      <c r="E133" s="24" t="s">
        <v>564</v>
      </c>
      <c r="F133" s="24" t="s">
        <v>741</v>
      </c>
      <c r="G133" s="24" t="s">
        <v>742</v>
      </c>
      <c r="H133" s="30" t="s">
        <v>79</v>
      </c>
    </row>
    <row r="134" ht="20" customHeight="1" spans="1:8" x14ac:dyDescent="0.25">
      <c r="A134" s="22" t="s">
        <v>51</v>
      </c>
      <c r="B134" s="22" t="s">
        <v>42</v>
      </c>
      <c r="C134" s="23" t="s">
        <v>71</v>
      </c>
      <c r="D134" s="35" t="s">
        <v>86</v>
      </c>
      <c r="E134" s="22" t="s">
        <v>12</v>
      </c>
      <c r="F134" s="22" t="s">
        <v>12</v>
      </c>
      <c r="G134" s="22" t="s">
        <v>12</v>
      </c>
      <c r="H134" s="22" t="s">
        <v>32</v>
      </c>
    </row>
    <row r="135" ht="20" customHeight="1" spans="1:8" x14ac:dyDescent="0.25">
      <c r="A135" s="24" t="s">
        <v>52</v>
      </c>
      <c r="B135" s="24" t="s">
        <v>45</v>
      </c>
      <c r="C135" s="25" t="s">
        <v>71</v>
      </c>
      <c r="D135" s="6" t="s">
        <v>4</v>
      </c>
      <c r="E135" s="24" t="s">
        <v>392</v>
      </c>
      <c r="F135" s="24" t="s">
        <v>344</v>
      </c>
      <c r="G135" s="24" t="s">
        <v>263</v>
      </c>
      <c r="H135" s="34" t="s">
        <v>394</v>
      </c>
    </row>
    <row r="136" ht="20" customHeight="1" spans="1:8" x14ac:dyDescent="0.25">
      <c r="A136" s="22" t="s">
        <v>53</v>
      </c>
      <c r="B136" s="22" t="s">
        <v>31</v>
      </c>
      <c r="C136" s="23" t="s">
        <v>71</v>
      </c>
      <c r="D136" s="6" t="s">
        <v>4</v>
      </c>
      <c r="E136" s="22" t="s">
        <v>392</v>
      </c>
      <c r="F136" s="22" t="s">
        <v>398</v>
      </c>
      <c r="G136" s="22" t="s">
        <v>238</v>
      </c>
      <c r="H136" s="29" t="s">
        <v>394</v>
      </c>
    </row>
    <row r="137" ht="20" customHeight="1" spans="1:8" x14ac:dyDescent="0.25">
      <c r="A137" s="24" t="s">
        <v>54</v>
      </c>
      <c r="B137" s="24" t="s">
        <v>34</v>
      </c>
      <c r="C137" s="25" t="s">
        <v>71</v>
      </c>
      <c r="D137" s="6" t="s">
        <v>4</v>
      </c>
      <c r="E137" s="24" t="s">
        <v>159</v>
      </c>
      <c r="F137" s="24" t="s">
        <v>398</v>
      </c>
      <c r="G137" s="24" t="s">
        <v>496</v>
      </c>
      <c r="H137" s="34" t="s">
        <v>162</v>
      </c>
    </row>
    <row r="138" ht="20" customHeight="1" spans="1:8" x14ac:dyDescent="0.25">
      <c r="A138" s="22" t="s">
        <v>55</v>
      </c>
      <c r="B138" s="22" t="s">
        <v>36</v>
      </c>
      <c r="C138" s="23" t="s">
        <v>71</v>
      </c>
      <c r="D138" s="6" t="s">
        <v>4</v>
      </c>
      <c r="E138" s="22" t="s">
        <v>743</v>
      </c>
      <c r="F138" s="22" t="s">
        <v>133</v>
      </c>
      <c r="G138" s="22" t="s">
        <v>744</v>
      </c>
      <c r="H138" s="29" t="s">
        <v>745</v>
      </c>
    </row>
    <row r="139" ht="20" customHeight="1" spans="1:8" x14ac:dyDescent="0.25">
      <c r="A139" s="24" t="s">
        <v>56</v>
      </c>
      <c r="B139" s="24" t="s">
        <v>38</v>
      </c>
      <c r="C139" s="25" t="s">
        <v>71</v>
      </c>
      <c r="D139" s="6" t="s">
        <v>4</v>
      </c>
      <c r="E139" s="24" t="s">
        <v>567</v>
      </c>
      <c r="F139" s="24" t="s">
        <v>746</v>
      </c>
      <c r="G139" s="24" t="s">
        <v>747</v>
      </c>
      <c r="H139" s="30" t="s">
        <v>79</v>
      </c>
    </row>
    <row r="140" ht="20" customHeight="1" spans="1:8" x14ac:dyDescent="0.25">
      <c r="A140" s="22" t="s">
        <v>57</v>
      </c>
      <c r="B140" s="22" t="s">
        <v>40</v>
      </c>
      <c r="C140" s="23" t="s">
        <v>71</v>
      </c>
      <c r="D140" s="6" t="s">
        <v>4</v>
      </c>
      <c r="E140" s="22" t="s">
        <v>228</v>
      </c>
      <c r="F140" s="22" t="s">
        <v>373</v>
      </c>
      <c r="G140" s="22" t="s">
        <v>614</v>
      </c>
      <c r="H140" s="29" t="s">
        <v>229</v>
      </c>
    </row>
    <row r="141" ht="20" customHeight="1" spans="1:8" x14ac:dyDescent="0.25">
      <c r="A141" s="24" t="s">
        <v>58</v>
      </c>
      <c r="B141" s="24" t="s">
        <v>42</v>
      </c>
      <c r="C141" s="25" t="s">
        <v>71</v>
      </c>
      <c r="D141" s="33" t="s">
        <v>86</v>
      </c>
      <c r="E141" s="24" t="s">
        <v>12</v>
      </c>
      <c r="F141" s="24" t="s">
        <v>12</v>
      </c>
      <c r="G141" s="24" t="s">
        <v>12</v>
      </c>
      <c r="H141" s="24" t="s">
        <v>32</v>
      </c>
    </row>
    <row r="142" ht="20" customHeight="1" spans="1:8" x14ac:dyDescent="0.25">
      <c r="A142" s="22" t="s">
        <v>59</v>
      </c>
      <c r="B142" s="22" t="s">
        <v>45</v>
      </c>
      <c r="C142" s="23" t="s">
        <v>71</v>
      </c>
      <c r="D142" s="6" t="s">
        <v>4</v>
      </c>
      <c r="E142" s="22" t="s">
        <v>262</v>
      </c>
      <c r="F142" s="22" t="s">
        <v>748</v>
      </c>
      <c r="G142" s="22" t="s">
        <v>279</v>
      </c>
      <c r="H142" s="29" t="s">
        <v>264</v>
      </c>
    </row>
    <row r="143" ht="20" customHeight="1" spans="1:8" x14ac:dyDescent="0.25">
      <c r="A143" s="24" t="s">
        <v>60</v>
      </c>
      <c r="B143" s="24" t="s">
        <v>31</v>
      </c>
      <c r="C143" s="25" t="s">
        <v>71</v>
      </c>
      <c r="D143" s="6" t="s">
        <v>4</v>
      </c>
      <c r="E143" s="24" t="s">
        <v>152</v>
      </c>
      <c r="F143" s="24" t="s">
        <v>560</v>
      </c>
      <c r="G143" s="24" t="s">
        <v>263</v>
      </c>
      <c r="H143" s="34" t="s">
        <v>155</v>
      </c>
    </row>
    <row r="144" ht="20" customHeight="1" spans="1:8" x14ac:dyDescent="0.25">
      <c r="A144" s="22" t="s">
        <v>61</v>
      </c>
      <c r="B144" s="22" t="s">
        <v>34</v>
      </c>
      <c r="C144" s="23" t="s">
        <v>71</v>
      </c>
      <c r="D144" s="6" t="s">
        <v>4</v>
      </c>
      <c r="E144" s="22" t="s">
        <v>185</v>
      </c>
      <c r="F144" s="22" t="s">
        <v>749</v>
      </c>
      <c r="G144" s="22" t="s">
        <v>396</v>
      </c>
      <c r="H144" s="29" t="s">
        <v>188</v>
      </c>
    </row>
    <row r="145" ht="20" customHeight="1" spans="1:8" x14ac:dyDescent="0.25">
      <c r="A145" s="24" t="s">
        <v>62</v>
      </c>
      <c r="B145" s="24" t="s">
        <v>36</v>
      </c>
      <c r="C145" s="25" t="s">
        <v>71</v>
      </c>
      <c r="D145" s="6" t="s">
        <v>4</v>
      </c>
      <c r="E145" s="24" t="s">
        <v>208</v>
      </c>
      <c r="F145" s="24" t="s">
        <v>750</v>
      </c>
      <c r="G145" s="24" t="s">
        <v>410</v>
      </c>
      <c r="H145" s="34" t="s">
        <v>210</v>
      </c>
    </row>
    <row r="146" ht="20" customHeight="1" spans="1:8" x14ac:dyDescent="0.25">
      <c r="A146" s="22" t="s">
        <v>63</v>
      </c>
      <c r="B146" s="22" t="s">
        <v>38</v>
      </c>
      <c r="C146" s="23" t="s">
        <v>71</v>
      </c>
      <c r="D146" s="6" t="s">
        <v>4</v>
      </c>
      <c r="E146" s="22" t="s">
        <v>230</v>
      </c>
      <c r="F146" s="22" t="s">
        <v>412</v>
      </c>
      <c r="G146" s="22" t="s">
        <v>652</v>
      </c>
      <c r="H146" s="29" t="s">
        <v>233</v>
      </c>
    </row>
    <row r="147" ht="20" customHeight="1" spans="1:8" x14ac:dyDescent="0.25">
      <c r="A147" s="24" t="s">
        <v>64</v>
      </c>
      <c r="B147" s="24" t="s">
        <v>40</v>
      </c>
      <c r="C147" s="25" t="s">
        <v>71</v>
      </c>
      <c r="D147" s="6" t="s">
        <v>4</v>
      </c>
      <c r="E147" s="24" t="s">
        <v>230</v>
      </c>
      <c r="F147" s="24" t="s">
        <v>395</v>
      </c>
      <c r="G147" s="24" t="s">
        <v>339</v>
      </c>
      <c r="H147" s="34" t="s">
        <v>233</v>
      </c>
    </row>
    <row r="148" ht="20" customHeight="1" spans="1:8" x14ac:dyDescent="0.25">
      <c r="A148" s="22" t="s">
        <v>65</v>
      </c>
      <c r="B148" s="22" t="s">
        <v>42</v>
      </c>
      <c r="C148" s="23" t="s">
        <v>71</v>
      </c>
      <c r="D148" s="35" t="s">
        <v>86</v>
      </c>
      <c r="E148" s="22" t="s">
        <v>12</v>
      </c>
      <c r="F148" s="22" t="s">
        <v>12</v>
      </c>
      <c r="G148" s="22" t="s">
        <v>12</v>
      </c>
      <c r="H148" s="22" t="s">
        <v>32</v>
      </c>
    </row>
    <row r="149" ht="20" customHeight="1" spans="1:8" x14ac:dyDescent="0.25">
      <c r="A149" s="24" t="s">
        <v>66</v>
      </c>
      <c r="B149" s="24" t="s">
        <v>45</v>
      </c>
      <c r="C149" s="25" t="s">
        <v>71</v>
      </c>
      <c r="D149" s="6" t="s">
        <v>4</v>
      </c>
      <c r="E149" s="24" t="s">
        <v>242</v>
      </c>
      <c r="F149" s="24" t="s">
        <v>404</v>
      </c>
      <c r="G149" s="24" t="s">
        <v>263</v>
      </c>
      <c r="H149" s="34" t="s">
        <v>244</v>
      </c>
    </row>
    <row r="150" ht="20" customHeight="1" spans="1:8" x14ac:dyDescent="0.25">
      <c r="A150" s="22" t="s">
        <v>67</v>
      </c>
      <c r="B150" s="22" t="s">
        <v>31</v>
      </c>
      <c r="C150" s="23" t="s">
        <v>71</v>
      </c>
      <c r="D150" s="6" t="s">
        <v>4</v>
      </c>
      <c r="E150" s="22" t="s">
        <v>262</v>
      </c>
      <c r="F150" s="22" t="s">
        <v>751</v>
      </c>
      <c r="G150" s="22" t="s">
        <v>752</v>
      </c>
      <c r="H150" s="29" t="s">
        <v>264</v>
      </c>
    </row>
    <row r="151" ht="20" customHeight="1" spans="1:8" x14ac:dyDescent="0.25">
      <c r="A151" s="24" t="s">
        <v>68</v>
      </c>
      <c r="B151" s="24" t="s">
        <v>34</v>
      </c>
      <c r="C151" s="25" t="s">
        <v>71</v>
      </c>
      <c r="D151" s="10" t="s">
        <v>87</v>
      </c>
      <c r="E151" s="24" t="s">
        <v>12</v>
      </c>
      <c r="F151" s="24" t="s">
        <v>12</v>
      </c>
      <c r="G151" s="24" t="s">
        <v>12</v>
      </c>
      <c r="H151" s="24" t="s">
        <v>32</v>
      </c>
    </row>
    <row r="152" ht="22" customHeight="1" spans="1:8" x14ac:dyDescent="0.25">
      <c r="A152" s="26" t="s">
        <v>69</v>
      </c>
      <c r="B152" s="26"/>
      <c r="C152" s="26"/>
      <c r="D152" s="26"/>
      <c r="E152" s="26"/>
      <c r="F152" s="26"/>
      <c r="G152" s="27" t="s">
        <v>753</v>
      </c>
      <c r="H152" s="28" t="s">
        <v>12</v>
      </c>
    </row>
    <row r="154" ht="26" customHeight="1" spans="1:8" x14ac:dyDescent="0.25">
      <c r="A154" s="20" t="s">
        <v>754</v>
      </c>
      <c r="B154" s="20"/>
      <c r="C154" s="20"/>
      <c r="D154" s="20"/>
      <c r="E154" s="20"/>
      <c r="F154" s="20"/>
      <c r="G154" s="20"/>
      <c r="H154" s="20"/>
    </row>
    <row r="155" ht="22" customHeight="1" spans="1:8" x14ac:dyDescent="0.25">
      <c r="A155" s="21" t="s">
        <v>22</v>
      </c>
      <c r="B155" s="21" t="s">
        <v>23</v>
      </c>
      <c r="C155" s="21" t="s">
        <v>24</v>
      </c>
      <c r="D155" s="21" t="s">
        <v>25</v>
      </c>
      <c r="E155" s="21" t="s">
        <v>26</v>
      </c>
      <c r="F155" s="21" t="s">
        <v>27</v>
      </c>
      <c r="G155" s="21" t="s">
        <v>28</v>
      </c>
      <c r="H155" s="21" t="s">
        <v>29</v>
      </c>
    </row>
    <row r="156" ht="20" customHeight="1" spans="1:8" x14ac:dyDescent="0.25">
      <c r="A156" s="22" t="s">
        <v>30</v>
      </c>
      <c r="B156" s="22" t="s">
        <v>31</v>
      </c>
      <c r="C156" s="23" t="s">
        <v>71</v>
      </c>
      <c r="D156" s="6" t="s">
        <v>4</v>
      </c>
      <c r="E156" s="22" t="s">
        <v>387</v>
      </c>
      <c r="F156" s="22" t="s">
        <v>235</v>
      </c>
      <c r="G156" s="22" t="s">
        <v>283</v>
      </c>
      <c r="H156" s="32" t="s">
        <v>79</v>
      </c>
    </row>
    <row r="157" ht="20" customHeight="1" spans="1:8" x14ac:dyDescent="0.25">
      <c r="A157" s="24" t="s">
        <v>33</v>
      </c>
      <c r="B157" s="24" t="s">
        <v>34</v>
      </c>
      <c r="C157" s="25" t="s">
        <v>71</v>
      </c>
      <c r="D157" s="6" t="s">
        <v>4</v>
      </c>
      <c r="E157" s="24" t="s">
        <v>755</v>
      </c>
      <c r="F157" s="24" t="s">
        <v>370</v>
      </c>
      <c r="G157" s="24" t="s">
        <v>285</v>
      </c>
      <c r="H157" s="34" t="s">
        <v>756</v>
      </c>
    </row>
    <row r="158" ht="20" customHeight="1" spans="1:8" x14ac:dyDescent="0.25">
      <c r="A158" s="22" t="s">
        <v>35</v>
      </c>
      <c r="B158" s="22" t="s">
        <v>36</v>
      </c>
      <c r="C158" s="23" t="s">
        <v>71</v>
      </c>
      <c r="D158" s="6" t="s">
        <v>4</v>
      </c>
      <c r="E158" s="22" t="s">
        <v>364</v>
      </c>
      <c r="F158" s="22" t="s">
        <v>12</v>
      </c>
      <c r="G158" s="22" t="s">
        <v>12</v>
      </c>
      <c r="H158" s="32" t="s">
        <v>79</v>
      </c>
    </row>
    <row r="159" ht="20" customHeight="1" spans="1:8" x14ac:dyDescent="0.25">
      <c r="A159" s="24" t="s">
        <v>37</v>
      </c>
      <c r="B159" s="24" t="s">
        <v>38</v>
      </c>
      <c r="C159" s="25" t="s">
        <v>71</v>
      </c>
      <c r="D159" s="31" t="s">
        <v>11</v>
      </c>
      <c r="E159" s="24" t="s">
        <v>12</v>
      </c>
      <c r="F159" s="24" t="s">
        <v>12</v>
      </c>
      <c r="G159" s="24" t="s">
        <v>12</v>
      </c>
      <c r="H159" s="24" t="s">
        <v>32</v>
      </c>
    </row>
    <row r="160" ht="20" customHeight="1" spans="1:8" x14ac:dyDescent="0.25">
      <c r="A160" s="22" t="s">
        <v>39</v>
      </c>
      <c r="B160" s="22" t="s">
        <v>40</v>
      </c>
      <c r="C160" s="23" t="s">
        <v>71</v>
      </c>
      <c r="D160" s="6" t="s">
        <v>4</v>
      </c>
      <c r="E160" s="22" t="s">
        <v>377</v>
      </c>
      <c r="F160" s="22" t="s">
        <v>366</v>
      </c>
      <c r="G160" s="22" t="s">
        <v>414</v>
      </c>
      <c r="H160" s="29" t="s">
        <v>378</v>
      </c>
    </row>
    <row r="161" ht="20" customHeight="1" spans="1:8" x14ac:dyDescent="0.25">
      <c r="A161" s="24" t="s">
        <v>41</v>
      </c>
      <c r="B161" s="24" t="s">
        <v>42</v>
      </c>
      <c r="C161" s="25" t="s">
        <v>71</v>
      </c>
      <c r="D161" s="33" t="s">
        <v>86</v>
      </c>
      <c r="E161" s="24" t="s">
        <v>12</v>
      </c>
      <c r="F161" s="24" t="s">
        <v>12</v>
      </c>
      <c r="G161" s="24" t="s">
        <v>12</v>
      </c>
      <c r="H161" s="24" t="s">
        <v>32</v>
      </c>
    </row>
    <row r="162" ht="20" customHeight="1" spans="1:8" x14ac:dyDescent="0.25">
      <c r="A162" s="22" t="s">
        <v>44</v>
      </c>
      <c r="B162" s="22" t="s">
        <v>45</v>
      </c>
      <c r="C162" s="23" t="s">
        <v>71</v>
      </c>
      <c r="D162" s="6" t="s">
        <v>4</v>
      </c>
      <c r="E162" s="22" t="s">
        <v>322</v>
      </c>
      <c r="F162" s="22" t="s">
        <v>104</v>
      </c>
      <c r="G162" s="22" t="s">
        <v>134</v>
      </c>
      <c r="H162" s="29" t="s">
        <v>323</v>
      </c>
    </row>
    <row r="163" ht="20" customHeight="1" spans="1:8" x14ac:dyDescent="0.25">
      <c r="A163" s="24" t="s">
        <v>46</v>
      </c>
      <c r="B163" s="24" t="s">
        <v>31</v>
      </c>
      <c r="C163" s="25" t="s">
        <v>71</v>
      </c>
      <c r="D163" s="6" t="s">
        <v>4</v>
      </c>
      <c r="E163" s="24" t="s">
        <v>435</v>
      </c>
      <c r="F163" s="24" t="s">
        <v>386</v>
      </c>
      <c r="G163" s="24" t="s">
        <v>123</v>
      </c>
      <c r="H163" s="30" t="s">
        <v>79</v>
      </c>
    </row>
    <row r="164" ht="20" customHeight="1" spans="1:8" x14ac:dyDescent="0.25">
      <c r="A164" s="22" t="s">
        <v>47</v>
      </c>
      <c r="B164" s="22" t="s">
        <v>34</v>
      </c>
      <c r="C164" s="23" t="s">
        <v>71</v>
      </c>
      <c r="D164" s="6" t="s">
        <v>4</v>
      </c>
      <c r="E164" s="22" t="s">
        <v>356</v>
      </c>
      <c r="F164" s="22" t="s">
        <v>160</v>
      </c>
      <c r="G164" s="22" t="s">
        <v>281</v>
      </c>
      <c r="H164" s="29" t="s">
        <v>357</v>
      </c>
    </row>
    <row r="165" ht="20" customHeight="1" spans="1:8" x14ac:dyDescent="0.25">
      <c r="A165" s="24" t="s">
        <v>48</v>
      </c>
      <c r="B165" s="24" t="s">
        <v>36</v>
      </c>
      <c r="C165" s="25" t="s">
        <v>71</v>
      </c>
      <c r="D165" s="6" t="s">
        <v>4</v>
      </c>
      <c r="E165" s="24" t="s">
        <v>375</v>
      </c>
      <c r="F165" s="24" t="s">
        <v>211</v>
      </c>
      <c r="G165" s="24" t="s">
        <v>652</v>
      </c>
      <c r="H165" s="30" t="s">
        <v>79</v>
      </c>
    </row>
    <row r="166" ht="20" customHeight="1" spans="1:8" x14ac:dyDescent="0.25">
      <c r="A166" s="22" t="s">
        <v>49</v>
      </c>
      <c r="B166" s="22" t="s">
        <v>38</v>
      </c>
      <c r="C166" s="23" t="s">
        <v>71</v>
      </c>
      <c r="D166" s="6" t="s">
        <v>4</v>
      </c>
      <c r="E166" s="22" t="s">
        <v>392</v>
      </c>
      <c r="F166" s="22" t="s">
        <v>757</v>
      </c>
      <c r="G166" s="22" t="s">
        <v>414</v>
      </c>
      <c r="H166" s="29" t="s">
        <v>394</v>
      </c>
    </row>
    <row r="167" ht="20" customHeight="1" spans="1:8" x14ac:dyDescent="0.25">
      <c r="A167" s="24" t="s">
        <v>50</v>
      </c>
      <c r="B167" s="24" t="s">
        <v>40</v>
      </c>
      <c r="C167" s="25" t="s">
        <v>71</v>
      </c>
      <c r="D167" s="33" t="s">
        <v>86</v>
      </c>
      <c r="E167" s="24" t="s">
        <v>12</v>
      </c>
      <c r="F167" s="24" t="s">
        <v>12</v>
      </c>
      <c r="G167" s="24" t="s">
        <v>12</v>
      </c>
      <c r="H167" s="24" t="s">
        <v>32</v>
      </c>
    </row>
    <row r="168" ht="20" customHeight="1" spans="1:8" x14ac:dyDescent="0.25">
      <c r="A168" s="22" t="s">
        <v>51</v>
      </c>
      <c r="B168" s="22" t="s">
        <v>42</v>
      </c>
      <c r="C168" s="23" t="s">
        <v>71</v>
      </c>
      <c r="D168" s="35" t="s">
        <v>86</v>
      </c>
      <c r="E168" s="22" t="s">
        <v>12</v>
      </c>
      <c r="F168" s="22" t="s">
        <v>12</v>
      </c>
      <c r="G168" s="22" t="s">
        <v>12</v>
      </c>
      <c r="H168" s="22" t="s">
        <v>32</v>
      </c>
    </row>
    <row r="169" ht="20" customHeight="1" spans="1:8" x14ac:dyDescent="0.25">
      <c r="A169" s="24" t="s">
        <v>52</v>
      </c>
      <c r="B169" s="24" t="s">
        <v>45</v>
      </c>
      <c r="C169" s="25" t="s">
        <v>71</v>
      </c>
      <c r="D169" s="6" t="s">
        <v>4</v>
      </c>
      <c r="E169" s="24" t="s">
        <v>159</v>
      </c>
      <c r="F169" s="24" t="s">
        <v>648</v>
      </c>
      <c r="G169" s="24" t="s">
        <v>74</v>
      </c>
      <c r="H169" s="34" t="s">
        <v>162</v>
      </c>
    </row>
    <row r="170" ht="20" customHeight="1" spans="1:8" x14ac:dyDescent="0.25">
      <c r="A170" s="22" t="s">
        <v>53</v>
      </c>
      <c r="B170" s="22" t="s">
        <v>31</v>
      </c>
      <c r="C170" s="23" t="s">
        <v>71</v>
      </c>
      <c r="D170" s="6" t="s">
        <v>4</v>
      </c>
      <c r="E170" s="22" t="s">
        <v>397</v>
      </c>
      <c r="F170" s="22" t="s">
        <v>235</v>
      </c>
      <c r="G170" s="22" t="s">
        <v>475</v>
      </c>
      <c r="H170" s="32" t="s">
        <v>79</v>
      </c>
    </row>
    <row r="171" ht="20" customHeight="1" spans="1:8" x14ac:dyDescent="0.25">
      <c r="A171" s="24" t="s">
        <v>54</v>
      </c>
      <c r="B171" s="24" t="s">
        <v>34</v>
      </c>
      <c r="C171" s="25" t="s">
        <v>71</v>
      </c>
      <c r="D171" s="6" t="s">
        <v>4</v>
      </c>
      <c r="E171" s="24" t="s">
        <v>242</v>
      </c>
      <c r="F171" s="24" t="s">
        <v>182</v>
      </c>
      <c r="G171" s="24" t="s">
        <v>259</v>
      </c>
      <c r="H171" s="34" t="s">
        <v>244</v>
      </c>
    </row>
    <row r="172" ht="20" customHeight="1" spans="1:8" x14ac:dyDescent="0.25">
      <c r="A172" s="22" t="s">
        <v>55</v>
      </c>
      <c r="B172" s="22" t="s">
        <v>36</v>
      </c>
      <c r="C172" s="23" t="s">
        <v>71</v>
      </c>
      <c r="D172" s="6" t="s">
        <v>4</v>
      </c>
      <c r="E172" s="22" t="s">
        <v>567</v>
      </c>
      <c r="F172" s="22" t="s">
        <v>96</v>
      </c>
      <c r="G172" s="22" t="s">
        <v>302</v>
      </c>
      <c r="H172" s="32" t="s">
        <v>79</v>
      </c>
    </row>
    <row r="173" ht="20" customHeight="1" spans="1:8" x14ac:dyDescent="0.25">
      <c r="A173" s="24" t="s">
        <v>56</v>
      </c>
      <c r="B173" s="24" t="s">
        <v>38</v>
      </c>
      <c r="C173" s="25" t="s">
        <v>71</v>
      </c>
      <c r="D173" s="6" t="s">
        <v>4</v>
      </c>
      <c r="E173" s="24" t="s">
        <v>156</v>
      </c>
      <c r="F173" s="24" t="s">
        <v>343</v>
      </c>
      <c r="G173" s="24" t="s">
        <v>758</v>
      </c>
      <c r="H173" s="34" t="s">
        <v>158</v>
      </c>
    </row>
    <row r="174" ht="20" customHeight="1" spans="1:8" x14ac:dyDescent="0.25">
      <c r="A174" s="22" t="s">
        <v>57</v>
      </c>
      <c r="B174" s="22" t="s">
        <v>40</v>
      </c>
      <c r="C174" s="23" t="s">
        <v>71</v>
      </c>
      <c r="D174" s="6" t="s">
        <v>4</v>
      </c>
      <c r="E174" s="22" t="s">
        <v>239</v>
      </c>
      <c r="F174" s="22" t="s">
        <v>237</v>
      </c>
      <c r="G174" s="22" t="s">
        <v>240</v>
      </c>
      <c r="H174" s="29" t="s">
        <v>241</v>
      </c>
    </row>
    <row r="175" ht="20" customHeight="1" spans="1:8" x14ac:dyDescent="0.25">
      <c r="A175" s="24" t="s">
        <v>58</v>
      </c>
      <c r="B175" s="24" t="s">
        <v>42</v>
      </c>
      <c r="C175" s="25" t="s">
        <v>71</v>
      </c>
      <c r="D175" s="33" t="s">
        <v>86</v>
      </c>
      <c r="E175" s="24" t="s">
        <v>12</v>
      </c>
      <c r="F175" s="24" t="s">
        <v>12</v>
      </c>
      <c r="G175" s="24" t="s">
        <v>12</v>
      </c>
      <c r="H175" s="24" t="s">
        <v>32</v>
      </c>
    </row>
    <row r="176" ht="20" customHeight="1" spans="1:8" x14ac:dyDescent="0.25">
      <c r="A176" s="22" t="s">
        <v>59</v>
      </c>
      <c r="B176" s="22" t="s">
        <v>45</v>
      </c>
      <c r="C176" s="23" t="s">
        <v>71</v>
      </c>
      <c r="D176" s="6" t="s">
        <v>4</v>
      </c>
      <c r="E176" s="22" t="s">
        <v>361</v>
      </c>
      <c r="F176" s="22" t="s">
        <v>759</v>
      </c>
      <c r="G176" s="22" t="s">
        <v>760</v>
      </c>
      <c r="H176" s="32" t="s">
        <v>79</v>
      </c>
    </row>
    <row r="177" ht="20" customHeight="1" spans="1:8" x14ac:dyDescent="0.25">
      <c r="A177" s="24" t="s">
        <v>60</v>
      </c>
      <c r="B177" s="24" t="s">
        <v>31</v>
      </c>
      <c r="C177" s="25" t="s">
        <v>71</v>
      </c>
      <c r="D177" s="6" t="s">
        <v>4</v>
      </c>
      <c r="E177" s="24" t="s">
        <v>383</v>
      </c>
      <c r="F177" s="24" t="s">
        <v>373</v>
      </c>
      <c r="G177" s="24" t="s">
        <v>285</v>
      </c>
      <c r="H177" s="30" t="s">
        <v>79</v>
      </c>
    </row>
    <row r="178" ht="20" customHeight="1" spans="1:8" x14ac:dyDescent="0.25">
      <c r="A178" s="22" t="s">
        <v>61</v>
      </c>
      <c r="B178" s="22" t="s">
        <v>34</v>
      </c>
      <c r="C178" s="23" t="s">
        <v>71</v>
      </c>
      <c r="D178" s="6" t="s">
        <v>4</v>
      </c>
      <c r="E178" s="22" t="s">
        <v>403</v>
      </c>
      <c r="F178" s="22" t="s">
        <v>761</v>
      </c>
      <c r="G178" s="22" t="s">
        <v>762</v>
      </c>
      <c r="H178" s="32" t="s">
        <v>79</v>
      </c>
    </row>
    <row r="179" ht="20" customHeight="1" spans="1:8" x14ac:dyDescent="0.25">
      <c r="A179" s="24" t="s">
        <v>62</v>
      </c>
      <c r="B179" s="24" t="s">
        <v>36</v>
      </c>
      <c r="C179" s="25" t="s">
        <v>71</v>
      </c>
      <c r="D179" s="6" t="s">
        <v>4</v>
      </c>
      <c r="E179" s="24" t="s">
        <v>322</v>
      </c>
      <c r="F179" s="24" t="s">
        <v>112</v>
      </c>
      <c r="G179" s="24" t="s">
        <v>161</v>
      </c>
      <c r="H179" s="34" t="s">
        <v>323</v>
      </c>
    </row>
    <row r="180" ht="20" customHeight="1" spans="1:8" x14ac:dyDescent="0.25">
      <c r="A180" s="22" t="s">
        <v>63</v>
      </c>
      <c r="B180" s="22" t="s">
        <v>38</v>
      </c>
      <c r="C180" s="23" t="s">
        <v>71</v>
      </c>
      <c r="D180" s="6" t="s">
        <v>4</v>
      </c>
      <c r="E180" s="22" t="s">
        <v>76</v>
      </c>
      <c r="F180" s="22" t="s">
        <v>641</v>
      </c>
      <c r="G180" s="22" t="s">
        <v>763</v>
      </c>
      <c r="H180" s="32" t="s">
        <v>79</v>
      </c>
    </row>
    <row r="181" ht="20" customHeight="1" spans="1:8" x14ac:dyDescent="0.25">
      <c r="A181" s="24" t="s">
        <v>64</v>
      </c>
      <c r="B181" s="24" t="s">
        <v>40</v>
      </c>
      <c r="C181" s="25" t="s">
        <v>71</v>
      </c>
      <c r="D181" s="36" t="s">
        <v>764</v>
      </c>
      <c r="E181" s="24" t="s">
        <v>228</v>
      </c>
      <c r="F181" s="24" t="s">
        <v>765</v>
      </c>
      <c r="G181" s="24" t="s">
        <v>766</v>
      </c>
      <c r="H181" s="34" t="s">
        <v>767</v>
      </c>
    </row>
    <row r="182" ht="20" customHeight="1" spans="1:8" x14ac:dyDescent="0.25">
      <c r="A182" s="22" t="s">
        <v>65</v>
      </c>
      <c r="B182" s="22" t="s">
        <v>42</v>
      </c>
      <c r="C182" s="23" t="s">
        <v>71</v>
      </c>
      <c r="D182" s="35" t="s">
        <v>86</v>
      </c>
      <c r="E182" s="22" t="s">
        <v>12</v>
      </c>
      <c r="F182" s="22" t="s">
        <v>12</v>
      </c>
      <c r="G182" s="22" t="s">
        <v>12</v>
      </c>
      <c r="H182" s="22" t="s">
        <v>32</v>
      </c>
    </row>
    <row r="183" ht="20" customHeight="1" spans="1:8" x14ac:dyDescent="0.25">
      <c r="A183" s="24" t="s">
        <v>66</v>
      </c>
      <c r="B183" s="24" t="s">
        <v>45</v>
      </c>
      <c r="C183" s="25" t="s">
        <v>71</v>
      </c>
      <c r="D183" s="6" t="s">
        <v>4</v>
      </c>
      <c r="E183" s="24" t="s">
        <v>224</v>
      </c>
      <c r="F183" s="24" t="s">
        <v>258</v>
      </c>
      <c r="G183" s="24" t="s">
        <v>261</v>
      </c>
      <c r="H183" s="34" t="s">
        <v>227</v>
      </c>
    </row>
    <row r="184" ht="20" customHeight="1" spans="1:8" x14ac:dyDescent="0.25">
      <c r="A184" s="22" t="s">
        <v>67</v>
      </c>
      <c r="B184" s="22" t="s">
        <v>31</v>
      </c>
      <c r="C184" s="23" t="s">
        <v>71</v>
      </c>
      <c r="D184" s="6" t="s">
        <v>4</v>
      </c>
      <c r="E184" s="22" t="s">
        <v>159</v>
      </c>
      <c r="F184" s="22" t="s">
        <v>641</v>
      </c>
      <c r="G184" s="22" t="s">
        <v>414</v>
      </c>
      <c r="H184" s="29" t="s">
        <v>162</v>
      </c>
    </row>
    <row r="185" ht="20" customHeight="1" spans="1:8" x14ac:dyDescent="0.25">
      <c r="A185" s="24" t="s">
        <v>68</v>
      </c>
      <c r="B185" s="24" t="s">
        <v>34</v>
      </c>
      <c r="C185" s="25" t="s">
        <v>71</v>
      </c>
      <c r="D185" s="6" t="s">
        <v>4</v>
      </c>
      <c r="E185" s="24" t="s">
        <v>192</v>
      </c>
      <c r="F185" s="24" t="s">
        <v>641</v>
      </c>
      <c r="G185" s="24" t="s">
        <v>206</v>
      </c>
      <c r="H185" s="34" t="s">
        <v>195</v>
      </c>
    </row>
    <row r="186" ht="22" customHeight="1" spans="1:8" x14ac:dyDescent="0.25">
      <c r="A186" s="26" t="s">
        <v>69</v>
      </c>
      <c r="B186" s="26"/>
      <c r="C186" s="26"/>
      <c r="D186" s="26"/>
      <c r="E186" s="26"/>
      <c r="F186" s="26"/>
      <c r="G186" s="27" t="s">
        <v>768</v>
      </c>
      <c r="H186" s="28" t="s">
        <v>12</v>
      </c>
    </row>
    <row r="188" ht="26" customHeight="1" spans="1:8" x14ac:dyDescent="0.25">
      <c r="A188" s="20" t="s">
        <v>769</v>
      </c>
      <c r="B188" s="20"/>
      <c r="C188" s="20"/>
      <c r="D188" s="20"/>
      <c r="E188" s="20"/>
      <c r="F188" s="20"/>
      <c r="G188" s="20"/>
      <c r="H188" s="20"/>
    </row>
    <row r="189" ht="22" customHeight="1" spans="1:8" x14ac:dyDescent="0.25">
      <c r="A189" s="21" t="s">
        <v>22</v>
      </c>
      <c r="B189" s="21" t="s">
        <v>23</v>
      </c>
      <c r="C189" s="21" t="s">
        <v>24</v>
      </c>
      <c r="D189" s="21" t="s">
        <v>25</v>
      </c>
      <c r="E189" s="21" t="s">
        <v>26</v>
      </c>
      <c r="F189" s="21" t="s">
        <v>27</v>
      </c>
      <c r="G189" s="21" t="s">
        <v>28</v>
      </c>
      <c r="H189" s="21" t="s">
        <v>29</v>
      </c>
    </row>
    <row r="190" ht="20" customHeight="1" spans="1:8" x14ac:dyDescent="0.25">
      <c r="A190" s="22" t="s">
        <v>30</v>
      </c>
      <c r="B190" s="22" t="s">
        <v>31</v>
      </c>
      <c r="C190" s="23" t="s">
        <v>71</v>
      </c>
      <c r="D190" s="6" t="s">
        <v>4</v>
      </c>
      <c r="E190" s="22" t="s">
        <v>216</v>
      </c>
      <c r="F190" s="22" t="s">
        <v>211</v>
      </c>
      <c r="G190" s="22" t="s">
        <v>290</v>
      </c>
      <c r="H190" s="29" t="s">
        <v>217</v>
      </c>
    </row>
    <row r="191" ht="20" customHeight="1" spans="1:8" x14ac:dyDescent="0.25">
      <c r="A191" s="24" t="s">
        <v>33</v>
      </c>
      <c r="B191" s="24" t="s">
        <v>34</v>
      </c>
      <c r="C191" s="25" t="s">
        <v>71</v>
      </c>
      <c r="D191" s="6" t="s">
        <v>4</v>
      </c>
      <c r="E191" s="24" t="s">
        <v>208</v>
      </c>
      <c r="F191" s="24" t="s">
        <v>107</v>
      </c>
      <c r="G191" s="24" t="s">
        <v>407</v>
      </c>
      <c r="H191" s="34" t="s">
        <v>210</v>
      </c>
    </row>
    <row r="192" ht="20" customHeight="1" spans="1:8" x14ac:dyDescent="0.25">
      <c r="A192" s="22" t="s">
        <v>35</v>
      </c>
      <c r="B192" s="22" t="s">
        <v>36</v>
      </c>
      <c r="C192" s="23" t="s">
        <v>71</v>
      </c>
      <c r="D192" s="6" t="s">
        <v>4</v>
      </c>
      <c r="E192" s="22" t="s">
        <v>446</v>
      </c>
      <c r="F192" s="22" t="s">
        <v>245</v>
      </c>
      <c r="G192" s="22" t="s">
        <v>752</v>
      </c>
      <c r="H192" s="32" t="s">
        <v>79</v>
      </c>
    </row>
    <row r="193" ht="20" customHeight="1" spans="1:8" x14ac:dyDescent="0.25">
      <c r="A193" s="24" t="s">
        <v>37</v>
      </c>
      <c r="B193" s="24" t="s">
        <v>38</v>
      </c>
      <c r="C193" s="25" t="s">
        <v>71</v>
      </c>
      <c r="D193" s="10" t="s">
        <v>87</v>
      </c>
      <c r="E193" s="24" t="s">
        <v>12</v>
      </c>
      <c r="F193" s="24" t="s">
        <v>12</v>
      </c>
      <c r="G193" s="24" t="s">
        <v>12</v>
      </c>
      <c r="H193" s="24" t="s">
        <v>32</v>
      </c>
    </row>
    <row r="194" ht="20" customHeight="1" spans="1:8" x14ac:dyDescent="0.25">
      <c r="A194" s="22" t="s">
        <v>39</v>
      </c>
      <c r="B194" s="22" t="s">
        <v>40</v>
      </c>
      <c r="C194" s="23" t="s">
        <v>71</v>
      </c>
      <c r="D194" s="10" t="s">
        <v>87</v>
      </c>
      <c r="E194" s="22" t="s">
        <v>12</v>
      </c>
      <c r="F194" s="22" t="s">
        <v>12</v>
      </c>
      <c r="G194" s="22" t="s">
        <v>12</v>
      </c>
      <c r="H194" s="22" t="s">
        <v>32</v>
      </c>
    </row>
    <row r="195" ht="20" customHeight="1" spans="1:8" x14ac:dyDescent="0.25">
      <c r="A195" s="24" t="s">
        <v>41</v>
      </c>
      <c r="B195" s="24" t="s">
        <v>42</v>
      </c>
      <c r="C195" s="25" t="s">
        <v>71</v>
      </c>
      <c r="D195" s="33" t="s">
        <v>86</v>
      </c>
      <c r="E195" s="24" t="s">
        <v>12</v>
      </c>
      <c r="F195" s="24" t="s">
        <v>12</v>
      </c>
      <c r="G195" s="24" t="s">
        <v>12</v>
      </c>
      <c r="H195" s="24" t="s">
        <v>32</v>
      </c>
    </row>
    <row r="196" ht="20" customHeight="1" spans="1:8" x14ac:dyDescent="0.25">
      <c r="A196" s="22" t="s">
        <v>44</v>
      </c>
      <c r="B196" s="22" t="s">
        <v>45</v>
      </c>
      <c r="C196" s="23" t="s">
        <v>71</v>
      </c>
      <c r="D196" s="6" t="s">
        <v>4</v>
      </c>
      <c r="E196" s="22" t="s">
        <v>257</v>
      </c>
      <c r="F196" s="22" t="s">
        <v>641</v>
      </c>
      <c r="G196" s="22" t="s">
        <v>659</v>
      </c>
      <c r="H196" s="29" t="s">
        <v>260</v>
      </c>
    </row>
    <row r="197" ht="20" customHeight="1" spans="1:8" x14ac:dyDescent="0.25">
      <c r="A197" s="24" t="s">
        <v>46</v>
      </c>
      <c r="B197" s="24" t="s">
        <v>31</v>
      </c>
      <c r="C197" s="25" t="s">
        <v>71</v>
      </c>
      <c r="D197" s="6" t="s">
        <v>4</v>
      </c>
      <c r="E197" s="24" t="s">
        <v>224</v>
      </c>
      <c r="F197" s="24" t="s">
        <v>213</v>
      </c>
      <c r="G197" s="24" t="s">
        <v>99</v>
      </c>
      <c r="H197" s="34" t="s">
        <v>227</v>
      </c>
    </row>
    <row r="198" ht="20" customHeight="1" spans="1:8" x14ac:dyDescent="0.25">
      <c r="A198" s="22" t="s">
        <v>47</v>
      </c>
      <c r="B198" s="22" t="s">
        <v>34</v>
      </c>
      <c r="C198" s="23" t="s">
        <v>71</v>
      </c>
      <c r="D198" s="6" t="s">
        <v>4</v>
      </c>
      <c r="E198" s="22" t="s">
        <v>163</v>
      </c>
      <c r="F198" s="22" t="s">
        <v>160</v>
      </c>
      <c r="G198" s="22" t="s">
        <v>154</v>
      </c>
      <c r="H198" s="29" t="s">
        <v>166</v>
      </c>
    </row>
    <row r="199" ht="20" customHeight="1" spans="1:8" x14ac:dyDescent="0.25">
      <c r="A199" s="24" t="s">
        <v>48</v>
      </c>
      <c r="B199" s="24" t="s">
        <v>36</v>
      </c>
      <c r="C199" s="25" t="s">
        <v>71</v>
      </c>
      <c r="D199" s="6" t="s">
        <v>4</v>
      </c>
      <c r="E199" s="24" t="s">
        <v>196</v>
      </c>
      <c r="F199" s="24" t="s">
        <v>211</v>
      </c>
      <c r="G199" s="24" t="s">
        <v>174</v>
      </c>
      <c r="H199" s="34" t="s">
        <v>198</v>
      </c>
    </row>
    <row r="200" ht="20" customHeight="1" spans="1:8" x14ac:dyDescent="0.25">
      <c r="A200" s="22" t="s">
        <v>49</v>
      </c>
      <c r="B200" s="22" t="s">
        <v>38</v>
      </c>
      <c r="C200" s="23" t="s">
        <v>71</v>
      </c>
      <c r="D200" s="6" t="s">
        <v>4</v>
      </c>
      <c r="E200" s="22" t="s">
        <v>192</v>
      </c>
      <c r="F200" s="22" t="s">
        <v>213</v>
      </c>
      <c r="G200" s="22" t="s">
        <v>577</v>
      </c>
      <c r="H200" s="29" t="s">
        <v>195</v>
      </c>
    </row>
    <row r="201" ht="20" customHeight="1" spans="1:8" x14ac:dyDescent="0.25">
      <c r="A201" s="24" t="s">
        <v>50</v>
      </c>
      <c r="B201" s="24" t="s">
        <v>40</v>
      </c>
      <c r="C201" s="25" t="s">
        <v>71</v>
      </c>
      <c r="D201" s="33" t="s">
        <v>86</v>
      </c>
      <c r="E201" s="24" t="s">
        <v>12</v>
      </c>
      <c r="F201" s="24" t="s">
        <v>12</v>
      </c>
      <c r="G201" s="24" t="s">
        <v>12</v>
      </c>
      <c r="H201" s="24" t="s">
        <v>32</v>
      </c>
    </row>
    <row r="202" ht="20" customHeight="1" spans="1:8" x14ac:dyDescent="0.25">
      <c r="A202" s="22" t="s">
        <v>51</v>
      </c>
      <c r="B202" s="22" t="s">
        <v>42</v>
      </c>
      <c r="C202" s="23" t="s">
        <v>71</v>
      </c>
      <c r="D202" s="35" t="s">
        <v>86</v>
      </c>
      <c r="E202" s="22" t="s">
        <v>12</v>
      </c>
      <c r="F202" s="22" t="s">
        <v>12</v>
      </c>
      <c r="G202" s="22" t="s">
        <v>12</v>
      </c>
      <c r="H202" s="22" t="s">
        <v>32</v>
      </c>
    </row>
    <row r="203" ht="20" customHeight="1" spans="1:8" x14ac:dyDescent="0.25">
      <c r="A203" s="24" t="s">
        <v>52</v>
      </c>
      <c r="B203" s="24" t="s">
        <v>45</v>
      </c>
      <c r="C203" s="25" t="s">
        <v>71</v>
      </c>
      <c r="D203" s="6" t="s">
        <v>4</v>
      </c>
      <c r="E203" s="24" t="s">
        <v>159</v>
      </c>
      <c r="F203" s="24" t="s">
        <v>759</v>
      </c>
      <c r="G203" s="24" t="s">
        <v>726</v>
      </c>
      <c r="H203" s="34" t="s">
        <v>162</v>
      </c>
    </row>
    <row r="204" ht="20" customHeight="1" spans="1:8" x14ac:dyDescent="0.25">
      <c r="A204" s="22" t="s">
        <v>53</v>
      </c>
      <c r="B204" s="22" t="s">
        <v>31</v>
      </c>
      <c r="C204" s="23" t="s">
        <v>71</v>
      </c>
      <c r="D204" s="6" t="s">
        <v>4</v>
      </c>
      <c r="E204" s="22" t="s">
        <v>518</v>
      </c>
      <c r="F204" s="22" t="s">
        <v>354</v>
      </c>
      <c r="G204" s="22" t="s">
        <v>174</v>
      </c>
      <c r="H204" s="32" t="s">
        <v>79</v>
      </c>
    </row>
    <row r="205" ht="20" customHeight="1" spans="1:8" x14ac:dyDescent="0.25">
      <c r="A205" s="24" t="s">
        <v>54</v>
      </c>
      <c r="B205" s="24" t="s">
        <v>34</v>
      </c>
      <c r="C205" s="25" t="s">
        <v>71</v>
      </c>
      <c r="D205" s="6" t="s">
        <v>4</v>
      </c>
      <c r="E205" s="24" t="s">
        <v>239</v>
      </c>
      <c r="F205" s="24" t="s">
        <v>252</v>
      </c>
      <c r="G205" s="24" t="s">
        <v>180</v>
      </c>
      <c r="H205" s="34" t="s">
        <v>241</v>
      </c>
    </row>
    <row r="206" ht="20" customHeight="1" spans="1:8" x14ac:dyDescent="0.25">
      <c r="A206" s="22" t="s">
        <v>55</v>
      </c>
      <c r="B206" s="22" t="s">
        <v>36</v>
      </c>
      <c r="C206" s="23" t="s">
        <v>71</v>
      </c>
      <c r="D206" s="6" t="s">
        <v>4</v>
      </c>
      <c r="E206" s="22" t="s">
        <v>257</v>
      </c>
      <c r="F206" s="22" t="s">
        <v>519</v>
      </c>
      <c r="G206" s="22" t="s">
        <v>232</v>
      </c>
      <c r="H206" s="29" t="s">
        <v>260</v>
      </c>
    </row>
    <row r="207" ht="20" customHeight="1" spans="1:8" x14ac:dyDescent="0.25">
      <c r="A207" s="24" t="s">
        <v>56</v>
      </c>
      <c r="B207" s="24" t="s">
        <v>38</v>
      </c>
      <c r="C207" s="25" t="s">
        <v>71</v>
      </c>
      <c r="D207" s="6" t="s">
        <v>4</v>
      </c>
      <c r="E207" s="24" t="s">
        <v>189</v>
      </c>
      <c r="F207" s="24" t="s">
        <v>344</v>
      </c>
      <c r="G207" s="24" t="s">
        <v>240</v>
      </c>
      <c r="H207" s="34" t="s">
        <v>191</v>
      </c>
    </row>
    <row r="208" ht="20" customHeight="1" spans="1:8" x14ac:dyDescent="0.25">
      <c r="A208" s="22" t="s">
        <v>57</v>
      </c>
      <c r="B208" s="22" t="s">
        <v>40</v>
      </c>
      <c r="C208" s="23" t="s">
        <v>71</v>
      </c>
      <c r="D208" s="6" t="s">
        <v>4</v>
      </c>
      <c r="E208" s="22" t="s">
        <v>362</v>
      </c>
      <c r="F208" s="22" t="s">
        <v>636</v>
      </c>
      <c r="G208" s="22" t="s">
        <v>563</v>
      </c>
      <c r="H208" s="32" t="s">
        <v>79</v>
      </c>
    </row>
    <row r="209" ht="20" customHeight="1" spans="1:8" x14ac:dyDescent="0.25">
      <c r="A209" s="24" t="s">
        <v>58</v>
      </c>
      <c r="B209" s="24" t="s">
        <v>42</v>
      </c>
      <c r="C209" s="25" t="s">
        <v>71</v>
      </c>
      <c r="D209" s="33" t="s">
        <v>86</v>
      </c>
      <c r="E209" s="24" t="s">
        <v>12</v>
      </c>
      <c r="F209" s="24" t="s">
        <v>12</v>
      </c>
      <c r="G209" s="24" t="s">
        <v>12</v>
      </c>
      <c r="H209" s="24" t="s">
        <v>32</v>
      </c>
    </row>
    <row r="210" ht="20" customHeight="1" spans="1:8" x14ac:dyDescent="0.25">
      <c r="A210" s="22" t="s">
        <v>59</v>
      </c>
      <c r="B210" s="22" t="s">
        <v>45</v>
      </c>
      <c r="C210" s="23" t="s">
        <v>71</v>
      </c>
      <c r="D210" s="6" t="s">
        <v>4</v>
      </c>
      <c r="E210" s="22" t="s">
        <v>189</v>
      </c>
      <c r="F210" s="22" t="s">
        <v>182</v>
      </c>
      <c r="G210" s="22" t="s">
        <v>174</v>
      </c>
      <c r="H210" s="29" t="s">
        <v>191</v>
      </c>
    </row>
    <row r="211" ht="20" customHeight="1" spans="1:8" x14ac:dyDescent="0.25">
      <c r="A211" s="24" t="s">
        <v>60</v>
      </c>
      <c r="B211" s="24" t="s">
        <v>31</v>
      </c>
      <c r="C211" s="25" t="s">
        <v>71</v>
      </c>
      <c r="D211" s="6" t="s">
        <v>4</v>
      </c>
      <c r="E211" s="24" t="s">
        <v>644</v>
      </c>
      <c r="F211" s="24" t="s">
        <v>186</v>
      </c>
      <c r="G211" s="24" t="s">
        <v>396</v>
      </c>
      <c r="H211" s="34" t="s">
        <v>645</v>
      </c>
    </row>
    <row r="212" ht="20" customHeight="1" spans="1:8" x14ac:dyDescent="0.25">
      <c r="A212" s="22" t="s">
        <v>61</v>
      </c>
      <c r="B212" s="22" t="s">
        <v>34</v>
      </c>
      <c r="C212" s="23" t="s">
        <v>71</v>
      </c>
      <c r="D212" s="6" t="s">
        <v>4</v>
      </c>
      <c r="E212" s="22" t="s">
        <v>224</v>
      </c>
      <c r="F212" s="22" t="s">
        <v>245</v>
      </c>
      <c r="G212" s="22" t="s">
        <v>174</v>
      </c>
      <c r="H212" s="29" t="s">
        <v>227</v>
      </c>
    </row>
    <row r="213" ht="20" customHeight="1" spans="1:8" x14ac:dyDescent="0.25">
      <c r="A213" s="24" t="s">
        <v>62</v>
      </c>
      <c r="B213" s="24" t="s">
        <v>36</v>
      </c>
      <c r="C213" s="25" t="s">
        <v>71</v>
      </c>
      <c r="D213" s="6" t="s">
        <v>4</v>
      </c>
      <c r="E213" s="24" t="s">
        <v>167</v>
      </c>
      <c r="F213" s="24" t="s">
        <v>748</v>
      </c>
      <c r="G213" s="24" t="s">
        <v>99</v>
      </c>
      <c r="H213" s="34" t="s">
        <v>168</v>
      </c>
    </row>
    <row r="214" ht="20" customHeight="1" spans="1:8" x14ac:dyDescent="0.25">
      <c r="A214" s="22" t="s">
        <v>63</v>
      </c>
      <c r="B214" s="22" t="s">
        <v>38</v>
      </c>
      <c r="C214" s="23" t="s">
        <v>71</v>
      </c>
      <c r="D214" s="6" t="s">
        <v>4</v>
      </c>
      <c r="E214" s="22" t="s">
        <v>205</v>
      </c>
      <c r="F214" s="22" t="s">
        <v>153</v>
      </c>
      <c r="G214" s="22" t="s">
        <v>165</v>
      </c>
      <c r="H214" s="29" t="s">
        <v>207</v>
      </c>
    </row>
    <row r="215" ht="20" customHeight="1" spans="1:8" x14ac:dyDescent="0.25">
      <c r="A215" s="24" t="s">
        <v>64</v>
      </c>
      <c r="B215" s="24" t="s">
        <v>40</v>
      </c>
      <c r="C215" s="25" t="s">
        <v>71</v>
      </c>
      <c r="D215" s="6" t="s">
        <v>4</v>
      </c>
      <c r="E215" s="24" t="s">
        <v>228</v>
      </c>
      <c r="F215" s="24" t="s">
        <v>386</v>
      </c>
      <c r="G215" s="24" t="s">
        <v>393</v>
      </c>
      <c r="H215" s="34" t="s">
        <v>229</v>
      </c>
    </row>
    <row r="216" ht="20" customHeight="1" spans="1:8" x14ac:dyDescent="0.25">
      <c r="A216" s="22" t="s">
        <v>65</v>
      </c>
      <c r="B216" s="22" t="s">
        <v>42</v>
      </c>
      <c r="C216" s="23" t="s">
        <v>71</v>
      </c>
      <c r="D216" s="35" t="s">
        <v>86</v>
      </c>
      <c r="E216" s="22" t="s">
        <v>12</v>
      </c>
      <c r="F216" s="22" t="s">
        <v>12</v>
      </c>
      <c r="G216" s="22" t="s">
        <v>12</v>
      </c>
      <c r="H216" s="22" t="s">
        <v>32</v>
      </c>
    </row>
    <row r="217" ht="20" customHeight="1" spans="1:8" x14ac:dyDescent="0.25">
      <c r="A217" s="24" t="s">
        <v>66</v>
      </c>
      <c r="B217" s="24" t="s">
        <v>45</v>
      </c>
      <c r="C217" s="25" t="s">
        <v>71</v>
      </c>
      <c r="D217" s="6" t="s">
        <v>4</v>
      </c>
      <c r="E217" s="24" t="s">
        <v>224</v>
      </c>
      <c r="F217" s="24" t="s">
        <v>748</v>
      </c>
      <c r="G217" s="24" t="s">
        <v>177</v>
      </c>
      <c r="H217" s="34" t="s">
        <v>227</v>
      </c>
    </row>
    <row r="218" ht="20" customHeight="1" spans="1:8" x14ac:dyDescent="0.25">
      <c r="A218" s="22" t="s">
        <v>67</v>
      </c>
      <c r="B218" s="22" t="s">
        <v>31</v>
      </c>
      <c r="C218" s="23" t="s">
        <v>71</v>
      </c>
      <c r="D218" s="6" t="s">
        <v>4</v>
      </c>
      <c r="E218" s="22" t="s">
        <v>205</v>
      </c>
      <c r="F218" s="22" t="s">
        <v>748</v>
      </c>
      <c r="G218" s="22" t="s">
        <v>161</v>
      </c>
      <c r="H218" s="29" t="s">
        <v>207</v>
      </c>
    </row>
    <row r="219" ht="20" customHeight="1" spans="1:8" x14ac:dyDescent="0.25">
      <c r="A219" s="24" t="s">
        <v>68</v>
      </c>
      <c r="B219" s="24" t="s">
        <v>34</v>
      </c>
      <c r="C219" s="25" t="s">
        <v>71</v>
      </c>
      <c r="D219" s="6" t="s">
        <v>4</v>
      </c>
      <c r="E219" s="24" t="s">
        <v>254</v>
      </c>
      <c r="F219" s="24" t="s">
        <v>211</v>
      </c>
      <c r="G219" s="24" t="s">
        <v>206</v>
      </c>
      <c r="H219" s="34" t="s">
        <v>256</v>
      </c>
    </row>
    <row r="220" ht="22" customHeight="1" spans="1:8" x14ac:dyDescent="0.25">
      <c r="A220" s="26" t="s">
        <v>69</v>
      </c>
      <c r="B220" s="26"/>
      <c r="C220" s="26"/>
      <c r="D220" s="26"/>
      <c r="E220" s="26"/>
      <c r="F220" s="26"/>
      <c r="G220" s="27" t="s">
        <v>770</v>
      </c>
      <c r="H220" s="28" t="s">
        <v>12</v>
      </c>
    </row>
    <row r="222" ht="26" customHeight="1" spans="1:8" x14ac:dyDescent="0.25">
      <c r="A222" s="20" t="s">
        <v>771</v>
      </c>
      <c r="B222" s="20"/>
      <c r="C222" s="20"/>
      <c r="D222" s="20"/>
      <c r="E222" s="20"/>
      <c r="F222" s="20"/>
      <c r="G222" s="20"/>
      <c r="H222" s="20"/>
    </row>
    <row r="223" ht="22" customHeight="1" spans="1:8" x14ac:dyDescent="0.25">
      <c r="A223" s="21" t="s">
        <v>22</v>
      </c>
      <c r="B223" s="21" t="s">
        <v>23</v>
      </c>
      <c r="C223" s="21" t="s">
        <v>24</v>
      </c>
      <c r="D223" s="21" t="s">
        <v>25</v>
      </c>
      <c r="E223" s="21" t="s">
        <v>26</v>
      </c>
      <c r="F223" s="21" t="s">
        <v>27</v>
      </c>
      <c r="G223" s="21" t="s">
        <v>28</v>
      </c>
      <c r="H223" s="21" t="s">
        <v>29</v>
      </c>
    </row>
    <row r="224" ht="20" customHeight="1" spans="1:8" x14ac:dyDescent="0.25">
      <c r="A224" s="22" t="s">
        <v>30</v>
      </c>
      <c r="B224" s="22" t="s">
        <v>31</v>
      </c>
      <c r="C224" s="23" t="s">
        <v>71</v>
      </c>
      <c r="D224" s="6" t="s">
        <v>4</v>
      </c>
      <c r="E224" s="22" t="s">
        <v>311</v>
      </c>
      <c r="F224" s="22" t="s">
        <v>402</v>
      </c>
      <c r="G224" s="22" t="s">
        <v>414</v>
      </c>
      <c r="H224" s="32" t="s">
        <v>79</v>
      </c>
    </row>
    <row r="225" ht="20" customHeight="1" spans="1:8" x14ac:dyDescent="0.25">
      <c r="A225" s="24" t="s">
        <v>33</v>
      </c>
      <c r="B225" s="24" t="s">
        <v>34</v>
      </c>
      <c r="C225" s="25" t="s">
        <v>71</v>
      </c>
      <c r="D225" s="6" t="s">
        <v>4</v>
      </c>
      <c r="E225" s="24" t="s">
        <v>392</v>
      </c>
      <c r="F225" s="24" t="s">
        <v>126</v>
      </c>
      <c r="G225" s="24" t="s">
        <v>478</v>
      </c>
      <c r="H225" s="34" t="s">
        <v>394</v>
      </c>
    </row>
    <row r="226" ht="20" customHeight="1" spans="1:8" x14ac:dyDescent="0.25">
      <c r="A226" s="22" t="s">
        <v>35</v>
      </c>
      <c r="B226" s="22" t="s">
        <v>36</v>
      </c>
      <c r="C226" s="23" t="s">
        <v>71</v>
      </c>
      <c r="D226" s="6" t="s">
        <v>4</v>
      </c>
      <c r="E226" s="22" t="s">
        <v>564</v>
      </c>
      <c r="F226" s="22" t="s">
        <v>641</v>
      </c>
      <c r="G226" s="22" t="s">
        <v>686</v>
      </c>
      <c r="H226" s="32" t="s">
        <v>79</v>
      </c>
    </row>
    <row r="227" ht="20" customHeight="1" spans="1:8" x14ac:dyDescent="0.25">
      <c r="A227" s="24" t="s">
        <v>37</v>
      </c>
      <c r="B227" s="24" t="s">
        <v>38</v>
      </c>
      <c r="C227" s="25" t="s">
        <v>71</v>
      </c>
      <c r="D227" s="31" t="s">
        <v>11</v>
      </c>
      <c r="E227" s="24" t="s">
        <v>12</v>
      </c>
      <c r="F227" s="24" t="s">
        <v>12</v>
      </c>
      <c r="G227" s="24" t="s">
        <v>12</v>
      </c>
      <c r="H227" s="24" t="s">
        <v>32</v>
      </c>
    </row>
    <row r="228" ht="20" customHeight="1" spans="1:8" x14ac:dyDescent="0.25">
      <c r="A228" s="22" t="s">
        <v>39</v>
      </c>
      <c r="B228" s="22" t="s">
        <v>40</v>
      </c>
      <c r="C228" s="23" t="s">
        <v>71</v>
      </c>
      <c r="D228" s="6" t="s">
        <v>4</v>
      </c>
      <c r="E228" s="22" t="s">
        <v>377</v>
      </c>
      <c r="F228" s="22" t="s">
        <v>636</v>
      </c>
      <c r="G228" s="22" t="s">
        <v>177</v>
      </c>
      <c r="H228" s="29" t="s">
        <v>378</v>
      </c>
    </row>
    <row r="229" ht="20" customHeight="1" spans="1:8" x14ac:dyDescent="0.25">
      <c r="A229" s="24" t="s">
        <v>41</v>
      </c>
      <c r="B229" s="24" t="s">
        <v>42</v>
      </c>
      <c r="C229" s="25" t="s">
        <v>71</v>
      </c>
      <c r="D229" s="33" t="s">
        <v>86</v>
      </c>
      <c r="E229" s="24" t="s">
        <v>12</v>
      </c>
      <c r="F229" s="24" t="s">
        <v>12</v>
      </c>
      <c r="G229" s="24" t="s">
        <v>12</v>
      </c>
      <c r="H229" s="24" t="s">
        <v>32</v>
      </c>
    </row>
    <row r="230" ht="20" customHeight="1" spans="1:8" x14ac:dyDescent="0.25">
      <c r="A230" s="22" t="s">
        <v>44</v>
      </c>
      <c r="B230" s="22" t="s">
        <v>45</v>
      </c>
      <c r="C230" s="23" t="s">
        <v>71</v>
      </c>
      <c r="D230" s="6" t="s">
        <v>4</v>
      </c>
      <c r="E230" s="22" t="s">
        <v>379</v>
      </c>
      <c r="F230" s="22" t="s">
        <v>772</v>
      </c>
      <c r="G230" s="22" t="s">
        <v>111</v>
      </c>
      <c r="H230" s="29" t="s">
        <v>380</v>
      </c>
    </row>
    <row r="231" ht="20" customHeight="1" spans="1:8" x14ac:dyDescent="0.25">
      <c r="A231" s="24" t="s">
        <v>46</v>
      </c>
      <c r="B231" s="24" t="s">
        <v>31</v>
      </c>
      <c r="C231" s="25" t="s">
        <v>71</v>
      </c>
      <c r="D231" s="6" t="s">
        <v>4</v>
      </c>
      <c r="E231" s="24" t="s">
        <v>435</v>
      </c>
      <c r="F231" s="24" t="s">
        <v>293</v>
      </c>
      <c r="G231" s="24" t="s">
        <v>119</v>
      </c>
      <c r="H231" s="30" t="s">
        <v>79</v>
      </c>
    </row>
    <row r="232" ht="20" customHeight="1" spans="1:8" x14ac:dyDescent="0.25">
      <c r="A232" s="22" t="s">
        <v>47</v>
      </c>
      <c r="B232" s="22" t="s">
        <v>34</v>
      </c>
      <c r="C232" s="23" t="s">
        <v>71</v>
      </c>
      <c r="D232" s="6" t="s">
        <v>4</v>
      </c>
      <c r="E232" s="22" t="s">
        <v>518</v>
      </c>
      <c r="F232" s="22" t="s">
        <v>255</v>
      </c>
      <c r="G232" s="22" t="s">
        <v>119</v>
      </c>
      <c r="H232" s="32" t="s">
        <v>79</v>
      </c>
    </row>
    <row r="233" ht="20" customHeight="1" spans="1:8" x14ac:dyDescent="0.25">
      <c r="A233" s="24" t="s">
        <v>48</v>
      </c>
      <c r="B233" s="24" t="s">
        <v>36</v>
      </c>
      <c r="C233" s="25" t="s">
        <v>71</v>
      </c>
      <c r="D233" s="6" t="s">
        <v>4</v>
      </c>
      <c r="E233" s="24" t="s">
        <v>375</v>
      </c>
      <c r="F233" s="24" t="s">
        <v>164</v>
      </c>
      <c r="G233" s="24" t="s">
        <v>137</v>
      </c>
      <c r="H233" s="30" t="s">
        <v>79</v>
      </c>
    </row>
    <row r="234" ht="20" customHeight="1" spans="1:8" x14ac:dyDescent="0.25">
      <c r="A234" s="22" t="s">
        <v>49</v>
      </c>
      <c r="B234" s="22" t="s">
        <v>38</v>
      </c>
      <c r="C234" s="23" t="s">
        <v>71</v>
      </c>
      <c r="D234" s="10" t="s">
        <v>87</v>
      </c>
      <c r="E234" s="22" t="s">
        <v>12</v>
      </c>
      <c r="F234" s="22" t="s">
        <v>12</v>
      </c>
      <c r="G234" s="22" t="s">
        <v>12</v>
      </c>
      <c r="H234" s="22" t="s">
        <v>32</v>
      </c>
    </row>
    <row r="235" ht="20" customHeight="1" spans="1:8" x14ac:dyDescent="0.25">
      <c r="A235" s="24" t="s">
        <v>50</v>
      </c>
      <c r="B235" s="24" t="s">
        <v>40</v>
      </c>
      <c r="C235" s="25" t="s">
        <v>71</v>
      </c>
      <c r="D235" s="33" t="s">
        <v>86</v>
      </c>
      <c r="E235" s="24" t="s">
        <v>12</v>
      </c>
      <c r="F235" s="24" t="s">
        <v>12</v>
      </c>
      <c r="G235" s="24" t="s">
        <v>12</v>
      </c>
      <c r="H235" s="24" t="s">
        <v>32</v>
      </c>
    </row>
    <row r="236" ht="20" customHeight="1" spans="1:8" x14ac:dyDescent="0.25">
      <c r="A236" s="22" t="s">
        <v>51</v>
      </c>
      <c r="B236" s="22" t="s">
        <v>42</v>
      </c>
      <c r="C236" s="23" t="s">
        <v>71</v>
      </c>
      <c r="D236" s="35" t="s">
        <v>86</v>
      </c>
      <c r="E236" s="22" t="s">
        <v>12</v>
      </c>
      <c r="F236" s="22" t="s">
        <v>12</v>
      </c>
      <c r="G236" s="22" t="s">
        <v>12</v>
      </c>
      <c r="H236" s="22" t="s">
        <v>32</v>
      </c>
    </row>
    <row r="237" ht="20" customHeight="1" spans="1:8" x14ac:dyDescent="0.25">
      <c r="A237" s="24" t="s">
        <v>52</v>
      </c>
      <c r="B237" s="24" t="s">
        <v>45</v>
      </c>
      <c r="C237" s="25" t="s">
        <v>71</v>
      </c>
      <c r="D237" s="6" t="s">
        <v>4</v>
      </c>
      <c r="E237" s="24" t="s">
        <v>224</v>
      </c>
      <c r="F237" s="24" t="s">
        <v>749</v>
      </c>
      <c r="G237" s="24" t="s">
        <v>481</v>
      </c>
      <c r="H237" s="34" t="s">
        <v>227</v>
      </c>
    </row>
    <row r="238" ht="20" customHeight="1" spans="1:8" x14ac:dyDescent="0.25">
      <c r="A238" s="22" t="s">
        <v>53</v>
      </c>
      <c r="B238" s="22" t="s">
        <v>31</v>
      </c>
      <c r="C238" s="23" t="s">
        <v>71</v>
      </c>
      <c r="D238" s="6" t="s">
        <v>4</v>
      </c>
      <c r="E238" s="22" t="s">
        <v>403</v>
      </c>
      <c r="F238" s="22" t="s">
        <v>225</v>
      </c>
      <c r="G238" s="22" t="s">
        <v>563</v>
      </c>
      <c r="H238" s="32" t="s">
        <v>79</v>
      </c>
    </row>
    <row r="239" ht="20" customHeight="1" spans="1:8" x14ac:dyDescent="0.25">
      <c r="A239" s="24" t="s">
        <v>54</v>
      </c>
      <c r="B239" s="24" t="s">
        <v>34</v>
      </c>
      <c r="C239" s="25" t="s">
        <v>71</v>
      </c>
      <c r="D239" s="6" t="s">
        <v>4</v>
      </c>
      <c r="E239" s="24" t="s">
        <v>234</v>
      </c>
      <c r="F239" s="24" t="s">
        <v>301</v>
      </c>
      <c r="G239" s="24" t="s">
        <v>267</v>
      </c>
      <c r="H239" s="34" t="s">
        <v>236</v>
      </c>
    </row>
    <row r="240" ht="20" customHeight="1" spans="1:8" x14ac:dyDescent="0.25">
      <c r="A240" s="22" t="s">
        <v>55</v>
      </c>
      <c r="B240" s="22" t="s">
        <v>36</v>
      </c>
      <c r="C240" s="23" t="s">
        <v>71</v>
      </c>
      <c r="D240" s="6" t="s">
        <v>4</v>
      </c>
      <c r="E240" s="22" t="s">
        <v>635</v>
      </c>
      <c r="F240" s="22" t="s">
        <v>164</v>
      </c>
      <c r="G240" s="22" t="s">
        <v>190</v>
      </c>
      <c r="H240" s="32" t="s">
        <v>79</v>
      </c>
    </row>
    <row r="241" ht="20" customHeight="1" spans="1:8" x14ac:dyDescent="0.25">
      <c r="A241" s="24" t="s">
        <v>56</v>
      </c>
      <c r="B241" s="24" t="s">
        <v>38</v>
      </c>
      <c r="C241" s="25" t="s">
        <v>71</v>
      </c>
      <c r="D241" s="6" t="s">
        <v>4</v>
      </c>
      <c r="E241" s="24" t="s">
        <v>196</v>
      </c>
      <c r="F241" s="24" t="s">
        <v>404</v>
      </c>
      <c r="G241" s="24" t="s">
        <v>773</v>
      </c>
      <c r="H241" s="34" t="s">
        <v>198</v>
      </c>
    </row>
    <row r="242" ht="20" customHeight="1" spans="1:8" x14ac:dyDescent="0.25">
      <c r="A242" s="22" t="s">
        <v>57</v>
      </c>
      <c r="B242" s="22" t="s">
        <v>40</v>
      </c>
      <c r="C242" s="23" t="s">
        <v>71</v>
      </c>
      <c r="D242" s="6" t="s">
        <v>4</v>
      </c>
      <c r="E242" s="22" t="s">
        <v>242</v>
      </c>
      <c r="F242" s="22" t="s">
        <v>293</v>
      </c>
      <c r="G242" s="22" t="s">
        <v>493</v>
      </c>
      <c r="H242" s="29" t="s">
        <v>244</v>
      </c>
    </row>
    <row r="243" ht="20" customHeight="1" spans="1:8" x14ac:dyDescent="0.25">
      <c r="A243" s="24" t="s">
        <v>58</v>
      </c>
      <c r="B243" s="24" t="s">
        <v>42</v>
      </c>
      <c r="C243" s="25" t="s">
        <v>71</v>
      </c>
      <c r="D243" s="33" t="s">
        <v>86</v>
      </c>
      <c r="E243" s="24" t="s">
        <v>12</v>
      </c>
      <c r="F243" s="24" t="s">
        <v>12</v>
      </c>
      <c r="G243" s="24" t="s">
        <v>12</v>
      </c>
      <c r="H243" s="24" t="s">
        <v>32</v>
      </c>
    </row>
    <row r="244" ht="20" customHeight="1" spans="1:8" x14ac:dyDescent="0.25">
      <c r="A244" s="22" t="s">
        <v>59</v>
      </c>
      <c r="B244" s="22" t="s">
        <v>45</v>
      </c>
      <c r="C244" s="23" t="s">
        <v>71</v>
      </c>
      <c r="D244" s="6" t="s">
        <v>4</v>
      </c>
      <c r="E244" s="22" t="s">
        <v>383</v>
      </c>
      <c r="F244" s="22" t="s">
        <v>404</v>
      </c>
      <c r="G244" s="22" t="s">
        <v>407</v>
      </c>
      <c r="H244" s="32" t="s">
        <v>79</v>
      </c>
    </row>
    <row r="245" ht="20" customHeight="1" spans="1:8" x14ac:dyDescent="0.25">
      <c r="A245" s="24" t="s">
        <v>60</v>
      </c>
      <c r="B245" s="24" t="s">
        <v>31</v>
      </c>
      <c r="C245" s="25" t="s">
        <v>71</v>
      </c>
      <c r="D245" s="6" t="s">
        <v>4</v>
      </c>
      <c r="E245" s="24" t="s">
        <v>311</v>
      </c>
      <c r="F245" s="24" t="s">
        <v>324</v>
      </c>
      <c r="G245" s="24" t="s">
        <v>285</v>
      </c>
      <c r="H245" s="30" t="s">
        <v>79</v>
      </c>
    </row>
    <row r="246" ht="20" customHeight="1" spans="1:8" x14ac:dyDescent="0.25">
      <c r="A246" s="22" t="s">
        <v>61</v>
      </c>
      <c r="B246" s="22" t="s">
        <v>34</v>
      </c>
      <c r="C246" s="23" t="s">
        <v>71</v>
      </c>
      <c r="D246" s="6" t="s">
        <v>4</v>
      </c>
      <c r="E246" s="22" t="s">
        <v>774</v>
      </c>
      <c r="F246" s="22" t="s">
        <v>235</v>
      </c>
      <c r="G246" s="22" t="s">
        <v>291</v>
      </c>
      <c r="H246" s="32" t="s">
        <v>79</v>
      </c>
    </row>
    <row r="247" ht="20" customHeight="1" spans="1:8" x14ac:dyDescent="0.25">
      <c r="A247" s="24" t="s">
        <v>62</v>
      </c>
      <c r="B247" s="24" t="s">
        <v>36</v>
      </c>
      <c r="C247" s="25" t="s">
        <v>71</v>
      </c>
      <c r="D247" s="6" t="s">
        <v>4</v>
      </c>
      <c r="E247" s="24" t="s">
        <v>518</v>
      </c>
      <c r="F247" s="24" t="s">
        <v>182</v>
      </c>
      <c r="G247" s="24" t="s">
        <v>290</v>
      </c>
      <c r="H247" s="30" t="s">
        <v>79</v>
      </c>
    </row>
    <row r="248" ht="20" customHeight="1" spans="1:8" x14ac:dyDescent="0.25">
      <c r="A248" s="22" t="s">
        <v>63</v>
      </c>
      <c r="B248" s="22" t="s">
        <v>38</v>
      </c>
      <c r="C248" s="23" t="s">
        <v>71</v>
      </c>
      <c r="D248" s="6" t="s">
        <v>4</v>
      </c>
      <c r="E248" s="22" t="s">
        <v>377</v>
      </c>
      <c r="F248" s="22" t="s">
        <v>748</v>
      </c>
      <c r="G248" s="22" t="s">
        <v>302</v>
      </c>
      <c r="H248" s="29" t="s">
        <v>378</v>
      </c>
    </row>
    <row r="249" ht="20" customHeight="1" spans="1:8" x14ac:dyDescent="0.25">
      <c r="A249" s="24" t="s">
        <v>64</v>
      </c>
      <c r="B249" s="24" t="s">
        <v>40</v>
      </c>
      <c r="C249" s="25" t="s">
        <v>71</v>
      </c>
      <c r="D249" s="6" t="s">
        <v>4</v>
      </c>
      <c r="E249" s="24" t="s">
        <v>639</v>
      </c>
      <c r="F249" s="24" t="s">
        <v>186</v>
      </c>
      <c r="G249" s="24" t="s">
        <v>203</v>
      </c>
      <c r="H249" s="30" t="s">
        <v>79</v>
      </c>
    </row>
    <row r="250" ht="20" customHeight="1" spans="1:8" x14ac:dyDescent="0.25">
      <c r="A250" s="22" t="s">
        <v>65</v>
      </c>
      <c r="B250" s="22" t="s">
        <v>42</v>
      </c>
      <c r="C250" s="23" t="s">
        <v>71</v>
      </c>
      <c r="D250" s="35" t="s">
        <v>86</v>
      </c>
      <c r="E250" s="22" t="s">
        <v>12</v>
      </c>
      <c r="F250" s="22" t="s">
        <v>12</v>
      </c>
      <c r="G250" s="22" t="s">
        <v>12</v>
      </c>
      <c r="H250" s="22" t="s">
        <v>32</v>
      </c>
    </row>
    <row r="251" ht="20" customHeight="1" spans="1:8" x14ac:dyDescent="0.25">
      <c r="A251" s="24" t="s">
        <v>66</v>
      </c>
      <c r="B251" s="24" t="s">
        <v>45</v>
      </c>
      <c r="C251" s="25" t="s">
        <v>71</v>
      </c>
      <c r="D251" s="6" t="s">
        <v>4</v>
      </c>
      <c r="E251" s="24" t="s">
        <v>254</v>
      </c>
      <c r="F251" s="24" t="s">
        <v>84</v>
      </c>
      <c r="G251" s="24" t="s">
        <v>259</v>
      </c>
      <c r="H251" s="34" t="s">
        <v>256</v>
      </c>
    </row>
    <row r="252" ht="20" customHeight="1" spans="1:8" x14ac:dyDescent="0.25">
      <c r="A252" s="22" t="s">
        <v>67</v>
      </c>
      <c r="B252" s="22" t="s">
        <v>31</v>
      </c>
      <c r="C252" s="23" t="s">
        <v>71</v>
      </c>
      <c r="D252" s="6" t="s">
        <v>4</v>
      </c>
      <c r="E252" s="22" t="s">
        <v>377</v>
      </c>
      <c r="F252" s="22" t="s">
        <v>519</v>
      </c>
      <c r="G252" s="22" t="s">
        <v>161</v>
      </c>
      <c r="H252" s="29" t="s">
        <v>378</v>
      </c>
    </row>
    <row r="253" ht="20" customHeight="1" spans="1:8" x14ac:dyDescent="0.25">
      <c r="A253" s="24" t="s">
        <v>68</v>
      </c>
      <c r="B253" s="24" t="s">
        <v>34</v>
      </c>
      <c r="C253" s="25" t="s">
        <v>71</v>
      </c>
      <c r="D253" s="10" t="s">
        <v>87</v>
      </c>
      <c r="E253" s="24" t="s">
        <v>12</v>
      </c>
      <c r="F253" s="24" t="s">
        <v>12</v>
      </c>
      <c r="G253" s="24" t="s">
        <v>12</v>
      </c>
      <c r="H253" s="24" t="s">
        <v>32</v>
      </c>
    </row>
    <row r="254" ht="22" customHeight="1" spans="1:8" x14ac:dyDescent="0.25">
      <c r="A254" s="26" t="s">
        <v>69</v>
      </c>
      <c r="B254" s="26"/>
      <c r="C254" s="26"/>
      <c r="D254" s="26"/>
      <c r="E254" s="26"/>
      <c r="F254" s="26"/>
      <c r="G254" s="27" t="s">
        <v>775</v>
      </c>
      <c r="H254" s="28" t="s">
        <v>12</v>
      </c>
    </row>
    <row r="256" ht="26" customHeight="1" spans="1:8" x14ac:dyDescent="0.25">
      <c r="A256" s="20" t="s">
        <v>776</v>
      </c>
      <c r="B256" s="20"/>
      <c r="C256" s="20"/>
      <c r="D256" s="20"/>
      <c r="E256" s="20"/>
      <c r="F256" s="20"/>
      <c r="G256" s="20"/>
      <c r="H256" s="20"/>
    </row>
    <row r="257" ht="22" customHeight="1" spans="1:8" x14ac:dyDescent="0.25">
      <c r="A257" s="21" t="s">
        <v>22</v>
      </c>
      <c r="B257" s="21" t="s">
        <v>23</v>
      </c>
      <c r="C257" s="21" t="s">
        <v>24</v>
      </c>
      <c r="D257" s="21" t="s">
        <v>25</v>
      </c>
      <c r="E257" s="21" t="s">
        <v>26</v>
      </c>
      <c r="F257" s="21" t="s">
        <v>27</v>
      </c>
      <c r="G257" s="21" t="s">
        <v>28</v>
      </c>
      <c r="H257" s="21" t="s">
        <v>29</v>
      </c>
    </row>
    <row r="258" ht="20" customHeight="1" spans="1:8" x14ac:dyDescent="0.25">
      <c r="A258" s="22" t="s">
        <v>30</v>
      </c>
      <c r="B258" s="22" t="s">
        <v>31</v>
      </c>
      <c r="C258" s="23" t="s">
        <v>603</v>
      </c>
      <c r="D258" s="6" t="s">
        <v>4</v>
      </c>
      <c r="E258" s="22" t="s">
        <v>383</v>
      </c>
      <c r="F258" s="22" t="s">
        <v>395</v>
      </c>
      <c r="G258" s="22" t="s">
        <v>267</v>
      </c>
      <c r="H258" s="29" t="s">
        <v>607</v>
      </c>
    </row>
    <row r="259" ht="20" customHeight="1" spans="1:8" x14ac:dyDescent="0.25">
      <c r="A259" s="24" t="s">
        <v>33</v>
      </c>
      <c r="B259" s="24" t="s">
        <v>34</v>
      </c>
      <c r="C259" s="25" t="s">
        <v>603</v>
      </c>
      <c r="D259" s="6" t="s">
        <v>4</v>
      </c>
      <c r="E259" s="24" t="s">
        <v>372</v>
      </c>
      <c r="F259" s="24" t="s">
        <v>395</v>
      </c>
      <c r="G259" s="24" t="s">
        <v>99</v>
      </c>
      <c r="H259" s="34" t="s">
        <v>606</v>
      </c>
    </row>
    <row r="260" ht="20" customHeight="1" spans="1:8" x14ac:dyDescent="0.25">
      <c r="A260" s="22" t="s">
        <v>35</v>
      </c>
      <c r="B260" s="22" t="s">
        <v>36</v>
      </c>
      <c r="C260" s="23" t="s">
        <v>603</v>
      </c>
      <c r="D260" s="6" t="s">
        <v>4</v>
      </c>
      <c r="E260" s="22" t="s">
        <v>311</v>
      </c>
      <c r="F260" s="22" t="s">
        <v>136</v>
      </c>
      <c r="G260" s="22" t="s">
        <v>259</v>
      </c>
      <c r="H260" s="32" t="s">
        <v>79</v>
      </c>
    </row>
    <row r="261" ht="20" customHeight="1" spans="1:8" x14ac:dyDescent="0.25">
      <c r="A261" s="24" t="s">
        <v>37</v>
      </c>
      <c r="B261" s="24" t="s">
        <v>38</v>
      </c>
      <c r="C261" s="25" t="s">
        <v>605</v>
      </c>
      <c r="D261" s="31" t="s">
        <v>11</v>
      </c>
      <c r="E261" s="24" t="s">
        <v>12</v>
      </c>
      <c r="F261" s="24" t="s">
        <v>12</v>
      </c>
      <c r="G261" s="24" t="s">
        <v>12</v>
      </c>
      <c r="H261" s="24" t="s">
        <v>32</v>
      </c>
    </row>
    <row r="262" ht="20" customHeight="1" spans="1:8" x14ac:dyDescent="0.25">
      <c r="A262" s="22" t="s">
        <v>39</v>
      </c>
      <c r="B262" s="22" t="s">
        <v>40</v>
      </c>
      <c r="C262" s="23" t="s">
        <v>605</v>
      </c>
      <c r="D262" s="6" t="s">
        <v>4</v>
      </c>
      <c r="E262" s="22" t="s">
        <v>125</v>
      </c>
      <c r="F262" s="22" t="s">
        <v>164</v>
      </c>
      <c r="G262" s="22" t="s">
        <v>302</v>
      </c>
      <c r="H262" s="32" t="s">
        <v>79</v>
      </c>
    </row>
    <row r="263" ht="20" customHeight="1" spans="1:8" x14ac:dyDescent="0.25">
      <c r="A263" s="24" t="s">
        <v>41</v>
      </c>
      <c r="B263" s="24" t="s">
        <v>42</v>
      </c>
      <c r="C263" s="25" t="s">
        <v>605</v>
      </c>
      <c r="D263" s="33" t="s">
        <v>86</v>
      </c>
      <c r="E263" s="24" t="s">
        <v>12</v>
      </c>
      <c r="F263" s="24" t="s">
        <v>12</v>
      </c>
      <c r="G263" s="24" t="s">
        <v>12</v>
      </c>
      <c r="H263" s="24" t="s">
        <v>32</v>
      </c>
    </row>
    <row r="264" ht="20" customHeight="1" spans="1:8" x14ac:dyDescent="0.25">
      <c r="A264" s="22" t="s">
        <v>44</v>
      </c>
      <c r="B264" s="22" t="s">
        <v>45</v>
      </c>
      <c r="C264" s="23" t="s">
        <v>605</v>
      </c>
      <c r="D264" s="6" t="s">
        <v>4</v>
      </c>
      <c r="E264" s="22" t="s">
        <v>199</v>
      </c>
      <c r="F264" s="22" t="s">
        <v>213</v>
      </c>
      <c r="G264" s="22" t="s">
        <v>130</v>
      </c>
      <c r="H264" s="29" t="s">
        <v>200</v>
      </c>
    </row>
    <row r="265" ht="20" customHeight="1" spans="1:8" x14ac:dyDescent="0.25">
      <c r="A265" s="24" t="s">
        <v>46</v>
      </c>
      <c r="B265" s="24" t="s">
        <v>31</v>
      </c>
      <c r="C265" s="25" t="s">
        <v>605</v>
      </c>
      <c r="D265" s="6" t="s">
        <v>4</v>
      </c>
      <c r="E265" s="24" t="s">
        <v>515</v>
      </c>
      <c r="F265" s="24" t="s">
        <v>777</v>
      </c>
      <c r="G265" s="24" t="s">
        <v>778</v>
      </c>
      <c r="H265" s="34" t="s">
        <v>517</v>
      </c>
    </row>
    <row r="266" ht="20" customHeight="1" spans="1:8" x14ac:dyDescent="0.25">
      <c r="A266" s="22" t="s">
        <v>47</v>
      </c>
      <c r="B266" s="22" t="s">
        <v>34</v>
      </c>
      <c r="C266" s="23" t="s">
        <v>605</v>
      </c>
      <c r="D266" s="6" t="s">
        <v>4</v>
      </c>
      <c r="E266" s="22" t="s">
        <v>644</v>
      </c>
      <c r="F266" s="22" t="s">
        <v>197</v>
      </c>
      <c r="G266" s="22" t="s">
        <v>111</v>
      </c>
      <c r="H266" s="29" t="s">
        <v>645</v>
      </c>
    </row>
    <row r="267" ht="20" customHeight="1" spans="1:8" x14ac:dyDescent="0.25">
      <c r="A267" s="24" t="s">
        <v>48</v>
      </c>
      <c r="B267" s="24" t="s">
        <v>36</v>
      </c>
      <c r="C267" s="25" t="s">
        <v>605</v>
      </c>
      <c r="D267" s="6" t="s">
        <v>4</v>
      </c>
      <c r="E267" s="24" t="s">
        <v>379</v>
      </c>
      <c r="F267" s="24" t="s">
        <v>759</v>
      </c>
      <c r="G267" s="24" t="s">
        <v>647</v>
      </c>
      <c r="H267" s="34" t="s">
        <v>380</v>
      </c>
    </row>
    <row r="268" ht="20" customHeight="1" spans="1:8" x14ac:dyDescent="0.25">
      <c r="A268" s="22" t="s">
        <v>49</v>
      </c>
      <c r="B268" s="22" t="s">
        <v>38</v>
      </c>
      <c r="C268" s="23" t="s">
        <v>605</v>
      </c>
      <c r="D268" s="6" t="s">
        <v>4</v>
      </c>
      <c r="E268" s="22" t="s">
        <v>639</v>
      </c>
      <c r="F268" s="22" t="s">
        <v>750</v>
      </c>
      <c r="G268" s="22" t="s">
        <v>134</v>
      </c>
      <c r="H268" s="32" t="s">
        <v>79</v>
      </c>
    </row>
    <row r="269" ht="20" customHeight="1" spans="1:8" x14ac:dyDescent="0.25">
      <c r="A269" s="24" t="s">
        <v>50</v>
      </c>
      <c r="B269" s="24" t="s">
        <v>40</v>
      </c>
      <c r="C269" s="25" t="s">
        <v>605</v>
      </c>
      <c r="D269" s="33" t="s">
        <v>86</v>
      </c>
      <c r="E269" s="24" t="s">
        <v>12</v>
      </c>
      <c r="F269" s="24" t="s">
        <v>12</v>
      </c>
      <c r="G269" s="24" t="s">
        <v>12</v>
      </c>
      <c r="H269" s="24" t="s">
        <v>32</v>
      </c>
    </row>
    <row r="270" ht="20" customHeight="1" spans="1:8" x14ac:dyDescent="0.25">
      <c r="A270" s="22" t="s">
        <v>51</v>
      </c>
      <c r="B270" s="22" t="s">
        <v>42</v>
      </c>
      <c r="C270" s="23" t="s">
        <v>605</v>
      </c>
      <c r="D270" s="35" t="s">
        <v>86</v>
      </c>
      <c r="E270" s="22" t="s">
        <v>12</v>
      </c>
      <c r="F270" s="22" t="s">
        <v>12</v>
      </c>
      <c r="G270" s="22" t="s">
        <v>12</v>
      </c>
      <c r="H270" s="22" t="s">
        <v>32</v>
      </c>
    </row>
    <row r="271" ht="20" customHeight="1" spans="1:8" x14ac:dyDescent="0.25">
      <c r="A271" s="24" t="s">
        <v>52</v>
      </c>
      <c r="B271" s="24" t="s">
        <v>45</v>
      </c>
      <c r="C271" s="25" t="s">
        <v>605</v>
      </c>
      <c r="D271" s="16" t="s">
        <v>43</v>
      </c>
      <c r="E271" s="24" t="s">
        <v>12</v>
      </c>
      <c r="F271" s="24" t="s">
        <v>12</v>
      </c>
      <c r="G271" s="24" t="s">
        <v>12</v>
      </c>
      <c r="H271" s="24" t="s">
        <v>32</v>
      </c>
    </row>
    <row r="272" ht="20" customHeight="1" spans="1:8" x14ac:dyDescent="0.25">
      <c r="A272" s="22" t="s">
        <v>53</v>
      </c>
      <c r="B272" s="22" t="s">
        <v>31</v>
      </c>
      <c r="C272" s="23" t="s">
        <v>605</v>
      </c>
      <c r="D272" s="6" t="s">
        <v>4</v>
      </c>
      <c r="E272" s="22" t="s">
        <v>228</v>
      </c>
      <c r="F272" s="22" t="s">
        <v>779</v>
      </c>
      <c r="G272" s="22" t="s">
        <v>780</v>
      </c>
      <c r="H272" s="29" t="s">
        <v>229</v>
      </c>
    </row>
    <row r="273" ht="20" customHeight="1" spans="1:8" x14ac:dyDescent="0.25">
      <c r="A273" s="24" t="s">
        <v>54</v>
      </c>
      <c r="B273" s="24" t="s">
        <v>34</v>
      </c>
      <c r="C273" s="25" t="s">
        <v>605</v>
      </c>
      <c r="D273" s="6" t="s">
        <v>4</v>
      </c>
      <c r="E273" s="24" t="s">
        <v>567</v>
      </c>
      <c r="F273" s="24" t="s">
        <v>112</v>
      </c>
      <c r="G273" s="24" t="s">
        <v>285</v>
      </c>
      <c r="H273" s="30" t="s">
        <v>79</v>
      </c>
    </row>
    <row r="274" ht="20" customHeight="1" spans="1:8" x14ac:dyDescent="0.25">
      <c r="A274" s="22" t="s">
        <v>55</v>
      </c>
      <c r="B274" s="22" t="s">
        <v>36</v>
      </c>
      <c r="C274" s="23" t="s">
        <v>605</v>
      </c>
      <c r="D274" s="6" t="s">
        <v>4</v>
      </c>
      <c r="E274" s="22" t="s">
        <v>635</v>
      </c>
      <c r="F274" s="22" t="s">
        <v>781</v>
      </c>
      <c r="G274" s="22" t="s">
        <v>782</v>
      </c>
      <c r="H274" s="32" t="s">
        <v>79</v>
      </c>
    </row>
    <row r="275" ht="20" customHeight="1" spans="1:8" x14ac:dyDescent="0.25">
      <c r="A275" s="24" t="s">
        <v>56</v>
      </c>
      <c r="B275" s="24" t="s">
        <v>38</v>
      </c>
      <c r="C275" s="25" t="s">
        <v>605</v>
      </c>
      <c r="D275" s="6" t="s">
        <v>4</v>
      </c>
      <c r="E275" s="24" t="s">
        <v>348</v>
      </c>
      <c r="F275" s="24" t="s">
        <v>12</v>
      </c>
      <c r="G275" s="24" t="s">
        <v>12</v>
      </c>
      <c r="H275" s="34" t="s">
        <v>351</v>
      </c>
    </row>
    <row r="276" ht="20" customHeight="1" spans="1:8" x14ac:dyDescent="0.25">
      <c r="A276" s="22" t="s">
        <v>57</v>
      </c>
      <c r="B276" s="22" t="s">
        <v>40</v>
      </c>
      <c r="C276" s="23" t="s">
        <v>605</v>
      </c>
      <c r="D276" s="6" t="s">
        <v>4</v>
      </c>
      <c r="E276" s="22" t="s">
        <v>377</v>
      </c>
      <c r="F276" s="22" t="s">
        <v>197</v>
      </c>
      <c r="G276" s="22" t="s">
        <v>578</v>
      </c>
      <c r="H276" s="29" t="s">
        <v>378</v>
      </c>
    </row>
    <row r="277" ht="20" customHeight="1" spans="1:8" x14ac:dyDescent="0.25">
      <c r="A277" s="24" t="s">
        <v>58</v>
      </c>
      <c r="B277" s="24" t="s">
        <v>42</v>
      </c>
      <c r="C277" s="25" t="s">
        <v>605</v>
      </c>
      <c r="D277" s="33" t="s">
        <v>86</v>
      </c>
      <c r="E277" s="24" t="s">
        <v>12</v>
      </c>
      <c r="F277" s="24" t="s">
        <v>12</v>
      </c>
      <c r="G277" s="24" t="s">
        <v>12</v>
      </c>
      <c r="H277" s="24" t="s">
        <v>32</v>
      </c>
    </row>
    <row r="278" ht="20" customHeight="1" spans="1:8" x14ac:dyDescent="0.25">
      <c r="A278" s="22" t="s">
        <v>59</v>
      </c>
      <c r="B278" s="22" t="s">
        <v>45</v>
      </c>
      <c r="C278" s="23" t="s">
        <v>605</v>
      </c>
      <c r="D278" s="6" t="s">
        <v>4</v>
      </c>
      <c r="E278" s="22" t="s">
        <v>348</v>
      </c>
      <c r="F278" s="22" t="s">
        <v>343</v>
      </c>
      <c r="G278" s="22" t="s">
        <v>259</v>
      </c>
      <c r="H278" s="29" t="s">
        <v>351</v>
      </c>
    </row>
    <row r="279" ht="20" customHeight="1" spans="1:8" x14ac:dyDescent="0.25">
      <c r="A279" s="24" t="s">
        <v>60</v>
      </c>
      <c r="B279" s="24" t="s">
        <v>31</v>
      </c>
      <c r="C279" s="25" t="s">
        <v>605</v>
      </c>
      <c r="D279" s="6" t="s">
        <v>4</v>
      </c>
      <c r="E279" s="24" t="s">
        <v>322</v>
      </c>
      <c r="F279" s="24" t="s">
        <v>213</v>
      </c>
      <c r="G279" s="24" t="s">
        <v>279</v>
      </c>
      <c r="H279" s="34" t="s">
        <v>323</v>
      </c>
    </row>
    <row r="280" ht="20" customHeight="1" spans="1:8" x14ac:dyDescent="0.25">
      <c r="A280" s="22" t="s">
        <v>61</v>
      </c>
      <c r="B280" s="22" t="s">
        <v>34</v>
      </c>
      <c r="C280" s="23" t="s">
        <v>605</v>
      </c>
      <c r="D280" s="6" t="s">
        <v>4</v>
      </c>
      <c r="E280" s="22" t="s">
        <v>515</v>
      </c>
      <c r="F280" s="22" t="s">
        <v>458</v>
      </c>
      <c r="G280" s="22" t="s">
        <v>747</v>
      </c>
      <c r="H280" s="29" t="s">
        <v>517</v>
      </c>
    </row>
    <row r="281" ht="20" customHeight="1" spans="1:8" x14ac:dyDescent="0.25">
      <c r="A281" s="24" t="s">
        <v>62</v>
      </c>
      <c r="B281" s="24" t="s">
        <v>36</v>
      </c>
      <c r="C281" s="25" t="s">
        <v>605</v>
      </c>
      <c r="D281" s="6" t="s">
        <v>4</v>
      </c>
      <c r="E281" s="24" t="s">
        <v>377</v>
      </c>
      <c r="F281" s="24" t="s">
        <v>112</v>
      </c>
      <c r="G281" s="24" t="s">
        <v>194</v>
      </c>
      <c r="H281" s="34" t="s">
        <v>378</v>
      </c>
    </row>
    <row r="282" ht="20" customHeight="1" spans="1:8" x14ac:dyDescent="0.25">
      <c r="A282" s="22" t="s">
        <v>63</v>
      </c>
      <c r="B282" s="22" t="s">
        <v>38</v>
      </c>
      <c r="C282" s="23" t="s">
        <v>605</v>
      </c>
      <c r="D282" s="6" t="s">
        <v>4</v>
      </c>
      <c r="E282" s="22" t="s">
        <v>392</v>
      </c>
      <c r="F282" s="22" t="s">
        <v>186</v>
      </c>
      <c r="G282" s="22" t="s">
        <v>81</v>
      </c>
      <c r="H282" s="29" t="s">
        <v>394</v>
      </c>
    </row>
    <row r="283" ht="20" customHeight="1" spans="1:8" x14ac:dyDescent="0.25">
      <c r="A283" s="24" t="s">
        <v>64</v>
      </c>
      <c r="B283" s="24" t="s">
        <v>40</v>
      </c>
      <c r="C283" s="25" t="s">
        <v>605</v>
      </c>
      <c r="D283" s="6" t="s">
        <v>4</v>
      </c>
      <c r="E283" s="24" t="s">
        <v>320</v>
      </c>
      <c r="F283" s="24" t="s">
        <v>133</v>
      </c>
      <c r="G283" s="24" t="s">
        <v>267</v>
      </c>
      <c r="H283" s="30" t="s">
        <v>79</v>
      </c>
    </row>
    <row r="284" ht="20" customHeight="1" spans="1:8" x14ac:dyDescent="0.25">
      <c r="A284" s="22" t="s">
        <v>65</v>
      </c>
      <c r="B284" s="22" t="s">
        <v>42</v>
      </c>
      <c r="C284" s="23" t="s">
        <v>605</v>
      </c>
      <c r="D284" s="35" t="s">
        <v>86</v>
      </c>
      <c r="E284" s="22" t="s">
        <v>12</v>
      </c>
      <c r="F284" s="22" t="s">
        <v>12</v>
      </c>
      <c r="G284" s="22" t="s">
        <v>12</v>
      </c>
      <c r="H284" s="22" t="s">
        <v>32</v>
      </c>
    </row>
    <row r="285" ht="20" customHeight="1" spans="1:8" x14ac:dyDescent="0.25">
      <c r="A285" s="24" t="s">
        <v>66</v>
      </c>
      <c r="B285" s="24" t="s">
        <v>45</v>
      </c>
      <c r="C285" s="25" t="s">
        <v>605</v>
      </c>
      <c r="D285" s="6" t="s">
        <v>4</v>
      </c>
      <c r="E285" s="24" t="s">
        <v>228</v>
      </c>
      <c r="F285" s="24" t="s">
        <v>783</v>
      </c>
      <c r="G285" s="24" t="s">
        <v>336</v>
      </c>
      <c r="H285" s="34" t="s">
        <v>229</v>
      </c>
    </row>
    <row r="286" ht="20" customHeight="1" spans="1:8" x14ac:dyDescent="0.25">
      <c r="A286" s="22" t="s">
        <v>67</v>
      </c>
      <c r="B286" s="22" t="s">
        <v>31</v>
      </c>
      <c r="C286" s="23" t="s">
        <v>605</v>
      </c>
      <c r="D286" s="6" t="s">
        <v>4</v>
      </c>
      <c r="E286" s="22" t="s">
        <v>228</v>
      </c>
      <c r="F286" s="22" t="s">
        <v>153</v>
      </c>
      <c r="G286" s="22" t="s">
        <v>142</v>
      </c>
      <c r="H286" s="29" t="s">
        <v>229</v>
      </c>
    </row>
    <row r="287" ht="20" customHeight="1" spans="1:8" x14ac:dyDescent="0.25">
      <c r="A287" s="24" t="s">
        <v>68</v>
      </c>
      <c r="B287" s="24" t="s">
        <v>34</v>
      </c>
      <c r="C287" s="25" t="s">
        <v>605</v>
      </c>
      <c r="D287" s="6" t="s">
        <v>4</v>
      </c>
      <c r="E287" s="24" t="s">
        <v>644</v>
      </c>
      <c r="F287" s="24" t="s">
        <v>160</v>
      </c>
      <c r="G287" s="24" t="s">
        <v>279</v>
      </c>
      <c r="H287" s="34" t="s">
        <v>645</v>
      </c>
    </row>
    <row r="288" ht="22" customHeight="1" spans="1:8" x14ac:dyDescent="0.25">
      <c r="A288" s="26" t="s">
        <v>69</v>
      </c>
      <c r="B288" s="26"/>
      <c r="C288" s="26"/>
      <c r="D288" s="26"/>
      <c r="E288" s="26"/>
      <c r="F288" s="26"/>
      <c r="G288" s="27" t="s">
        <v>784</v>
      </c>
      <c r="H288" s="28" t="s">
        <v>12</v>
      </c>
    </row>
    <row r="290" ht="26" customHeight="1" spans="1:8" x14ac:dyDescent="0.25">
      <c r="A290" s="20" t="s">
        <v>785</v>
      </c>
      <c r="B290" s="20"/>
      <c r="C290" s="20"/>
      <c r="D290" s="20"/>
      <c r="E290" s="20"/>
      <c r="F290" s="20"/>
      <c r="G290" s="20"/>
      <c r="H290" s="20"/>
    </row>
    <row r="291" ht="22" customHeight="1" spans="1:8" x14ac:dyDescent="0.25">
      <c r="A291" s="21" t="s">
        <v>22</v>
      </c>
      <c r="B291" s="21" t="s">
        <v>23</v>
      </c>
      <c r="C291" s="21" t="s">
        <v>24</v>
      </c>
      <c r="D291" s="21" t="s">
        <v>25</v>
      </c>
      <c r="E291" s="21" t="s">
        <v>26</v>
      </c>
      <c r="F291" s="21" t="s">
        <v>27</v>
      </c>
      <c r="G291" s="21" t="s">
        <v>28</v>
      </c>
      <c r="H291" s="21" t="s">
        <v>29</v>
      </c>
    </row>
    <row r="292" ht="20" customHeight="1" spans="1:8" x14ac:dyDescent="0.25">
      <c r="A292" s="22" t="s">
        <v>30</v>
      </c>
      <c r="B292" s="22" t="s">
        <v>31</v>
      </c>
      <c r="C292" s="23" t="s">
        <v>71</v>
      </c>
      <c r="D292" s="6" t="s">
        <v>4</v>
      </c>
      <c r="E292" s="22" t="s">
        <v>405</v>
      </c>
      <c r="F292" s="22" t="s">
        <v>374</v>
      </c>
      <c r="G292" s="22" t="s">
        <v>142</v>
      </c>
      <c r="H292" s="32" t="s">
        <v>79</v>
      </c>
    </row>
    <row r="293" ht="20" customHeight="1" spans="1:8" x14ac:dyDescent="0.25">
      <c r="A293" s="24" t="s">
        <v>33</v>
      </c>
      <c r="B293" s="24" t="s">
        <v>34</v>
      </c>
      <c r="C293" s="25" t="s">
        <v>71</v>
      </c>
      <c r="D293" s="6" t="s">
        <v>4</v>
      </c>
      <c r="E293" s="24" t="s">
        <v>401</v>
      </c>
      <c r="F293" s="24" t="s">
        <v>321</v>
      </c>
      <c r="G293" s="24" t="s">
        <v>285</v>
      </c>
      <c r="H293" s="30" t="s">
        <v>79</v>
      </c>
    </row>
    <row r="294" ht="20" customHeight="1" spans="1:8" x14ac:dyDescent="0.25">
      <c r="A294" s="22" t="s">
        <v>35</v>
      </c>
      <c r="B294" s="22" t="s">
        <v>36</v>
      </c>
      <c r="C294" s="23" t="s">
        <v>71</v>
      </c>
      <c r="D294" s="6" t="s">
        <v>4</v>
      </c>
      <c r="E294" s="22" t="s">
        <v>397</v>
      </c>
      <c r="F294" s="22" t="s">
        <v>265</v>
      </c>
      <c r="G294" s="22" t="s">
        <v>786</v>
      </c>
      <c r="H294" s="29" t="s">
        <v>787</v>
      </c>
    </row>
    <row r="295" ht="20" customHeight="1" spans="1:8" x14ac:dyDescent="0.25">
      <c r="A295" s="24" t="s">
        <v>37</v>
      </c>
      <c r="B295" s="24" t="s">
        <v>38</v>
      </c>
      <c r="C295" s="25" t="s">
        <v>71</v>
      </c>
      <c r="D295" s="31" t="s">
        <v>11</v>
      </c>
      <c r="E295" s="24" t="s">
        <v>12</v>
      </c>
      <c r="F295" s="24" t="s">
        <v>12</v>
      </c>
      <c r="G295" s="24" t="s">
        <v>12</v>
      </c>
      <c r="H295" s="24" t="s">
        <v>32</v>
      </c>
    </row>
    <row r="296" ht="20" customHeight="1" spans="1:8" x14ac:dyDescent="0.25">
      <c r="A296" s="22" t="s">
        <v>39</v>
      </c>
      <c r="B296" s="22" t="s">
        <v>40</v>
      </c>
      <c r="C296" s="23" t="s">
        <v>71</v>
      </c>
      <c r="D296" s="6" t="s">
        <v>4</v>
      </c>
      <c r="E296" s="22" t="s">
        <v>387</v>
      </c>
      <c r="F296" s="22" t="s">
        <v>278</v>
      </c>
      <c r="G296" s="22" t="s">
        <v>154</v>
      </c>
      <c r="H296" s="32" t="s">
        <v>79</v>
      </c>
    </row>
    <row r="297" ht="20" customHeight="1" spans="1:8" x14ac:dyDescent="0.25">
      <c r="A297" s="24" t="s">
        <v>41</v>
      </c>
      <c r="B297" s="24" t="s">
        <v>42</v>
      </c>
      <c r="C297" s="25" t="s">
        <v>71</v>
      </c>
      <c r="D297" s="33" t="s">
        <v>86</v>
      </c>
      <c r="E297" s="24" t="s">
        <v>12</v>
      </c>
      <c r="F297" s="24" t="s">
        <v>12</v>
      </c>
      <c r="G297" s="24" t="s">
        <v>12</v>
      </c>
      <c r="H297" s="24" t="s">
        <v>32</v>
      </c>
    </row>
    <row r="298" ht="20" customHeight="1" spans="1:8" x14ac:dyDescent="0.25">
      <c r="A298" s="22" t="s">
        <v>44</v>
      </c>
      <c r="B298" s="22" t="s">
        <v>45</v>
      </c>
      <c r="C298" s="23" t="s">
        <v>71</v>
      </c>
      <c r="D298" s="6" t="s">
        <v>4</v>
      </c>
      <c r="E298" s="22" t="s">
        <v>311</v>
      </c>
      <c r="F298" s="22" t="s">
        <v>398</v>
      </c>
      <c r="G298" s="22" t="s">
        <v>194</v>
      </c>
      <c r="H298" s="32" t="s">
        <v>79</v>
      </c>
    </row>
    <row r="299" ht="20" customHeight="1" spans="1:8" x14ac:dyDescent="0.25">
      <c r="A299" s="24" t="s">
        <v>46</v>
      </c>
      <c r="B299" s="24" t="s">
        <v>31</v>
      </c>
      <c r="C299" s="25" t="s">
        <v>71</v>
      </c>
      <c r="D299" s="6" t="s">
        <v>4</v>
      </c>
      <c r="E299" s="24" t="s">
        <v>561</v>
      </c>
      <c r="F299" s="24" t="s">
        <v>374</v>
      </c>
      <c r="G299" s="24" t="s">
        <v>406</v>
      </c>
      <c r="H299" s="30" t="s">
        <v>79</v>
      </c>
    </row>
    <row r="300" ht="20" customHeight="1" spans="1:8" x14ac:dyDescent="0.25">
      <c r="A300" s="22" t="s">
        <v>47</v>
      </c>
      <c r="B300" s="22" t="s">
        <v>34</v>
      </c>
      <c r="C300" s="23" t="s">
        <v>71</v>
      </c>
      <c r="D300" s="6" t="s">
        <v>4</v>
      </c>
      <c r="E300" s="22" t="s">
        <v>92</v>
      </c>
      <c r="F300" s="22" t="s">
        <v>293</v>
      </c>
      <c r="G300" s="22" t="s">
        <v>788</v>
      </c>
      <c r="H300" s="32" t="s">
        <v>79</v>
      </c>
    </row>
    <row r="301" ht="20" customHeight="1" spans="1:8" x14ac:dyDescent="0.25">
      <c r="A301" s="24" t="s">
        <v>48</v>
      </c>
      <c r="B301" s="24" t="s">
        <v>36</v>
      </c>
      <c r="C301" s="25" t="s">
        <v>71</v>
      </c>
      <c r="D301" s="6" t="s">
        <v>4</v>
      </c>
      <c r="E301" s="24" t="s">
        <v>125</v>
      </c>
      <c r="F301" s="24" t="s">
        <v>374</v>
      </c>
      <c r="G301" s="24" t="s">
        <v>250</v>
      </c>
      <c r="H301" s="30" t="s">
        <v>79</v>
      </c>
    </row>
    <row r="302" ht="20" customHeight="1" spans="1:8" x14ac:dyDescent="0.25">
      <c r="A302" s="22" t="s">
        <v>49</v>
      </c>
      <c r="B302" s="22" t="s">
        <v>38</v>
      </c>
      <c r="C302" s="23" t="s">
        <v>71</v>
      </c>
      <c r="D302" s="6" t="s">
        <v>4</v>
      </c>
      <c r="E302" s="22" t="s">
        <v>125</v>
      </c>
      <c r="F302" s="22" t="s">
        <v>389</v>
      </c>
      <c r="G302" s="22" t="s">
        <v>250</v>
      </c>
      <c r="H302" s="32" t="s">
        <v>79</v>
      </c>
    </row>
    <row r="303" ht="20" customHeight="1" spans="1:8" x14ac:dyDescent="0.25">
      <c r="A303" s="24" t="s">
        <v>50</v>
      </c>
      <c r="B303" s="24" t="s">
        <v>40</v>
      </c>
      <c r="C303" s="25" t="s">
        <v>71</v>
      </c>
      <c r="D303" s="33" t="s">
        <v>86</v>
      </c>
      <c r="E303" s="24" t="s">
        <v>12</v>
      </c>
      <c r="F303" s="24" t="s">
        <v>12</v>
      </c>
      <c r="G303" s="24" t="s">
        <v>12</v>
      </c>
      <c r="H303" s="24" t="s">
        <v>32</v>
      </c>
    </row>
    <row r="304" ht="20" customHeight="1" spans="1:8" x14ac:dyDescent="0.25">
      <c r="A304" s="22" t="s">
        <v>51</v>
      </c>
      <c r="B304" s="22" t="s">
        <v>42</v>
      </c>
      <c r="C304" s="23" t="s">
        <v>71</v>
      </c>
      <c r="D304" s="35" t="s">
        <v>86</v>
      </c>
      <c r="E304" s="22" t="s">
        <v>12</v>
      </c>
      <c r="F304" s="22" t="s">
        <v>12</v>
      </c>
      <c r="G304" s="22" t="s">
        <v>12</v>
      </c>
      <c r="H304" s="22" t="s">
        <v>32</v>
      </c>
    </row>
    <row r="305" ht="20" customHeight="1" spans="1:8" x14ac:dyDescent="0.25">
      <c r="A305" s="24" t="s">
        <v>52</v>
      </c>
      <c r="B305" s="24" t="s">
        <v>45</v>
      </c>
      <c r="C305" s="25" t="s">
        <v>71</v>
      </c>
      <c r="D305" s="6" t="s">
        <v>4</v>
      </c>
      <c r="E305" s="24" t="s">
        <v>364</v>
      </c>
      <c r="F305" s="24" t="s">
        <v>398</v>
      </c>
      <c r="G305" s="24" t="s">
        <v>261</v>
      </c>
      <c r="H305" s="30" t="s">
        <v>79</v>
      </c>
    </row>
    <row r="306" ht="20" customHeight="1" spans="1:8" x14ac:dyDescent="0.25">
      <c r="A306" s="22" t="s">
        <v>53</v>
      </c>
      <c r="B306" s="22" t="s">
        <v>31</v>
      </c>
      <c r="C306" s="23" t="s">
        <v>71</v>
      </c>
      <c r="D306" s="6" t="s">
        <v>4</v>
      </c>
      <c r="E306" s="22" t="s">
        <v>518</v>
      </c>
      <c r="F306" s="22" t="s">
        <v>386</v>
      </c>
      <c r="G306" s="22" t="s">
        <v>232</v>
      </c>
      <c r="H306" s="32" t="s">
        <v>79</v>
      </c>
    </row>
    <row r="307" ht="20" customHeight="1" spans="1:8" x14ac:dyDescent="0.25">
      <c r="A307" s="24" t="s">
        <v>54</v>
      </c>
      <c r="B307" s="24" t="s">
        <v>34</v>
      </c>
      <c r="C307" s="25" t="s">
        <v>71</v>
      </c>
      <c r="D307" s="6" t="s">
        <v>4</v>
      </c>
      <c r="E307" s="24" t="s">
        <v>311</v>
      </c>
      <c r="F307" s="24" t="s">
        <v>321</v>
      </c>
      <c r="G307" s="24" t="s">
        <v>180</v>
      </c>
      <c r="H307" s="30" t="s">
        <v>79</v>
      </c>
    </row>
    <row r="308" ht="20" customHeight="1" spans="1:8" x14ac:dyDescent="0.25">
      <c r="A308" s="22" t="s">
        <v>55</v>
      </c>
      <c r="B308" s="22" t="s">
        <v>36</v>
      </c>
      <c r="C308" s="23" t="s">
        <v>71</v>
      </c>
      <c r="D308" s="6" t="s">
        <v>4</v>
      </c>
      <c r="E308" s="22" t="s">
        <v>401</v>
      </c>
      <c r="F308" s="22" t="s">
        <v>384</v>
      </c>
      <c r="G308" s="22" t="s">
        <v>161</v>
      </c>
      <c r="H308" s="32" t="s">
        <v>79</v>
      </c>
    </row>
    <row r="309" ht="20" customHeight="1" spans="1:8" x14ac:dyDescent="0.25">
      <c r="A309" s="24" t="s">
        <v>56</v>
      </c>
      <c r="B309" s="24" t="s">
        <v>38</v>
      </c>
      <c r="C309" s="25" t="s">
        <v>71</v>
      </c>
      <c r="D309" s="6" t="s">
        <v>4</v>
      </c>
      <c r="E309" s="24" t="s">
        <v>125</v>
      </c>
      <c r="F309" s="24" t="s">
        <v>789</v>
      </c>
      <c r="G309" s="24" t="s">
        <v>790</v>
      </c>
      <c r="H309" s="34" t="s">
        <v>791</v>
      </c>
    </row>
    <row r="310" ht="20" customHeight="1" spans="1:8" x14ac:dyDescent="0.25">
      <c r="A310" s="22" t="s">
        <v>57</v>
      </c>
      <c r="B310" s="22" t="s">
        <v>40</v>
      </c>
      <c r="C310" s="23" t="s">
        <v>71</v>
      </c>
      <c r="D310" s="6" t="s">
        <v>4</v>
      </c>
      <c r="E310" s="22" t="s">
        <v>387</v>
      </c>
      <c r="F310" s="22" t="s">
        <v>384</v>
      </c>
      <c r="G310" s="22" t="s">
        <v>329</v>
      </c>
      <c r="H310" s="32" t="s">
        <v>79</v>
      </c>
    </row>
    <row r="311" ht="20" customHeight="1" spans="1:8" x14ac:dyDescent="0.25">
      <c r="A311" s="24" t="s">
        <v>58</v>
      </c>
      <c r="B311" s="24" t="s">
        <v>42</v>
      </c>
      <c r="C311" s="25" t="s">
        <v>71</v>
      </c>
      <c r="D311" s="33" t="s">
        <v>86</v>
      </c>
      <c r="E311" s="24" t="s">
        <v>12</v>
      </c>
      <c r="F311" s="24" t="s">
        <v>12</v>
      </c>
      <c r="G311" s="24" t="s">
        <v>12</v>
      </c>
      <c r="H311" s="24" t="s">
        <v>32</v>
      </c>
    </row>
    <row r="312" ht="20" customHeight="1" spans="1:8" x14ac:dyDescent="0.25">
      <c r="A312" s="22" t="s">
        <v>59</v>
      </c>
      <c r="B312" s="22" t="s">
        <v>45</v>
      </c>
      <c r="C312" s="23" t="s">
        <v>71</v>
      </c>
      <c r="D312" s="16" t="s">
        <v>43</v>
      </c>
      <c r="E312" s="22" t="s">
        <v>12</v>
      </c>
      <c r="F312" s="22" t="s">
        <v>12</v>
      </c>
      <c r="G312" s="22" t="s">
        <v>12</v>
      </c>
      <c r="H312" s="22" t="s">
        <v>32</v>
      </c>
    </row>
    <row r="313" ht="20" customHeight="1" spans="1:8" x14ac:dyDescent="0.25">
      <c r="A313" s="24" t="s">
        <v>60</v>
      </c>
      <c r="B313" s="24" t="s">
        <v>31</v>
      </c>
      <c r="C313" s="25" t="s">
        <v>71</v>
      </c>
      <c r="D313" s="6" t="s">
        <v>4</v>
      </c>
      <c r="E313" s="24" t="s">
        <v>125</v>
      </c>
      <c r="F313" s="24" t="s">
        <v>321</v>
      </c>
      <c r="G313" s="24" t="s">
        <v>180</v>
      </c>
      <c r="H313" s="30" t="s">
        <v>79</v>
      </c>
    </row>
    <row r="314" ht="20" customHeight="1" spans="1:8" x14ac:dyDescent="0.25">
      <c r="A314" s="22" t="s">
        <v>61</v>
      </c>
      <c r="B314" s="22" t="s">
        <v>34</v>
      </c>
      <c r="C314" s="23" t="s">
        <v>71</v>
      </c>
      <c r="D314" s="6" t="s">
        <v>4</v>
      </c>
      <c r="E314" s="22" t="s">
        <v>125</v>
      </c>
      <c r="F314" s="22" t="s">
        <v>321</v>
      </c>
      <c r="G314" s="22" t="s">
        <v>180</v>
      </c>
      <c r="H314" s="32" t="s">
        <v>79</v>
      </c>
    </row>
    <row r="315" ht="20" customHeight="1" spans="1:8" x14ac:dyDescent="0.25">
      <c r="A315" s="24" t="s">
        <v>62</v>
      </c>
      <c r="B315" s="24" t="s">
        <v>36</v>
      </c>
      <c r="C315" s="25" t="s">
        <v>71</v>
      </c>
      <c r="D315" s="6" t="s">
        <v>4</v>
      </c>
      <c r="E315" s="24" t="s">
        <v>391</v>
      </c>
      <c r="F315" s="24" t="s">
        <v>389</v>
      </c>
      <c r="G315" s="24" t="s">
        <v>659</v>
      </c>
      <c r="H315" s="30" t="s">
        <v>79</v>
      </c>
    </row>
    <row r="316" ht="20" customHeight="1" spans="1:8" x14ac:dyDescent="0.25">
      <c r="A316" s="22" t="s">
        <v>63</v>
      </c>
      <c r="B316" s="22" t="s">
        <v>38</v>
      </c>
      <c r="C316" s="23" t="s">
        <v>71</v>
      </c>
      <c r="D316" s="6" t="s">
        <v>4</v>
      </c>
      <c r="E316" s="22" t="s">
        <v>375</v>
      </c>
      <c r="F316" s="22" t="s">
        <v>354</v>
      </c>
      <c r="G316" s="22" t="s">
        <v>250</v>
      </c>
      <c r="H316" s="32" t="s">
        <v>79</v>
      </c>
    </row>
    <row r="317" ht="20" customHeight="1" spans="1:8" x14ac:dyDescent="0.25">
      <c r="A317" s="24" t="s">
        <v>64</v>
      </c>
      <c r="B317" s="24" t="s">
        <v>40</v>
      </c>
      <c r="C317" s="25" t="s">
        <v>71</v>
      </c>
      <c r="D317" s="6" t="s">
        <v>4</v>
      </c>
      <c r="E317" s="24" t="s">
        <v>405</v>
      </c>
      <c r="F317" s="24" t="s">
        <v>395</v>
      </c>
      <c r="G317" s="24" t="s">
        <v>194</v>
      </c>
      <c r="H317" s="30" t="s">
        <v>79</v>
      </c>
    </row>
    <row r="318" ht="20" customHeight="1" spans="1:8" x14ac:dyDescent="0.25">
      <c r="A318" s="22" t="s">
        <v>65</v>
      </c>
      <c r="B318" s="22" t="s">
        <v>42</v>
      </c>
      <c r="C318" s="23" t="s">
        <v>71</v>
      </c>
      <c r="D318" s="35" t="s">
        <v>86</v>
      </c>
      <c r="E318" s="22" t="s">
        <v>12</v>
      </c>
      <c r="F318" s="22" t="s">
        <v>12</v>
      </c>
      <c r="G318" s="22" t="s">
        <v>12</v>
      </c>
      <c r="H318" s="22" t="s">
        <v>32</v>
      </c>
    </row>
    <row r="319" ht="20" customHeight="1" spans="1:8" x14ac:dyDescent="0.25">
      <c r="A319" s="24" t="s">
        <v>66</v>
      </c>
      <c r="B319" s="24" t="s">
        <v>45</v>
      </c>
      <c r="C319" s="25" t="s">
        <v>71</v>
      </c>
      <c r="D319" s="6" t="s">
        <v>4</v>
      </c>
      <c r="E319" s="24" t="s">
        <v>397</v>
      </c>
      <c r="F319" s="24" t="s">
        <v>386</v>
      </c>
      <c r="G319" s="24" t="s">
        <v>130</v>
      </c>
      <c r="H319" s="30" t="s">
        <v>79</v>
      </c>
    </row>
    <row r="320" ht="20" customHeight="1" spans="1:8" x14ac:dyDescent="0.25">
      <c r="A320" s="22" t="s">
        <v>67</v>
      </c>
      <c r="B320" s="22" t="s">
        <v>31</v>
      </c>
      <c r="C320" s="23" t="s">
        <v>71</v>
      </c>
      <c r="D320" s="6" t="s">
        <v>4</v>
      </c>
      <c r="E320" s="22" t="s">
        <v>639</v>
      </c>
      <c r="F320" s="22" t="s">
        <v>321</v>
      </c>
      <c r="G320" s="22" t="s">
        <v>577</v>
      </c>
      <c r="H320" s="32" t="s">
        <v>79</v>
      </c>
    </row>
    <row r="321" ht="20" customHeight="1" spans="1:8" x14ac:dyDescent="0.25">
      <c r="A321" s="24" t="s">
        <v>68</v>
      </c>
      <c r="B321" s="24" t="s">
        <v>34</v>
      </c>
      <c r="C321" s="25" t="s">
        <v>71</v>
      </c>
      <c r="D321" s="6" t="s">
        <v>4</v>
      </c>
      <c r="E321" s="24" t="s">
        <v>401</v>
      </c>
      <c r="F321" s="24" t="s">
        <v>398</v>
      </c>
      <c r="G321" s="24" t="s">
        <v>290</v>
      </c>
      <c r="H321" s="30" t="s">
        <v>79</v>
      </c>
    </row>
    <row r="322" ht="22" customHeight="1" spans="1:8" x14ac:dyDescent="0.25">
      <c r="A322" s="26" t="s">
        <v>69</v>
      </c>
      <c r="B322" s="26"/>
      <c r="C322" s="26"/>
      <c r="D322" s="26"/>
      <c r="E322" s="26"/>
      <c r="F322" s="26"/>
      <c r="G322" s="27" t="s">
        <v>792</v>
      </c>
      <c r="H322" s="28" t="s">
        <v>12</v>
      </c>
    </row>
    <row r="324" ht="26" customHeight="1" spans="1:8" x14ac:dyDescent="0.25">
      <c r="A324" s="20" t="s">
        <v>793</v>
      </c>
      <c r="B324" s="20"/>
      <c r="C324" s="20"/>
      <c r="D324" s="20"/>
      <c r="E324" s="20"/>
      <c r="F324" s="20"/>
      <c r="G324" s="20"/>
      <c r="H324" s="20"/>
    </row>
    <row r="325" ht="22" customHeight="1" spans="1:8" x14ac:dyDescent="0.25">
      <c r="A325" s="21" t="s">
        <v>22</v>
      </c>
      <c r="B325" s="21" t="s">
        <v>23</v>
      </c>
      <c r="C325" s="21" t="s">
        <v>24</v>
      </c>
      <c r="D325" s="21" t="s">
        <v>25</v>
      </c>
      <c r="E325" s="21" t="s">
        <v>26</v>
      </c>
      <c r="F325" s="21" t="s">
        <v>27</v>
      </c>
      <c r="G325" s="21" t="s">
        <v>28</v>
      </c>
      <c r="H325" s="21" t="s">
        <v>29</v>
      </c>
    </row>
    <row r="326" ht="20" customHeight="1" spans="1:8" x14ac:dyDescent="0.25">
      <c r="A326" s="22" t="s">
        <v>30</v>
      </c>
      <c r="B326" s="22" t="s">
        <v>31</v>
      </c>
      <c r="C326" s="23" t="s">
        <v>71</v>
      </c>
      <c r="D326" s="6" t="s">
        <v>4</v>
      </c>
      <c r="E326" s="22" t="s">
        <v>320</v>
      </c>
      <c r="F326" s="22" t="s">
        <v>237</v>
      </c>
      <c r="G326" s="22" t="s">
        <v>250</v>
      </c>
      <c r="H326" s="32" t="s">
        <v>79</v>
      </c>
    </row>
    <row r="327" ht="20" customHeight="1" spans="1:8" x14ac:dyDescent="0.25">
      <c r="A327" s="24" t="s">
        <v>33</v>
      </c>
      <c r="B327" s="24" t="s">
        <v>34</v>
      </c>
      <c r="C327" s="25" t="s">
        <v>71</v>
      </c>
      <c r="D327" s="6" t="s">
        <v>4</v>
      </c>
      <c r="E327" s="24" t="s">
        <v>361</v>
      </c>
      <c r="F327" s="24" t="s">
        <v>209</v>
      </c>
      <c r="G327" s="24" t="s">
        <v>647</v>
      </c>
      <c r="H327" s="30" t="s">
        <v>79</v>
      </c>
    </row>
    <row r="328" ht="20" customHeight="1" spans="1:8" x14ac:dyDescent="0.25">
      <c r="A328" s="22" t="s">
        <v>35</v>
      </c>
      <c r="B328" s="22" t="s">
        <v>36</v>
      </c>
      <c r="C328" s="23" t="s">
        <v>71</v>
      </c>
      <c r="D328" s="6" t="s">
        <v>4</v>
      </c>
      <c r="E328" s="22" t="s">
        <v>361</v>
      </c>
      <c r="F328" s="22" t="s">
        <v>12</v>
      </c>
      <c r="G328" s="22" t="s">
        <v>12</v>
      </c>
      <c r="H328" s="32" t="s">
        <v>79</v>
      </c>
    </row>
    <row r="329" ht="20" customHeight="1" spans="1:8" x14ac:dyDescent="0.25">
      <c r="A329" s="24" t="s">
        <v>37</v>
      </c>
      <c r="B329" s="24" t="s">
        <v>38</v>
      </c>
      <c r="C329" s="25" t="s">
        <v>71</v>
      </c>
      <c r="D329" s="31" t="s">
        <v>11</v>
      </c>
      <c r="E329" s="24" t="s">
        <v>12</v>
      </c>
      <c r="F329" s="24" t="s">
        <v>12</v>
      </c>
      <c r="G329" s="24" t="s">
        <v>12</v>
      </c>
      <c r="H329" s="24" t="s">
        <v>32</v>
      </c>
    </row>
    <row r="330" ht="20" customHeight="1" spans="1:8" x14ac:dyDescent="0.25">
      <c r="A330" s="22" t="s">
        <v>39</v>
      </c>
      <c r="B330" s="22" t="s">
        <v>40</v>
      </c>
      <c r="C330" s="23" t="s">
        <v>71</v>
      </c>
      <c r="D330" s="6" t="s">
        <v>4</v>
      </c>
      <c r="E330" s="22" t="s">
        <v>411</v>
      </c>
      <c r="F330" s="22" t="s">
        <v>338</v>
      </c>
      <c r="G330" s="22" t="s">
        <v>290</v>
      </c>
      <c r="H330" s="32" t="s">
        <v>79</v>
      </c>
    </row>
    <row r="331" ht="20" customHeight="1" spans="1:8" x14ac:dyDescent="0.25">
      <c r="A331" s="24" t="s">
        <v>41</v>
      </c>
      <c r="B331" s="24" t="s">
        <v>42</v>
      </c>
      <c r="C331" s="25" t="s">
        <v>71</v>
      </c>
      <c r="D331" s="33" t="s">
        <v>86</v>
      </c>
      <c r="E331" s="24" t="s">
        <v>12</v>
      </c>
      <c r="F331" s="24" t="s">
        <v>12</v>
      </c>
      <c r="G331" s="24" t="s">
        <v>12</v>
      </c>
      <c r="H331" s="24" t="s">
        <v>32</v>
      </c>
    </row>
    <row r="332" ht="20" customHeight="1" spans="1:8" x14ac:dyDescent="0.25">
      <c r="A332" s="22" t="s">
        <v>44</v>
      </c>
      <c r="B332" s="22" t="s">
        <v>45</v>
      </c>
      <c r="C332" s="23" t="s">
        <v>71</v>
      </c>
      <c r="D332" s="6" t="s">
        <v>4</v>
      </c>
      <c r="E332" s="22" t="s">
        <v>362</v>
      </c>
      <c r="F332" s="22" t="s">
        <v>298</v>
      </c>
      <c r="G332" s="22" t="s">
        <v>194</v>
      </c>
      <c r="H332" s="32" t="s">
        <v>79</v>
      </c>
    </row>
    <row r="333" ht="20" customHeight="1" spans="1:8" x14ac:dyDescent="0.25">
      <c r="A333" s="24" t="s">
        <v>46</v>
      </c>
      <c r="B333" s="24" t="s">
        <v>31</v>
      </c>
      <c r="C333" s="25" t="s">
        <v>71</v>
      </c>
      <c r="D333" s="6" t="s">
        <v>4</v>
      </c>
      <c r="E333" s="24" t="s">
        <v>411</v>
      </c>
      <c r="F333" s="24" t="s">
        <v>237</v>
      </c>
      <c r="G333" s="24" t="s">
        <v>410</v>
      </c>
      <c r="H333" s="30" t="s">
        <v>79</v>
      </c>
    </row>
    <row r="334" ht="20" customHeight="1" spans="1:8" x14ac:dyDescent="0.25">
      <c r="A334" s="22" t="s">
        <v>47</v>
      </c>
      <c r="B334" s="22" t="s">
        <v>34</v>
      </c>
      <c r="C334" s="23" t="s">
        <v>71</v>
      </c>
      <c r="D334" s="6" t="s">
        <v>4</v>
      </c>
      <c r="E334" s="22" t="s">
        <v>125</v>
      </c>
      <c r="F334" s="22" t="s">
        <v>231</v>
      </c>
      <c r="G334" s="22" t="s">
        <v>659</v>
      </c>
      <c r="H334" s="32" t="s">
        <v>79</v>
      </c>
    </row>
    <row r="335" ht="20" customHeight="1" spans="1:8" x14ac:dyDescent="0.25">
      <c r="A335" s="24" t="s">
        <v>48</v>
      </c>
      <c r="B335" s="24" t="s">
        <v>36</v>
      </c>
      <c r="C335" s="25" t="s">
        <v>71</v>
      </c>
      <c r="D335" s="6" t="s">
        <v>4</v>
      </c>
      <c r="E335" s="24" t="s">
        <v>362</v>
      </c>
      <c r="F335" s="24" t="s">
        <v>772</v>
      </c>
      <c r="G335" s="24" t="s">
        <v>794</v>
      </c>
      <c r="H335" s="30" t="s">
        <v>79</v>
      </c>
    </row>
    <row r="336" ht="20" customHeight="1" spans="1:8" x14ac:dyDescent="0.25">
      <c r="A336" s="22" t="s">
        <v>49</v>
      </c>
      <c r="B336" s="22" t="s">
        <v>38</v>
      </c>
      <c r="C336" s="23" t="s">
        <v>71</v>
      </c>
      <c r="D336" s="6" t="s">
        <v>4</v>
      </c>
      <c r="E336" s="22" t="s">
        <v>411</v>
      </c>
      <c r="F336" s="22" t="s">
        <v>12</v>
      </c>
      <c r="G336" s="22" t="s">
        <v>12</v>
      </c>
      <c r="H336" s="32" t="s">
        <v>79</v>
      </c>
    </row>
    <row r="337" ht="20" customHeight="1" spans="1:8" x14ac:dyDescent="0.25">
      <c r="A337" s="24" t="s">
        <v>50</v>
      </c>
      <c r="B337" s="24" t="s">
        <v>40</v>
      </c>
      <c r="C337" s="25" t="s">
        <v>71</v>
      </c>
      <c r="D337" s="6" t="s">
        <v>4</v>
      </c>
      <c r="E337" s="24" t="s">
        <v>375</v>
      </c>
      <c r="F337" s="24" t="s">
        <v>12</v>
      </c>
      <c r="G337" s="24" t="s">
        <v>12</v>
      </c>
      <c r="H337" s="30" t="s">
        <v>79</v>
      </c>
    </row>
    <row r="338" ht="20" customHeight="1" spans="1:8" x14ac:dyDescent="0.25">
      <c r="A338" s="22" t="s">
        <v>51</v>
      </c>
      <c r="B338" s="22" t="s">
        <v>42</v>
      </c>
      <c r="C338" s="23" t="s">
        <v>71</v>
      </c>
      <c r="D338" s="35" t="s">
        <v>86</v>
      </c>
      <c r="E338" s="22" t="s">
        <v>12</v>
      </c>
      <c r="F338" s="22" t="s">
        <v>12</v>
      </c>
      <c r="G338" s="22" t="s">
        <v>12</v>
      </c>
      <c r="H338" s="22" t="s">
        <v>32</v>
      </c>
    </row>
    <row r="339" ht="20" customHeight="1" spans="1:8" x14ac:dyDescent="0.25">
      <c r="A339" s="24" t="s">
        <v>52</v>
      </c>
      <c r="B339" s="24" t="s">
        <v>45</v>
      </c>
      <c r="C339" s="25" t="s">
        <v>71</v>
      </c>
      <c r="D339" s="6" t="s">
        <v>4</v>
      </c>
      <c r="E339" s="24" t="s">
        <v>361</v>
      </c>
      <c r="F339" s="24" t="s">
        <v>12</v>
      </c>
      <c r="G339" s="24" t="s">
        <v>12</v>
      </c>
      <c r="H339" s="30" t="s">
        <v>79</v>
      </c>
    </row>
    <row r="340" ht="20" customHeight="1" spans="1:8" x14ac:dyDescent="0.25">
      <c r="A340" s="22" t="s">
        <v>53</v>
      </c>
      <c r="B340" s="22" t="s">
        <v>31</v>
      </c>
      <c r="C340" s="23" t="s">
        <v>71</v>
      </c>
      <c r="D340" s="6" t="s">
        <v>4</v>
      </c>
      <c r="E340" s="22" t="s">
        <v>362</v>
      </c>
      <c r="F340" s="22" t="s">
        <v>404</v>
      </c>
      <c r="G340" s="22" t="s">
        <v>410</v>
      </c>
      <c r="H340" s="32" t="s">
        <v>79</v>
      </c>
    </row>
    <row r="341" ht="20" customHeight="1" spans="1:8" x14ac:dyDescent="0.25">
      <c r="A341" s="24" t="s">
        <v>54</v>
      </c>
      <c r="B341" s="24" t="s">
        <v>34</v>
      </c>
      <c r="C341" s="25" t="s">
        <v>71</v>
      </c>
      <c r="D341" s="6" t="s">
        <v>4</v>
      </c>
      <c r="E341" s="24" t="s">
        <v>361</v>
      </c>
      <c r="F341" s="24" t="s">
        <v>298</v>
      </c>
      <c r="G341" s="24" t="s">
        <v>285</v>
      </c>
      <c r="H341" s="30" t="s">
        <v>79</v>
      </c>
    </row>
    <row r="342" ht="20" customHeight="1" spans="1:8" x14ac:dyDescent="0.25">
      <c r="A342" s="22" t="s">
        <v>55</v>
      </c>
      <c r="B342" s="22" t="s">
        <v>36</v>
      </c>
      <c r="C342" s="23" t="s">
        <v>71</v>
      </c>
      <c r="D342" s="6" t="s">
        <v>4</v>
      </c>
      <c r="E342" s="22" t="s">
        <v>411</v>
      </c>
      <c r="F342" s="22" t="s">
        <v>354</v>
      </c>
      <c r="G342" s="22" t="s">
        <v>130</v>
      </c>
      <c r="H342" s="32" t="s">
        <v>79</v>
      </c>
    </row>
    <row r="343" ht="20" customHeight="1" spans="1:8" x14ac:dyDescent="0.25">
      <c r="A343" s="24" t="s">
        <v>56</v>
      </c>
      <c r="B343" s="24" t="s">
        <v>38</v>
      </c>
      <c r="C343" s="25" t="s">
        <v>71</v>
      </c>
      <c r="D343" s="6" t="s">
        <v>4</v>
      </c>
      <c r="E343" s="24" t="s">
        <v>567</v>
      </c>
      <c r="F343" s="24" t="s">
        <v>324</v>
      </c>
      <c r="G343" s="24" t="s">
        <v>154</v>
      </c>
      <c r="H343" s="30" t="s">
        <v>79</v>
      </c>
    </row>
    <row r="344" ht="20" customHeight="1" spans="1:8" x14ac:dyDescent="0.25">
      <c r="A344" s="22" t="s">
        <v>57</v>
      </c>
      <c r="B344" s="22" t="s">
        <v>40</v>
      </c>
      <c r="C344" s="23" t="s">
        <v>71</v>
      </c>
      <c r="D344" s="6" t="s">
        <v>4</v>
      </c>
      <c r="E344" s="22" t="s">
        <v>362</v>
      </c>
      <c r="F344" s="22" t="s">
        <v>298</v>
      </c>
      <c r="G344" s="22" t="s">
        <v>194</v>
      </c>
      <c r="H344" s="32" t="s">
        <v>79</v>
      </c>
    </row>
    <row r="345" ht="20" customHeight="1" spans="1:8" x14ac:dyDescent="0.25">
      <c r="A345" s="24" t="s">
        <v>58</v>
      </c>
      <c r="B345" s="24" t="s">
        <v>42</v>
      </c>
      <c r="C345" s="25" t="s">
        <v>71</v>
      </c>
      <c r="D345" s="33" t="s">
        <v>86</v>
      </c>
      <c r="E345" s="24" t="s">
        <v>12</v>
      </c>
      <c r="F345" s="24" t="s">
        <v>12</v>
      </c>
      <c r="G345" s="24" t="s">
        <v>12</v>
      </c>
      <c r="H345" s="24" t="s">
        <v>32</v>
      </c>
    </row>
    <row r="346" ht="20" customHeight="1" spans="1:8" x14ac:dyDescent="0.25">
      <c r="A346" s="22" t="s">
        <v>59</v>
      </c>
      <c r="B346" s="22" t="s">
        <v>45</v>
      </c>
      <c r="C346" s="23" t="s">
        <v>71</v>
      </c>
      <c r="D346" s="6" t="s">
        <v>4</v>
      </c>
      <c r="E346" s="22" t="s">
        <v>377</v>
      </c>
      <c r="F346" s="22" t="s">
        <v>12</v>
      </c>
      <c r="G346" s="22" t="s">
        <v>12</v>
      </c>
      <c r="H346" s="32" t="s">
        <v>79</v>
      </c>
    </row>
    <row r="347" ht="20" customHeight="1" spans="1:8" x14ac:dyDescent="0.25">
      <c r="A347" s="24" t="s">
        <v>60</v>
      </c>
      <c r="B347" s="24" t="s">
        <v>31</v>
      </c>
      <c r="C347" s="25" t="s">
        <v>71</v>
      </c>
      <c r="D347" s="6" t="s">
        <v>4</v>
      </c>
      <c r="E347" s="24" t="s">
        <v>361</v>
      </c>
      <c r="F347" s="24" t="s">
        <v>376</v>
      </c>
      <c r="G347" s="24" t="s">
        <v>180</v>
      </c>
      <c r="H347" s="30" t="s">
        <v>79</v>
      </c>
    </row>
    <row r="348" ht="20" customHeight="1" spans="1:8" x14ac:dyDescent="0.25">
      <c r="A348" s="22" t="s">
        <v>61</v>
      </c>
      <c r="B348" s="22" t="s">
        <v>34</v>
      </c>
      <c r="C348" s="23" t="s">
        <v>71</v>
      </c>
      <c r="D348" s="6" t="s">
        <v>4</v>
      </c>
      <c r="E348" s="22" t="s">
        <v>411</v>
      </c>
      <c r="F348" s="22" t="s">
        <v>536</v>
      </c>
      <c r="G348" s="22" t="s">
        <v>487</v>
      </c>
      <c r="H348" s="29" t="s">
        <v>795</v>
      </c>
    </row>
    <row r="349" ht="20" customHeight="1" spans="1:8" x14ac:dyDescent="0.25">
      <c r="A349" s="24" t="s">
        <v>62</v>
      </c>
      <c r="B349" s="24" t="s">
        <v>36</v>
      </c>
      <c r="C349" s="25" t="s">
        <v>71</v>
      </c>
      <c r="D349" s="10" t="s">
        <v>87</v>
      </c>
      <c r="E349" s="24" t="s">
        <v>12</v>
      </c>
      <c r="F349" s="24" t="s">
        <v>12</v>
      </c>
      <c r="G349" s="24" t="s">
        <v>12</v>
      </c>
      <c r="H349" s="24" t="s">
        <v>32</v>
      </c>
    </row>
    <row r="350" ht="20" customHeight="1" spans="1:8" x14ac:dyDescent="0.25">
      <c r="A350" s="22" t="s">
        <v>63</v>
      </c>
      <c r="B350" s="22" t="s">
        <v>38</v>
      </c>
      <c r="C350" s="23" t="s">
        <v>71</v>
      </c>
      <c r="D350" s="6" t="s">
        <v>4</v>
      </c>
      <c r="E350" s="22" t="s">
        <v>361</v>
      </c>
      <c r="F350" s="22" t="s">
        <v>384</v>
      </c>
      <c r="G350" s="22" t="s">
        <v>261</v>
      </c>
      <c r="H350" s="32" t="s">
        <v>79</v>
      </c>
    </row>
    <row r="351" ht="20" customHeight="1" spans="1:8" x14ac:dyDescent="0.25">
      <c r="A351" s="24" t="s">
        <v>64</v>
      </c>
      <c r="B351" s="24" t="s">
        <v>40</v>
      </c>
      <c r="C351" s="25" t="s">
        <v>71</v>
      </c>
      <c r="D351" s="6" t="s">
        <v>4</v>
      </c>
      <c r="E351" s="24" t="s">
        <v>411</v>
      </c>
      <c r="F351" s="24" t="s">
        <v>398</v>
      </c>
      <c r="G351" s="24" t="s">
        <v>147</v>
      </c>
      <c r="H351" s="30" t="s">
        <v>79</v>
      </c>
    </row>
    <row r="352" ht="20" customHeight="1" spans="1:8" x14ac:dyDescent="0.25">
      <c r="A352" s="22" t="s">
        <v>65</v>
      </c>
      <c r="B352" s="22" t="s">
        <v>42</v>
      </c>
      <c r="C352" s="23" t="s">
        <v>71</v>
      </c>
      <c r="D352" s="35" t="s">
        <v>86</v>
      </c>
      <c r="E352" s="22" t="s">
        <v>12</v>
      </c>
      <c r="F352" s="22" t="s">
        <v>12</v>
      </c>
      <c r="G352" s="22" t="s">
        <v>12</v>
      </c>
      <c r="H352" s="22" t="s">
        <v>32</v>
      </c>
    </row>
    <row r="353" ht="20" customHeight="1" spans="1:8" x14ac:dyDescent="0.25">
      <c r="A353" s="24" t="s">
        <v>66</v>
      </c>
      <c r="B353" s="24" t="s">
        <v>45</v>
      </c>
      <c r="C353" s="25" t="s">
        <v>71</v>
      </c>
      <c r="D353" s="6" t="s">
        <v>4</v>
      </c>
      <c r="E353" s="24" t="s">
        <v>576</v>
      </c>
      <c r="F353" s="24" t="s">
        <v>398</v>
      </c>
      <c r="G353" s="24" t="s">
        <v>329</v>
      </c>
      <c r="H353" s="30" t="s">
        <v>79</v>
      </c>
    </row>
    <row r="354" ht="20" customHeight="1" spans="1:8" x14ac:dyDescent="0.25">
      <c r="A354" s="22" t="s">
        <v>67</v>
      </c>
      <c r="B354" s="22" t="s">
        <v>31</v>
      </c>
      <c r="C354" s="23" t="s">
        <v>71</v>
      </c>
      <c r="D354" s="6" t="s">
        <v>4</v>
      </c>
      <c r="E354" s="22" t="s">
        <v>361</v>
      </c>
      <c r="F354" s="22" t="s">
        <v>404</v>
      </c>
      <c r="G354" s="22" t="s">
        <v>142</v>
      </c>
      <c r="H354" s="32" t="s">
        <v>79</v>
      </c>
    </row>
    <row r="355" ht="20" customHeight="1" spans="1:8" x14ac:dyDescent="0.25">
      <c r="A355" s="24" t="s">
        <v>68</v>
      </c>
      <c r="B355" s="24" t="s">
        <v>34</v>
      </c>
      <c r="C355" s="25" t="s">
        <v>71</v>
      </c>
      <c r="D355" s="6" t="s">
        <v>4</v>
      </c>
      <c r="E355" s="24" t="s">
        <v>576</v>
      </c>
      <c r="F355" s="24" t="s">
        <v>366</v>
      </c>
      <c r="G355" s="24" t="s">
        <v>123</v>
      </c>
      <c r="H355" s="30" t="s">
        <v>79</v>
      </c>
    </row>
    <row r="356" ht="22" customHeight="1" spans="1:8" x14ac:dyDescent="0.25">
      <c r="A356" s="26" t="s">
        <v>69</v>
      </c>
      <c r="B356" s="26"/>
      <c r="C356" s="26"/>
      <c r="D356" s="26"/>
      <c r="E356" s="26"/>
      <c r="F356" s="26"/>
      <c r="G356" s="27" t="s">
        <v>796</v>
      </c>
      <c r="H356" s="28" t="s">
        <v>12</v>
      </c>
    </row>
    <row r="358" ht="26" customHeight="1" spans="1:8" x14ac:dyDescent="0.25">
      <c r="A358" s="20" t="s">
        <v>797</v>
      </c>
      <c r="B358" s="20"/>
      <c r="C358" s="20"/>
      <c r="D358" s="20"/>
      <c r="E358" s="20"/>
      <c r="F358" s="20"/>
      <c r="G358" s="20"/>
      <c r="H358" s="20"/>
    </row>
    <row r="359" ht="22" customHeight="1" spans="1:8" x14ac:dyDescent="0.25">
      <c r="A359" s="21" t="s">
        <v>22</v>
      </c>
      <c r="B359" s="21" t="s">
        <v>23</v>
      </c>
      <c r="C359" s="21" t="s">
        <v>24</v>
      </c>
      <c r="D359" s="21" t="s">
        <v>25</v>
      </c>
      <c r="E359" s="21" t="s">
        <v>26</v>
      </c>
      <c r="F359" s="21" t="s">
        <v>27</v>
      </c>
      <c r="G359" s="21" t="s">
        <v>28</v>
      </c>
      <c r="H359" s="21" t="s">
        <v>29</v>
      </c>
    </row>
    <row r="360" ht="20" customHeight="1" spans="1:8" x14ac:dyDescent="0.25">
      <c r="A360" s="22" t="s">
        <v>30</v>
      </c>
      <c r="B360" s="22" t="s">
        <v>31</v>
      </c>
      <c r="C360" s="23" t="s">
        <v>71</v>
      </c>
      <c r="D360" s="6" t="s">
        <v>4</v>
      </c>
      <c r="E360" s="22" t="s">
        <v>364</v>
      </c>
      <c r="F360" s="22" t="s">
        <v>386</v>
      </c>
      <c r="G360" s="22" t="s">
        <v>263</v>
      </c>
      <c r="H360" s="32" t="s">
        <v>79</v>
      </c>
    </row>
    <row r="361" ht="20" customHeight="1" spans="1:8" x14ac:dyDescent="0.25">
      <c r="A361" s="24" t="s">
        <v>33</v>
      </c>
      <c r="B361" s="24" t="s">
        <v>34</v>
      </c>
      <c r="C361" s="25" t="s">
        <v>71</v>
      </c>
      <c r="D361" s="6" t="s">
        <v>4</v>
      </c>
      <c r="E361" s="24" t="s">
        <v>567</v>
      </c>
      <c r="F361" s="24" t="s">
        <v>395</v>
      </c>
      <c r="G361" s="24" t="s">
        <v>263</v>
      </c>
      <c r="H361" s="30" t="s">
        <v>79</v>
      </c>
    </row>
    <row r="362" ht="20" customHeight="1" spans="1:8" x14ac:dyDescent="0.25">
      <c r="A362" s="22" t="s">
        <v>35</v>
      </c>
      <c r="B362" s="22" t="s">
        <v>36</v>
      </c>
      <c r="C362" s="23" t="s">
        <v>71</v>
      </c>
      <c r="D362" s="6" t="s">
        <v>4</v>
      </c>
      <c r="E362" s="22" t="s">
        <v>635</v>
      </c>
      <c r="F362" s="22" t="s">
        <v>389</v>
      </c>
      <c r="G362" s="22" t="s">
        <v>154</v>
      </c>
      <c r="H362" s="32" t="s">
        <v>79</v>
      </c>
    </row>
    <row r="363" ht="20" customHeight="1" spans="1:8" x14ac:dyDescent="0.25">
      <c r="A363" s="24" t="s">
        <v>37</v>
      </c>
      <c r="B363" s="24" t="s">
        <v>38</v>
      </c>
      <c r="C363" s="25" t="s">
        <v>71</v>
      </c>
      <c r="D363" s="31" t="s">
        <v>11</v>
      </c>
      <c r="E363" s="24" t="s">
        <v>12</v>
      </c>
      <c r="F363" s="24" t="s">
        <v>12</v>
      </c>
      <c r="G363" s="24" t="s">
        <v>12</v>
      </c>
      <c r="H363" s="24" t="s">
        <v>32</v>
      </c>
    </row>
    <row r="364" ht="20" customHeight="1" spans="1:8" x14ac:dyDescent="0.25">
      <c r="A364" s="22" t="s">
        <v>39</v>
      </c>
      <c r="B364" s="22" t="s">
        <v>40</v>
      </c>
      <c r="C364" s="23" t="s">
        <v>71</v>
      </c>
      <c r="D364" s="6" t="s">
        <v>4</v>
      </c>
      <c r="E364" s="22" t="s">
        <v>564</v>
      </c>
      <c r="F364" s="22" t="s">
        <v>395</v>
      </c>
      <c r="G364" s="22" t="s">
        <v>165</v>
      </c>
      <c r="H364" s="32" t="s">
        <v>79</v>
      </c>
    </row>
    <row r="365" ht="20" customHeight="1" spans="1:8" x14ac:dyDescent="0.25">
      <c r="A365" s="24" t="s">
        <v>41</v>
      </c>
      <c r="B365" s="24" t="s">
        <v>42</v>
      </c>
      <c r="C365" s="25" t="s">
        <v>71</v>
      </c>
      <c r="D365" s="33" t="s">
        <v>86</v>
      </c>
      <c r="E365" s="24" t="s">
        <v>12</v>
      </c>
      <c r="F365" s="24" t="s">
        <v>12</v>
      </c>
      <c r="G365" s="24" t="s">
        <v>12</v>
      </c>
      <c r="H365" s="24" t="s">
        <v>32</v>
      </c>
    </row>
    <row r="366" ht="20" customHeight="1" spans="1:8" x14ac:dyDescent="0.25">
      <c r="A366" s="22" t="s">
        <v>44</v>
      </c>
      <c r="B366" s="22" t="s">
        <v>45</v>
      </c>
      <c r="C366" s="23" t="s">
        <v>71</v>
      </c>
      <c r="D366" s="6" t="s">
        <v>4</v>
      </c>
      <c r="E366" s="22" t="s">
        <v>564</v>
      </c>
      <c r="F366" s="22" t="s">
        <v>133</v>
      </c>
      <c r="G366" s="22" t="s">
        <v>174</v>
      </c>
      <c r="H366" s="32" t="s">
        <v>79</v>
      </c>
    </row>
    <row r="367" ht="20" customHeight="1" spans="1:8" x14ac:dyDescent="0.25">
      <c r="A367" s="24" t="s">
        <v>46</v>
      </c>
      <c r="B367" s="24" t="s">
        <v>31</v>
      </c>
      <c r="C367" s="25" t="s">
        <v>71</v>
      </c>
      <c r="D367" s="10" t="s">
        <v>87</v>
      </c>
      <c r="E367" s="24" t="s">
        <v>12</v>
      </c>
      <c r="F367" s="24" t="s">
        <v>12</v>
      </c>
      <c r="G367" s="24" t="s">
        <v>12</v>
      </c>
      <c r="H367" s="24" t="s">
        <v>32</v>
      </c>
    </row>
    <row r="368" ht="20" customHeight="1" spans="1:8" x14ac:dyDescent="0.25">
      <c r="A368" s="22" t="s">
        <v>47</v>
      </c>
      <c r="B368" s="22" t="s">
        <v>34</v>
      </c>
      <c r="C368" s="23" t="s">
        <v>71</v>
      </c>
      <c r="D368" s="10" t="s">
        <v>87</v>
      </c>
      <c r="E368" s="22" t="s">
        <v>12</v>
      </c>
      <c r="F368" s="22" t="s">
        <v>12</v>
      </c>
      <c r="G368" s="22" t="s">
        <v>12</v>
      </c>
      <c r="H368" s="22" t="s">
        <v>32</v>
      </c>
    </row>
    <row r="369" ht="20" customHeight="1" spans="1:8" x14ac:dyDescent="0.25">
      <c r="A369" s="24" t="s">
        <v>48</v>
      </c>
      <c r="B369" s="24" t="s">
        <v>36</v>
      </c>
      <c r="C369" s="25" t="s">
        <v>71</v>
      </c>
      <c r="D369" s="10" t="s">
        <v>87</v>
      </c>
      <c r="E369" s="24" t="s">
        <v>12</v>
      </c>
      <c r="F369" s="24" t="s">
        <v>12</v>
      </c>
      <c r="G369" s="24" t="s">
        <v>12</v>
      </c>
      <c r="H369" s="24" t="s">
        <v>32</v>
      </c>
    </row>
    <row r="370" ht="20" customHeight="1" spans="1:8" x14ac:dyDescent="0.25">
      <c r="A370" s="22" t="s">
        <v>49</v>
      </c>
      <c r="B370" s="22" t="s">
        <v>38</v>
      </c>
      <c r="C370" s="23" t="s">
        <v>71</v>
      </c>
      <c r="D370" s="10" t="s">
        <v>87</v>
      </c>
      <c r="E370" s="22" t="s">
        <v>12</v>
      </c>
      <c r="F370" s="22" t="s">
        <v>12</v>
      </c>
      <c r="G370" s="22" t="s">
        <v>12</v>
      </c>
      <c r="H370" s="22" t="s">
        <v>32</v>
      </c>
    </row>
    <row r="371" ht="20" customHeight="1" spans="1:8" x14ac:dyDescent="0.25">
      <c r="A371" s="24" t="s">
        <v>50</v>
      </c>
      <c r="B371" s="24" t="s">
        <v>40</v>
      </c>
      <c r="C371" s="25" t="s">
        <v>71</v>
      </c>
      <c r="D371" s="33" t="s">
        <v>86</v>
      </c>
      <c r="E371" s="24" t="s">
        <v>12</v>
      </c>
      <c r="F371" s="24" t="s">
        <v>12</v>
      </c>
      <c r="G371" s="24" t="s">
        <v>12</v>
      </c>
      <c r="H371" s="24" t="s">
        <v>32</v>
      </c>
    </row>
    <row r="372" ht="20" customHeight="1" spans="1:8" x14ac:dyDescent="0.25">
      <c r="A372" s="22" t="s">
        <v>51</v>
      </c>
      <c r="B372" s="22" t="s">
        <v>42</v>
      </c>
      <c r="C372" s="23" t="s">
        <v>71</v>
      </c>
      <c r="D372" s="35" t="s">
        <v>86</v>
      </c>
      <c r="E372" s="22" t="s">
        <v>12</v>
      </c>
      <c r="F372" s="22" t="s">
        <v>12</v>
      </c>
      <c r="G372" s="22" t="s">
        <v>12</v>
      </c>
      <c r="H372" s="22" t="s">
        <v>32</v>
      </c>
    </row>
    <row r="373" ht="20" customHeight="1" spans="1:8" x14ac:dyDescent="0.25">
      <c r="A373" s="24" t="s">
        <v>52</v>
      </c>
      <c r="B373" s="24" t="s">
        <v>45</v>
      </c>
      <c r="C373" s="25" t="s">
        <v>71</v>
      </c>
      <c r="D373" s="6" t="s">
        <v>4</v>
      </c>
      <c r="E373" s="24" t="s">
        <v>515</v>
      </c>
      <c r="F373" s="24" t="s">
        <v>386</v>
      </c>
      <c r="G373" s="24" t="s">
        <v>214</v>
      </c>
      <c r="H373" s="34" t="s">
        <v>517</v>
      </c>
    </row>
    <row r="374" ht="20" customHeight="1" spans="1:8" x14ac:dyDescent="0.25">
      <c r="A374" s="22" t="s">
        <v>53</v>
      </c>
      <c r="B374" s="22" t="s">
        <v>31</v>
      </c>
      <c r="C374" s="23" t="s">
        <v>71</v>
      </c>
      <c r="D374" s="6" t="s">
        <v>4</v>
      </c>
      <c r="E374" s="22" t="s">
        <v>564</v>
      </c>
      <c r="F374" s="22" t="s">
        <v>386</v>
      </c>
      <c r="G374" s="22" t="s">
        <v>165</v>
      </c>
      <c r="H374" s="32" t="s">
        <v>79</v>
      </c>
    </row>
    <row r="375" ht="20" customHeight="1" spans="1:8" x14ac:dyDescent="0.25">
      <c r="A375" s="24" t="s">
        <v>54</v>
      </c>
      <c r="B375" s="24" t="s">
        <v>34</v>
      </c>
      <c r="C375" s="25" t="s">
        <v>71</v>
      </c>
      <c r="D375" s="6" t="s">
        <v>4</v>
      </c>
      <c r="E375" s="24" t="s">
        <v>564</v>
      </c>
      <c r="F375" s="24" t="s">
        <v>386</v>
      </c>
      <c r="G375" s="24" t="s">
        <v>165</v>
      </c>
      <c r="H375" s="30" t="s">
        <v>79</v>
      </c>
    </row>
    <row r="376" ht="20" customHeight="1" spans="1:8" x14ac:dyDescent="0.25">
      <c r="A376" s="22" t="s">
        <v>55</v>
      </c>
      <c r="B376" s="22" t="s">
        <v>36</v>
      </c>
      <c r="C376" s="23" t="s">
        <v>71</v>
      </c>
      <c r="D376" s="6" t="s">
        <v>4</v>
      </c>
      <c r="E376" s="22" t="s">
        <v>567</v>
      </c>
      <c r="F376" s="22" t="s">
        <v>395</v>
      </c>
      <c r="G376" s="22" t="s">
        <v>263</v>
      </c>
      <c r="H376" s="32" t="s">
        <v>79</v>
      </c>
    </row>
    <row r="377" ht="20" customHeight="1" spans="1:8" x14ac:dyDescent="0.25">
      <c r="A377" s="24" t="s">
        <v>56</v>
      </c>
      <c r="B377" s="24" t="s">
        <v>38</v>
      </c>
      <c r="C377" s="25" t="s">
        <v>71</v>
      </c>
      <c r="D377" s="6" t="s">
        <v>4</v>
      </c>
      <c r="E377" s="24" t="s">
        <v>564</v>
      </c>
      <c r="F377" s="24" t="s">
        <v>321</v>
      </c>
      <c r="G377" s="24" t="s">
        <v>165</v>
      </c>
      <c r="H377" s="30" t="s">
        <v>79</v>
      </c>
    </row>
    <row r="378" ht="20" customHeight="1" spans="1:8" x14ac:dyDescent="0.25">
      <c r="A378" s="22" t="s">
        <v>57</v>
      </c>
      <c r="B378" s="22" t="s">
        <v>40</v>
      </c>
      <c r="C378" s="23" t="s">
        <v>71</v>
      </c>
      <c r="D378" s="6" t="s">
        <v>4</v>
      </c>
      <c r="E378" s="22" t="s">
        <v>635</v>
      </c>
      <c r="F378" s="22" t="s">
        <v>386</v>
      </c>
      <c r="G378" s="22" t="s">
        <v>646</v>
      </c>
      <c r="H378" s="32" t="s">
        <v>79</v>
      </c>
    </row>
    <row r="379" ht="20" customHeight="1" spans="1:8" x14ac:dyDescent="0.25">
      <c r="A379" s="24" t="s">
        <v>58</v>
      </c>
      <c r="B379" s="24" t="s">
        <v>42</v>
      </c>
      <c r="C379" s="25" t="s">
        <v>71</v>
      </c>
      <c r="D379" s="33" t="s">
        <v>86</v>
      </c>
      <c r="E379" s="24" t="s">
        <v>12</v>
      </c>
      <c r="F379" s="24" t="s">
        <v>12</v>
      </c>
      <c r="G379" s="24" t="s">
        <v>12</v>
      </c>
      <c r="H379" s="24" t="s">
        <v>32</v>
      </c>
    </row>
    <row r="380" ht="20" customHeight="1" spans="1:8" x14ac:dyDescent="0.25">
      <c r="A380" s="22" t="s">
        <v>59</v>
      </c>
      <c r="B380" s="22" t="s">
        <v>45</v>
      </c>
      <c r="C380" s="23" t="s">
        <v>71</v>
      </c>
      <c r="D380" s="6" t="s">
        <v>4</v>
      </c>
      <c r="E380" s="22" t="s">
        <v>567</v>
      </c>
      <c r="F380" s="22" t="s">
        <v>374</v>
      </c>
      <c r="G380" s="22" t="s">
        <v>646</v>
      </c>
      <c r="H380" s="32" t="s">
        <v>79</v>
      </c>
    </row>
    <row r="381" ht="20" customHeight="1" spans="1:8" x14ac:dyDescent="0.25">
      <c r="A381" s="24" t="s">
        <v>60</v>
      </c>
      <c r="B381" s="24" t="s">
        <v>31</v>
      </c>
      <c r="C381" s="25" t="s">
        <v>71</v>
      </c>
      <c r="D381" s="6" t="s">
        <v>4</v>
      </c>
      <c r="E381" s="24" t="s">
        <v>564</v>
      </c>
      <c r="F381" s="24" t="s">
        <v>395</v>
      </c>
      <c r="G381" s="24" t="s">
        <v>165</v>
      </c>
      <c r="H381" s="30" t="s">
        <v>79</v>
      </c>
    </row>
    <row r="382" ht="20" customHeight="1" spans="1:8" x14ac:dyDescent="0.25">
      <c r="A382" s="22" t="s">
        <v>61</v>
      </c>
      <c r="B382" s="22" t="s">
        <v>34</v>
      </c>
      <c r="C382" s="23" t="s">
        <v>71</v>
      </c>
      <c r="D382" s="6" t="s">
        <v>4</v>
      </c>
      <c r="E382" s="22" t="s">
        <v>364</v>
      </c>
      <c r="F382" s="22" t="s">
        <v>386</v>
      </c>
      <c r="G382" s="22" t="s">
        <v>165</v>
      </c>
      <c r="H382" s="32" t="s">
        <v>79</v>
      </c>
    </row>
    <row r="383" ht="20" customHeight="1" spans="1:8" x14ac:dyDescent="0.25">
      <c r="A383" s="24" t="s">
        <v>62</v>
      </c>
      <c r="B383" s="24" t="s">
        <v>36</v>
      </c>
      <c r="C383" s="25" t="s">
        <v>71</v>
      </c>
      <c r="D383" s="6" t="s">
        <v>4</v>
      </c>
      <c r="E383" s="24" t="s">
        <v>518</v>
      </c>
      <c r="F383" s="24" t="s">
        <v>395</v>
      </c>
      <c r="G383" s="24" t="s">
        <v>232</v>
      </c>
      <c r="H383" s="30" t="s">
        <v>79</v>
      </c>
    </row>
    <row r="384" ht="20" customHeight="1" spans="1:8" x14ac:dyDescent="0.25">
      <c r="A384" s="22" t="s">
        <v>63</v>
      </c>
      <c r="B384" s="22" t="s">
        <v>38</v>
      </c>
      <c r="C384" s="23" t="s">
        <v>71</v>
      </c>
      <c r="D384" s="6" t="s">
        <v>4</v>
      </c>
      <c r="E384" s="22" t="s">
        <v>564</v>
      </c>
      <c r="F384" s="22" t="s">
        <v>384</v>
      </c>
      <c r="G384" s="22" t="s">
        <v>263</v>
      </c>
      <c r="H384" s="32" t="s">
        <v>79</v>
      </c>
    </row>
    <row r="385" ht="20" customHeight="1" spans="1:8" x14ac:dyDescent="0.25">
      <c r="A385" s="24" t="s">
        <v>64</v>
      </c>
      <c r="B385" s="24" t="s">
        <v>40</v>
      </c>
      <c r="C385" s="25" t="s">
        <v>71</v>
      </c>
      <c r="D385" s="6" t="s">
        <v>4</v>
      </c>
      <c r="E385" s="24" t="s">
        <v>564</v>
      </c>
      <c r="F385" s="24" t="s">
        <v>384</v>
      </c>
      <c r="G385" s="24" t="s">
        <v>514</v>
      </c>
      <c r="H385" s="30" t="s">
        <v>79</v>
      </c>
    </row>
    <row r="386" ht="20" customHeight="1" spans="1:8" x14ac:dyDescent="0.25">
      <c r="A386" s="22" t="s">
        <v>65</v>
      </c>
      <c r="B386" s="22" t="s">
        <v>42</v>
      </c>
      <c r="C386" s="23" t="s">
        <v>71</v>
      </c>
      <c r="D386" s="35" t="s">
        <v>86</v>
      </c>
      <c r="E386" s="22" t="s">
        <v>12</v>
      </c>
      <c r="F386" s="22" t="s">
        <v>12</v>
      </c>
      <c r="G386" s="22" t="s">
        <v>12</v>
      </c>
      <c r="H386" s="22" t="s">
        <v>32</v>
      </c>
    </row>
    <row r="387" ht="20" customHeight="1" spans="1:8" x14ac:dyDescent="0.25">
      <c r="A387" s="24" t="s">
        <v>66</v>
      </c>
      <c r="B387" s="24" t="s">
        <v>45</v>
      </c>
      <c r="C387" s="25" t="s">
        <v>71</v>
      </c>
      <c r="D387" s="6" t="s">
        <v>4</v>
      </c>
      <c r="E387" s="24" t="s">
        <v>564</v>
      </c>
      <c r="F387" s="24" t="s">
        <v>386</v>
      </c>
      <c r="G387" s="24" t="s">
        <v>263</v>
      </c>
      <c r="H387" s="30" t="s">
        <v>79</v>
      </c>
    </row>
    <row r="388" ht="20" customHeight="1" spans="1:8" x14ac:dyDescent="0.25">
      <c r="A388" s="22" t="s">
        <v>67</v>
      </c>
      <c r="B388" s="22" t="s">
        <v>31</v>
      </c>
      <c r="C388" s="23" t="s">
        <v>71</v>
      </c>
      <c r="D388" s="6" t="s">
        <v>4</v>
      </c>
      <c r="E388" s="22" t="s">
        <v>564</v>
      </c>
      <c r="F388" s="22" t="s">
        <v>395</v>
      </c>
      <c r="G388" s="22" t="s">
        <v>165</v>
      </c>
      <c r="H388" s="32" t="s">
        <v>79</v>
      </c>
    </row>
    <row r="389" ht="20" customHeight="1" spans="1:8" x14ac:dyDescent="0.25">
      <c r="A389" s="24" t="s">
        <v>68</v>
      </c>
      <c r="B389" s="24" t="s">
        <v>34</v>
      </c>
      <c r="C389" s="25" t="s">
        <v>71</v>
      </c>
      <c r="D389" s="6" t="s">
        <v>4</v>
      </c>
      <c r="E389" s="24" t="s">
        <v>567</v>
      </c>
      <c r="F389" s="24" t="s">
        <v>389</v>
      </c>
      <c r="G389" s="24" t="s">
        <v>187</v>
      </c>
      <c r="H389" s="30" t="s">
        <v>79</v>
      </c>
    </row>
    <row r="390" ht="22" customHeight="1" spans="1:8" x14ac:dyDescent="0.25">
      <c r="A390" s="26" t="s">
        <v>69</v>
      </c>
      <c r="B390" s="26"/>
      <c r="C390" s="26"/>
      <c r="D390" s="26"/>
      <c r="E390" s="26"/>
      <c r="F390" s="26"/>
      <c r="G390" s="27" t="s">
        <v>798</v>
      </c>
      <c r="H390" s="28" t="s">
        <v>12</v>
      </c>
    </row>
  </sheetData>
  <mergeCells count="24">
    <mergeCell ref="A1:P1"/>
    <mergeCell ref="A2:P2"/>
    <mergeCell ref="A18:H18"/>
    <mergeCell ref="A50:F50"/>
    <mergeCell ref="A52:H52"/>
    <mergeCell ref="A84:F84"/>
    <mergeCell ref="A86:H86"/>
    <mergeCell ref="A118:F118"/>
    <mergeCell ref="A120:H120"/>
    <mergeCell ref="A152:F152"/>
    <mergeCell ref="A154:H154"/>
    <mergeCell ref="A186:F186"/>
    <mergeCell ref="A188:H188"/>
    <mergeCell ref="A220:F220"/>
    <mergeCell ref="A222:H222"/>
    <mergeCell ref="A254:F254"/>
    <mergeCell ref="A256:H256"/>
    <mergeCell ref="A288:F288"/>
    <mergeCell ref="A290:H290"/>
    <mergeCell ref="A322:F322"/>
    <mergeCell ref="A324:H324"/>
    <mergeCell ref="A356:F356"/>
    <mergeCell ref="A358:H358"/>
    <mergeCell ref="A390:F39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0"/>
  <sheetViews>
    <sheetView workbookViewId="0"/>
  </sheetViews>
  <sheetFormatPr defaultRowHeight="15" outlineLevelRow="0" outlineLevelCol="0" x14ac:dyDescent="55"/>
  <cols>
    <col min="1" max="1" width="28" customWidth="1"/>
    <col min="2" max="2" width="20" customWidth="1"/>
    <col min="3" max="4" width="13" customWidth="1"/>
    <col min="5" max="7" width="18" customWidth="1"/>
    <col min="8" max="10" width="14" customWidth="1"/>
    <col min="11" max="12" width="6" customWidth="1"/>
    <col min="13" max="13" width="28" customWidth="1"/>
    <col min="14" max="14" width="14" customWidth="1"/>
    <col min="15" max="16" width="18" customWidth="1"/>
  </cols>
  <sheetData>
    <row r="1" ht="30" customHeight="1" spans="1:16" x14ac:dyDescent="0.25">
      <c r="A1" s="1" t="s">
        <v>799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2" customHeight="1" spans="1:16" x14ac:dyDescent="0.25">
      <c r="A2" s="2" t="s">
        <v>800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26" customHeight="1" spans="1:1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</row>
    <row r="5" ht="22" customHeight="1" spans="1:16" x14ac:dyDescent="0.25">
      <c r="A5" s="4" t="s">
        <v>801</v>
      </c>
      <c r="B5" s="5">
        <v>30</v>
      </c>
      <c r="C5" s="6">
        <v>25</v>
      </c>
      <c r="D5" s="7">
        <v>0</v>
      </c>
      <c r="E5" s="8">
        <v>0</v>
      </c>
      <c r="F5" s="9">
        <v>0</v>
      </c>
      <c r="G5" s="10">
        <v>0</v>
      </c>
      <c r="H5" s="11">
        <v>0</v>
      </c>
      <c r="I5" s="12">
        <v>4</v>
      </c>
      <c r="J5" s="13">
        <v>1</v>
      </c>
      <c r="K5" s="14" t="s">
        <v>12</v>
      </c>
      <c r="L5" s="14" t="s">
        <v>12</v>
      </c>
      <c r="M5" s="15">
        <v>30</v>
      </c>
      <c r="N5" s="16">
        <v>0</v>
      </c>
      <c r="O5" s="17">
        <v>30</v>
      </c>
      <c r="P5" s="18" t="s">
        <v>367</v>
      </c>
    </row>
    <row r="6" ht="22" customHeight="1" spans="1:16" x14ac:dyDescent="0.25">
      <c r="A6" s="19" t="s">
        <v>802</v>
      </c>
      <c r="B6" s="5">
        <v>16</v>
      </c>
      <c r="C6" s="6">
        <v>12</v>
      </c>
      <c r="D6" s="7">
        <v>0</v>
      </c>
      <c r="E6" s="8">
        <v>0</v>
      </c>
      <c r="F6" s="9">
        <v>0</v>
      </c>
      <c r="G6" s="10">
        <v>0</v>
      </c>
      <c r="H6" s="11">
        <v>4</v>
      </c>
      <c r="I6" s="12">
        <v>4</v>
      </c>
      <c r="J6" s="13">
        <v>0</v>
      </c>
      <c r="K6" s="14" t="s">
        <v>12</v>
      </c>
      <c r="L6" s="14" t="s">
        <v>12</v>
      </c>
      <c r="M6" s="15">
        <v>0</v>
      </c>
      <c r="N6" s="16">
        <v>0</v>
      </c>
      <c r="O6" s="17">
        <v>0</v>
      </c>
      <c r="P6" s="18" t="s">
        <v>429</v>
      </c>
    </row>
    <row r="7" ht="22" customHeight="1" spans="1:16" x14ac:dyDescent="0.25">
      <c r="A7" s="4" t="s">
        <v>803</v>
      </c>
      <c r="B7" s="5">
        <v>30</v>
      </c>
      <c r="C7" s="6">
        <v>26</v>
      </c>
      <c r="D7" s="7">
        <v>0</v>
      </c>
      <c r="E7" s="8">
        <v>0</v>
      </c>
      <c r="F7" s="9">
        <v>0</v>
      </c>
      <c r="G7" s="10">
        <v>0</v>
      </c>
      <c r="H7" s="11">
        <v>0</v>
      </c>
      <c r="I7" s="12">
        <v>3</v>
      </c>
      <c r="J7" s="13">
        <v>1</v>
      </c>
      <c r="K7" s="14" t="s">
        <v>12</v>
      </c>
      <c r="L7" s="14" t="s">
        <v>12</v>
      </c>
      <c r="M7" s="15">
        <v>24</v>
      </c>
      <c r="N7" s="16">
        <v>0</v>
      </c>
      <c r="O7" s="17">
        <v>24</v>
      </c>
      <c r="P7" s="18" t="s">
        <v>414</v>
      </c>
    </row>
    <row r="8" ht="22" customHeight="1" spans="1:16" x14ac:dyDescent="0.25">
      <c r="A8" s="19" t="s">
        <v>804</v>
      </c>
      <c r="B8" s="5">
        <v>30</v>
      </c>
      <c r="C8" s="6">
        <v>22</v>
      </c>
      <c r="D8" s="7">
        <v>0</v>
      </c>
      <c r="E8" s="8">
        <v>0</v>
      </c>
      <c r="F8" s="9">
        <v>2</v>
      </c>
      <c r="G8" s="10">
        <v>2</v>
      </c>
      <c r="H8" s="11">
        <v>0</v>
      </c>
      <c r="I8" s="12">
        <v>5</v>
      </c>
      <c r="J8" s="13">
        <v>1</v>
      </c>
      <c r="K8" s="14" t="s">
        <v>12</v>
      </c>
      <c r="L8" s="14" t="s">
        <v>12</v>
      </c>
      <c r="M8" s="15">
        <v>13</v>
      </c>
      <c r="N8" s="16">
        <v>2</v>
      </c>
      <c r="O8" s="17">
        <v>11</v>
      </c>
      <c r="P8" s="18" t="s">
        <v>805</v>
      </c>
    </row>
    <row r="9" ht="22" customHeight="1" spans="1:16" x14ac:dyDescent="0.25">
      <c r="A9" s="4" t="s">
        <v>806</v>
      </c>
      <c r="B9" s="5">
        <v>30</v>
      </c>
      <c r="C9" s="6">
        <v>23</v>
      </c>
      <c r="D9" s="7">
        <v>0</v>
      </c>
      <c r="E9" s="8">
        <v>0</v>
      </c>
      <c r="F9" s="9">
        <v>1</v>
      </c>
      <c r="G9" s="10">
        <v>1</v>
      </c>
      <c r="H9" s="11">
        <v>0</v>
      </c>
      <c r="I9" s="12">
        <v>5</v>
      </c>
      <c r="J9" s="13">
        <v>1</v>
      </c>
      <c r="K9" s="14" t="s">
        <v>12</v>
      </c>
      <c r="L9" s="14" t="s">
        <v>12</v>
      </c>
      <c r="M9" s="15">
        <v>17.5</v>
      </c>
      <c r="N9" s="16">
        <v>1</v>
      </c>
      <c r="O9" s="17">
        <v>16.5</v>
      </c>
      <c r="P9" s="18" t="s">
        <v>147</v>
      </c>
    </row>
    <row r="10" ht="22" customHeight="1" spans="1:16" x14ac:dyDescent="0.25">
      <c r="A10" s="19" t="s">
        <v>807</v>
      </c>
      <c r="B10" s="5">
        <v>29</v>
      </c>
      <c r="C10" s="6">
        <v>23</v>
      </c>
      <c r="D10" s="7">
        <v>0</v>
      </c>
      <c r="E10" s="8">
        <v>0</v>
      </c>
      <c r="F10" s="9">
        <v>0</v>
      </c>
      <c r="G10" s="10">
        <v>0</v>
      </c>
      <c r="H10" s="11">
        <v>1</v>
      </c>
      <c r="I10" s="12">
        <v>5</v>
      </c>
      <c r="J10" s="13">
        <v>1</v>
      </c>
      <c r="K10" s="14" t="s">
        <v>12</v>
      </c>
      <c r="L10" s="14" t="s">
        <v>12</v>
      </c>
      <c r="M10" s="15">
        <v>16</v>
      </c>
      <c r="N10" s="16">
        <v>0</v>
      </c>
      <c r="O10" s="17">
        <v>16</v>
      </c>
      <c r="P10" s="18" t="s">
        <v>429</v>
      </c>
    </row>
    <row r="11" ht="22" customHeight="1" spans="1:16" x14ac:dyDescent="0.25">
      <c r="A11" s="4" t="s">
        <v>808</v>
      </c>
      <c r="B11" s="5">
        <v>17</v>
      </c>
      <c r="C11" s="6">
        <v>12</v>
      </c>
      <c r="D11" s="7">
        <v>11</v>
      </c>
      <c r="E11" s="8">
        <v>0</v>
      </c>
      <c r="F11" s="9">
        <v>0</v>
      </c>
      <c r="G11" s="10">
        <v>0</v>
      </c>
      <c r="H11" s="11">
        <v>2</v>
      </c>
      <c r="I11" s="12">
        <v>4</v>
      </c>
      <c r="J11" s="13">
        <v>1</v>
      </c>
      <c r="K11" s="14" t="s">
        <v>12</v>
      </c>
      <c r="L11" s="14" t="s">
        <v>12</v>
      </c>
      <c r="M11" s="15">
        <v>0</v>
      </c>
      <c r="N11" s="16">
        <v>0</v>
      </c>
      <c r="O11" s="17">
        <v>0</v>
      </c>
      <c r="P11" s="18" t="s">
        <v>579</v>
      </c>
    </row>
    <row r="12" ht="22" customHeight="1" spans="1:16" x14ac:dyDescent="0.25">
      <c r="A12" s="19" t="s">
        <v>809</v>
      </c>
      <c r="B12" s="5">
        <v>30</v>
      </c>
      <c r="C12" s="6">
        <v>24</v>
      </c>
      <c r="D12" s="7">
        <v>0</v>
      </c>
      <c r="E12" s="8">
        <v>0</v>
      </c>
      <c r="F12" s="9">
        <v>1</v>
      </c>
      <c r="G12" s="10">
        <v>1</v>
      </c>
      <c r="H12" s="11">
        <v>0</v>
      </c>
      <c r="I12" s="12">
        <v>4</v>
      </c>
      <c r="J12" s="13">
        <v>1</v>
      </c>
      <c r="K12" s="14" t="s">
        <v>12</v>
      </c>
      <c r="L12" s="14" t="s">
        <v>12</v>
      </c>
      <c r="M12" s="15">
        <v>24.5</v>
      </c>
      <c r="N12" s="16">
        <v>1</v>
      </c>
      <c r="O12" s="17">
        <v>23.5</v>
      </c>
      <c r="P12" s="18" t="s">
        <v>810</v>
      </c>
    </row>
    <row r="13" ht="22" customHeight="1" spans="1:16" x14ac:dyDescent="0.25">
      <c r="A13" s="4" t="s">
        <v>811</v>
      </c>
      <c r="B13" s="5">
        <v>6</v>
      </c>
      <c r="C13" s="6">
        <v>4</v>
      </c>
      <c r="D13" s="7">
        <v>20</v>
      </c>
      <c r="E13" s="8">
        <v>0</v>
      </c>
      <c r="F13" s="9">
        <v>0</v>
      </c>
      <c r="G13" s="10">
        <v>0</v>
      </c>
      <c r="H13" s="11">
        <v>4</v>
      </c>
      <c r="I13" s="12">
        <v>1</v>
      </c>
      <c r="J13" s="13">
        <v>1</v>
      </c>
      <c r="K13" s="14" t="s">
        <v>12</v>
      </c>
      <c r="L13" s="14" t="s">
        <v>12</v>
      </c>
      <c r="M13" s="15">
        <v>0</v>
      </c>
      <c r="N13" s="16">
        <v>0</v>
      </c>
      <c r="O13" s="17">
        <v>0</v>
      </c>
      <c r="P13" s="18" t="s">
        <v>566</v>
      </c>
    </row>
    <row r="14" ht="22" customHeight="1" spans="1:16" x14ac:dyDescent="0.25">
      <c r="A14" s="19" t="s">
        <v>812</v>
      </c>
      <c r="B14" s="5">
        <v>30</v>
      </c>
      <c r="C14" s="6">
        <v>24</v>
      </c>
      <c r="D14" s="7">
        <v>0</v>
      </c>
      <c r="E14" s="8">
        <v>0</v>
      </c>
      <c r="F14" s="9">
        <v>0</v>
      </c>
      <c r="G14" s="10">
        <v>0</v>
      </c>
      <c r="H14" s="11">
        <v>0</v>
      </c>
      <c r="I14" s="12">
        <v>5</v>
      </c>
      <c r="J14" s="13">
        <v>1</v>
      </c>
      <c r="K14" s="14" t="s">
        <v>12</v>
      </c>
      <c r="L14" s="14" t="s">
        <v>12</v>
      </c>
      <c r="M14" s="15">
        <v>61</v>
      </c>
      <c r="N14" s="16">
        <v>0</v>
      </c>
      <c r="O14" s="17">
        <v>61</v>
      </c>
      <c r="P14" s="18" t="s">
        <v>147</v>
      </c>
    </row>
    <row r="15" ht="22" customHeight="1" spans="1:16" x14ac:dyDescent="0.25">
      <c r="A15" s="4" t="s">
        <v>813</v>
      </c>
      <c r="B15" s="5">
        <v>30</v>
      </c>
      <c r="C15" s="6">
        <v>24</v>
      </c>
      <c r="D15" s="7">
        <v>0</v>
      </c>
      <c r="E15" s="8">
        <v>0</v>
      </c>
      <c r="F15" s="9">
        <v>0</v>
      </c>
      <c r="G15" s="10">
        <v>0</v>
      </c>
      <c r="H15" s="11">
        <v>0</v>
      </c>
      <c r="I15" s="12">
        <v>5</v>
      </c>
      <c r="J15" s="13">
        <v>1</v>
      </c>
      <c r="K15" s="14" t="s">
        <v>12</v>
      </c>
      <c r="L15" s="14" t="s">
        <v>12</v>
      </c>
      <c r="M15" s="15">
        <v>9.5</v>
      </c>
      <c r="N15" s="16">
        <v>0</v>
      </c>
      <c r="O15" s="17">
        <v>9.5</v>
      </c>
      <c r="P15" s="18" t="s">
        <v>127</v>
      </c>
    </row>
    <row r="16" ht="22" customHeight="1" spans="1:16" x14ac:dyDescent="0.25">
      <c r="A16" s="19" t="s">
        <v>814</v>
      </c>
      <c r="B16" s="5">
        <v>30</v>
      </c>
      <c r="C16" s="6">
        <v>23</v>
      </c>
      <c r="D16" s="7">
        <v>0</v>
      </c>
      <c r="E16" s="8">
        <v>0</v>
      </c>
      <c r="F16" s="9">
        <v>1</v>
      </c>
      <c r="G16" s="10">
        <v>1</v>
      </c>
      <c r="H16" s="11">
        <v>0</v>
      </c>
      <c r="I16" s="12">
        <v>5</v>
      </c>
      <c r="J16" s="13">
        <v>1</v>
      </c>
      <c r="K16" s="14" t="s">
        <v>12</v>
      </c>
      <c r="L16" s="14" t="s">
        <v>12</v>
      </c>
      <c r="M16" s="15">
        <v>23</v>
      </c>
      <c r="N16" s="16">
        <v>1</v>
      </c>
      <c r="O16" s="17">
        <v>22</v>
      </c>
      <c r="P16" s="18" t="s">
        <v>99</v>
      </c>
    </row>
    <row r="17" ht="22" customHeight="1" spans="1:16" x14ac:dyDescent="0.25">
      <c r="A17" s="4" t="s">
        <v>815</v>
      </c>
      <c r="B17" s="5">
        <v>30</v>
      </c>
      <c r="C17" s="6">
        <v>20</v>
      </c>
      <c r="D17" s="7">
        <v>0</v>
      </c>
      <c r="E17" s="8">
        <v>0</v>
      </c>
      <c r="F17" s="9">
        <v>6</v>
      </c>
      <c r="G17" s="10">
        <v>6</v>
      </c>
      <c r="H17" s="11">
        <v>0</v>
      </c>
      <c r="I17" s="12">
        <v>4</v>
      </c>
      <c r="J17" s="13">
        <v>0</v>
      </c>
      <c r="K17" s="14" t="s">
        <v>12</v>
      </c>
      <c r="L17" s="14" t="s">
        <v>12</v>
      </c>
      <c r="M17" s="15">
        <v>67.5</v>
      </c>
      <c r="N17" s="16">
        <v>6</v>
      </c>
      <c r="O17" s="17">
        <v>61.5</v>
      </c>
      <c r="P17" s="18" t="s">
        <v>119</v>
      </c>
    </row>
    <row r="18" ht="22" customHeight="1" spans="1:16" x14ac:dyDescent="0.25">
      <c r="A18" s="19" t="s">
        <v>816</v>
      </c>
      <c r="B18" s="5">
        <v>30</v>
      </c>
      <c r="C18" s="6">
        <v>19</v>
      </c>
      <c r="D18" s="7">
        <v>0</v>
      </c>
      <c r="E18" s="8">
        <v>0</v>
      </c>
      <c r="F18" s="9">
        <v>6</v>
      </c>
      <c r="G18" s="10">
        <v>6</v>
      </c>
      <c r="H18" s="11">
        <v>0</v>
      </c>
      <c r="I18" s="12">
        <v>4</v>
      </c>
      <c r="J18" s="13">
        <v>1</v>
      </c>
      <c r="K18" s="14" t="s">
        <v>12</v>
      </c>
      <c r="L18" s="14" t="s">
        <v>12</v>
      </c>
      <c r="M18" s="15">
        <v>20.5</v>
      </c>
      <c r="N18" s="16">
        <v>6</v>
      </c>
      <c r="O18" s="17">
        <v>14.5</v>
      </c>
      <c r="P18" s="18" t="s">
        <v>413</v>
      </c>
    </row>
    <row r="19" ht="22" customHeight="1" spans="1:16" x14ac:dyDescent="0.25">
      <c r="A19" s="4" t="s">
        <v>817</v>
      </c>
      <c r="B19" s="5">
        <v>27.5</v>
      </c>
      <c r="C19" s="6">
        <v>18</v>
      </c>
      <c r="D19" s="7">
        <v>0.5</v>
      </c>
      <c r="E19" s="8">
        <v>1</v>
      </c>
      <c r="F19" s="9">
        <v>4</v>
      </c>
      <c r="G19" s="10">
        <v>4.5</v>
      </c>
      <c r="H19" s="11">
        <v>2</v>
      </c>
      <c r="I19" s="12">
        <v>4</v>
      </c>
      <c r="J19" s="13">
        <v>1</v>
      </c>
      <c r="K19" s="14" t="s">
        <v>12</v>
      </c>
      <c r="L19" s="14" t="s">
        <v>12</v>
      </c>
      <c r="M19" s="15">
        <v>10</v>
      </c>
      <c r="N19" s="16">
        <v>4.5</v>
      </c>
      <c r="O19" s="17">
        <v>5.5</v>
      </c>
      <c r="P19" s="18" t="s">
        <v>414</v>
      </c>
    </row>
    <row r="20" ht="22" customHeight="1" spans="1:16" x14ac:dyDescent="0.25">
      <c r="A20" s="19" t="s">
        <v>818</v>
      </c>
      <c r="B20" s="5">
        <v>30</v>
      </c>
      <c r="C20" s="6">
        <v>24</v>
      </c>
      <c r="D20" s="7">
        <v>0</v>
      </c>
      <c r="E20" s="8">
        <v>0</v>
      </c>
      <c r="F20" s="9">
        <v>1</v>
      </c>
      <c r="G20" s="10">
        <v>1</v>
      </c>
      <c r="H20" s="11">
        <v>0</v>
      </c>
      <c r="I20" s="12">
        <v>5</v>
      </c>
      <c r="J20" s="13">
        <v>0</v>
      </c>
      <c r="K20" s="14" t="s">
        <v>12</v>
      </c>
      <c r="L20" s="14" t="s">
        <v>12</v>
      </c>
      <c r="M20" s="15">
        <v>21</v>
      </c>
      <c r="N20" s="16">
        <v>1</v>
      </c>
      <c r="O20" s="17">
        <v>20</v>
      </c>
      <c r="P20" s="18" t="s">
        <v>805</v>
      </c>
    </row>
    <row r="21" ht="22" customHeight="1" spans="1:16" x14ac:dyDescent="0.25">
      <c r="A21" s="4" t="s">
        <v>819</v>
      </c>
      <c r="B21" s="5">
        <v>30</v>
      </c>
      <c r="C21" s="6">
        <v>25</v>
      </c>
      <c r="D21" s="7">
        <v>0</v>
      </c>
      <c r="E21" s="8">
        <v>0</v>
      </c>
      <c r="F21" s="9">
        <v>0</v>
      </c>
      <c r="G21" s="10">
        <v>0</v>
      </c>
      <c r="H21" s="11">
        <v>0</v>
      </c>
      <c r="I21" s="12">
        <v>4</v>
      </c>
      <c r="J21" s="13">
        <v>1</v>
      </c>
      <c r="K21" s="14" t="s">
        <v>12</v>
      </c>
      <c r="L21" s="14" t="s">
        <v>12</v>
      </c>
      <c r="M21" s="15">
        <v>25</v>
      </c>
      <c r="N21" s="16">
        <v>0</v>
      </c>
      <c r="O21" s="17">
        <v>25</v>
      </c>
      <c r="P21" s="18" t="s">
        <v>820</v>
      </c>
    </row>
    <row r="22" ht="22" customHeight="1" spans="1:16" x14ac:dyDescent="0.25">
      <c r="A22" s="19" t="s">
        <v>821</v>
      </c>
      <c r="B22" s="5">
        <v>30</v>
      </c>
      <c r="C22" s="6">
        <v>27</v>
      </c>
      <c r="D22" s="7">
        <v>0</v>
      </c>
      <c r="E22" s="8">
        <v>0</v>
      </c>
      <c r="F22" s="9">
        <v>0</v>
      </c>
      <c r="G22" s="10">
        <v>0</v>
      </c>
      <c r="H22" s="11">
        <v>0</v>
      </c>
      <c r="I22" s="12">
        <v>3</v>
      </c>
      <c r="J22" s="13">
        <v>0</v>
      </c>
      <c r="K22" s="14" t="s">
        <v>12</v>
      </c>
      <c r="L22" s="14" t="s">
        <v>12</v>
      </c>
      <c r="M22" s="15">
        <v>31</v>
      </c>
      <c r="N22" s="16">
        <v>0</v>
      </c>
      <c r="O22" s="17">
        <v>31</v>
      </c>
      <c r="P22" s="18" t="s">
        <v>822</v>
      </c>
    </row>
    <row r="23" ht="22" customHeight="1" spans="1:16" x14ac:dyDescent="0.25">
      <c r="A23" s="4" t="s">
        <v>823</v>
      </c>
      <c r="B23" s="5">
        <v>30</v>
      </c>
      <c r="C23" s="6">
        <v>25</v>
      </c>
      <c r="D23" s="7">
        <v>0</v>
      </c>
      <c r="E23" s="8">
        <v>0</v>
      </c>
      <c r="F23" s="9">
        <v>0</v>
      </c>
      <c r="G23" s="10">
        <v>0</v>
      </c>
      <c r="H23" s="11">
        <v>0</v>
      </c>
      <c r="I23" s="12">
        <v>5</v>
      </c>
      <c r="J23" s="13">
        <v>0</v>
      </c>
      <c r="K23" s="14" t="s">
        <v>12</v>
      </c>
      <c r="L23" s="14" t="s">
        <v>12</v>
      </c>
      <c r="M23" s="15">
        <v>9.5</v>
      </c>
      <c r="N23" s="16">
        <v>0</v>
      </c>
      <c r="O23" s="17">
        <v>9.5</v>
      </c>
      <c r="P23" s="18" t="s">
        <v>478</v>
      </c>
    </row>
    <row r="26" ht="26" customHeight="1" spans="1:8" x14ac:dyDescent="0.25">
      <c r="A26" s="20" t="s">
        <v>824</v>
      </c>
      <c r="B26" s="20"/>
      <c r="C26" s="20"/>
      <c r="D26" s="20"/>
      <c r="E26" s="20"/>
      <c r="F26" s="20"/>
      <c r="G26" s="20"/>
      <c r="H26" s="20"/>
    </row>
    <row r="27" ht="22" customHeight="1" spans="1:8" x14ac:dyDescent="0.25">
      <c r="A27" s="21" t="s">
        <v>22</v>
      </c>
      <c r="B27" s="21" t="s">
        <v>23</v>
      </c>
      <c r="C27" s="21" t="s">
        <v>24</v>
      </c>
      <c r="D27" s="21" t="s">
        <v>25</v>
      </c>
      <c r="E27" s="21" t="s">
        <v>26</v>
      </c>
      <c r="F27" s="21" t="s">
        <v>27</v>
      </c>
      <c r="G27" s="21" t="s">
        <v>28</v>
      </c>
      <c r="H27" s="21" t="s">
        <v>29</v>
      </c>
    </row>
    <row r="28" ht="20" customHeight="1" spans="1:8" x14ac:dyDescent="0.25">
      <c r="A28" s="22" t="s">
        <v>30</v>
      </c>
      <c r="B28" s="22" t="s">
        <v>31</v>
      </c>
      <c r="C28" s="23" t="s">
        <v>825</v>
      </c>
      <c r="D28" s="6" t="s">
        <v>4</v>
      </c>
      <c r="E28" s="22" t="s">
        <v>121</v>
      </c>
      <c r="F28" s="22" t="s">
        <v>12</v>
      </c>
      <c r="G28" s="22" t="s">
        <v>12</v>
      </c>
      <c r="H28" s="29" t="s">
        <v>826</v>
      </c>
    </row>
    <row r="29" ht="20" customHeight="1" spans="1:8" x14ac:dyDescent="0.25">
      <c r="A29" s="24" t="s">
        <v>33</v>
      </c>
      <c r="B29" s="24" t="s">
        <v>34</v>
      </c>
      <c r="C29" s="25" t="s">
        <v>825</v>
      </c>
      <c r="D29" s="6" t="s">
        <v>4</v>
      </c>
      <c r="E29" s="24" t="s">
        <v>827</v>
      </c>
      <c r="F29" s="24" t="s">
        <v>828</v>
      </c>
      <c r="G29" s="24" t="s">
        <v>478</v>
      </c>
      <c r="H29" s="34" t="s">
        <v>184</v>
      </c>
    </row>
    <row r="30" ht="20" customHeight="1" spans="1:8" x14ac:dyDescent="0.25">
      <c r="A30" s="22" t="s">
        <v>35</v>
      </c>
      <c r="B30" s="22" t="s">
        <v>36</v>
      </c>
      <c r="C30" s="23" t="s">
        <v>825</v>
      </c>
      <c r="D30" s="6" t="s">
        <v>4</v>
      </c>
      <c r="E30" s="22" t="s">
        <v>829</v>
      </c>
      <c r="F30" s="22" t="s">
        <v>830</v>
      </c>
      <c r="G30" s="22" t="s">
        <v>831</v>
      </c>
      <c r="H30" s="29" t="s">
        <v>191</v>
      </c>
    </row>
    <row r="31" ht="20" customHeight="1" spans="1:8" x14ac:dyDescent="0.25">
      <c r="A31" s="24" t="s">
        <v>37</v>
      </c>
      <c r="B31" s="24" t="s">
        <v>38</v>
      </c>
      <c r="C31" s="25" t="s">
        <v>71</v>
      </c>
      <c r="D31" s="31" t="s">
        <v>11</v>
      </c>
      <c r="E31" s="24" t="s">
        <v>12</v>
      </c>
      <c r="F31" s="24" t="s">
        <v>12</v>
      </c>
      <c r="G31" s="24" t="s">
        <v>12</v>
      </c>
      <c r="H31" s="24" t="s">
        <v>32</v>
      </c>
    </row>
    <row r="32" ht="20" customHeight="1" spans="1:8" x14ac:dyDescent="0.25">
      <c r="A32" s="22" t="s">
        <v>39</v>
      </c>
      <c r="B32" s="22" t="s">
        <v>40</v>
      </c>
      <c r="C32" s="23" t="s">
        <v>825</v>
      </c>
      <c r="D32" s="6" t="s">
        <v>4</v>
      </c>
      <c r="E32" s="22" t="s">
        <v>832</v>
      </c>
      <c r="F32" s="22" t="s">
        <v>12</v>
      </c>
      <c r="G32" s="22" t="s">
        <v>12</v>
      </c>
      <c r="H32" s="29" t="s">
        <v>833</v>
      </c>
    </row>
    <row r="33" ht="20" customHeight="1" spans="1:8" x14ac:dyDescent="0.25">
      <c r="A33" s="24" t="s">
        <v>41</v>
      </c>
      <c r="B33" s="24" t="s">
        <v>42</v>
      </c>
      <c r="C33" s="25" t="s">
        <v>825</v>
      </c>
      <c r="D33" s="33" t="s">
        <v>86</v>
      </c>
      <c r="E33" s="24" t="s">
        <v>12</v>
      </c>
      <c r="F33" s="24" t="s">
        <v>12</v>
      </c>
      <c r="G33" s="24" t="s">
        <v>12</v>
      </c>
      <c r="H33" s="24" t="s">
        <v>32</v>
      </c>
    </row>
    <row r="34" ht="20" customHeight="1" spans="1:8" x14ac:dyDescent="0.25">
      <c r="A34" s="22" t="s">
        <v>44</v>
      </c>
      <c r="B34" s="22" t="s">
        <v>45</v>
      </c>
      <c r="C34" s="23" t="s">
        <v>825</v>
      </c>
      <c r="D34" s="6" t="s">
        <v>4</v>
      </c>
      <c r="E34" s="22" t="s">
        <v>114</v>
      </c>
      <c r="F34" s="22" t="s">
        <v>12</v>
      </c>
      <c r="G34" s="22" t="s">
        <v>12</v>
      </c>
      <c r="H34" s="29" t="s">
        <v>834</v>
      </c>
    </row>
    <row r="35" ht="20" customHeight="1" spans="1:8" x14ac:dyDescent="0.25">
      <c r="A35" s="24" t="s">
        <v>46</v>
      </c>
      <c r="B35" s="24" t="s">
        <v>31</v>
      </c>
      <c r="C35" s="25" t="s">
        <v>825</v>
      </c>
      <c r="D35" s="6" t="s">
        <v>4</v>
      </c>
      <c r="E35" s="24" t="s">
        <v>835</v>
      </c>
      <c r="F35" s="24" t="s">
        <v>836</v>
      </c>
      <c r="G35" s="24" t="s">
        <v>232</v>
      </c>
      <c r="H35" s="34" t="s">
        <v>837</v>
      </c>
    </row>
    <row r="36" ht="20" customHeight="1" spans="1:8" x14ac:dyDescent="0.25">
      <c r="A36" s="22" t="s">
        <v>47</v>
      </c>
      <c r="B36" s="22" t="s">
        <v>34</v>
      </c>
      <c r="C36" s="23" t="s">
        <v>825</v>
      </c>
      <c r="D36" s="6" t="s">
        <v>4</v>
      </c>
      <c r="E36" s="22" t="s">
        <v>838</v>
      </c>
      <c r="F36" s="22" t="s">
        <v>89</v>
      </c>
      <c r="G36" s="22" t="s">
        <v>839</v>
      </c>
      <c r="H36" s="29" t="s">
        <v>840</v>
      </c>
    </row>
    <row r="37" ht="20" customHeight="1" spans="1:8" x14ac:dyDescent="0.25">
      <c r="A37" s="24" t="s">
        <v>48</v>
      </c>
      <c r="B37" s="24" t="s">
        <v>36</v>
      </c>
      <c r="C37" s="25" t="s">
        <v>825</v>
      </c>
      <c r="D37" s="6" t="s">
        <v>4</v>
      </c>
      <c r="E37" s="24" t="s">
        <v>841</v>
      </c>
      <c r="F37" s="24" t="s">
        <v>842</v>
      </c>
      <c r="G37" s="24" t="s">
        <v>566</v>
      </c>
      <c r="H37" s="30" t="s">
        <v>79</v>
      </c>
    </row>
    <row r="38" ht="20" customHeight="1" spans="1:8" x14ac:dyDescent="0.25">
      <c r="A38" s="22" t="s">
        <v>49</v>
      </c>
      <c r="B38" s="22" t="s">
        <v>38</v>
      </c>
      <c r="C38" s="23" t="s">
        <v>825</v>
      </c>
      <c r="D38" s="6" t="s">
        <v>4</v>
      </c>
      <c r="E38" s="22" t="s">
        <v>843</v>
      </c>
      <c r="F38" s="22" t="s">
        <v>12</v>
      </c>
      <c r="G38" s="22" t="s">
        <v>12</v>
      </c>
      <c r="H38" s="29" t="s">
        <v>844</v>
      </c>
    </row>
    <row r="39" ht="20" customHeight="1" spans="1:8" x14ac:dyDescent="0.25">
      <c r="A39" s="24" t="s">
        <v>50</v>
      </c>
      <c r="B39" s="24" t="s">
        <v>40</v>
      </c>
      <c r="C39" s="25" t="s">
        <v>825</v>
      </c>
      <c r="D39" s="6" t="s">
        <v>4</v>
      </c>
      <c r="E39" s="24" t="s">
        <v>845</v>
      </c>
      <c r="F39" s="24" t="s">
        <v>12</v>
      </c>
      <c r="G39" s="24" t="s">
        <v>12</v>
      </c>
      <c r="H39" s="34" t="s">
        <v>846</v>
      </c>
    </row>
    <row r="40" ht="20" customHeight="1" spans="1:8" x14ac:dyDescent="0.25">
      <c r="A40" s="22" t="s">
        <v>51</v>
      </c>
      <c r="B40" s="22" t="s">
        <v>42</v>
      </c>
      <c r="C40" s="23" t="s">
        <v>825</v>
      </c>
      <c r="D40" s="35" t="s">
        <v>86</v>
      </c>
      <c r="E40" s="22" t="s">
        <v>12</v>
      </c>
      <c r="F40" s="22" t="s">
        <v>12</v>
      </c>
      <c r="G40" s="22" t="s">
        <v>12</v>
      </c>
      <c r="H40" s="22" t="s">
        <v>32</v>
      </c>
    </row>
    <row r="41" ht="20" customHeight="1" spans="1:8" x14ac:dyDescent="0.25">
      <c r="A41" s="24" t="s">
        <v>52</v>
      </c>
      <c r="B41" s="24" t="s">
        <v>45</v>
      </c>
      <c r="C41" s="25" t="s">
        <v>825</v>
      </c>
      <c r="D41" s="6" t="s">
        <v>4</v>
      </c>
      <c r="E41" s="24" t="s">
        <v>847</v>
      </c>
      <c r="F41" s="24" t="s">
        <v>710</v>
      </c>
      <c r="G41" s="24" t="s">
        <v>531</v>
      </c>
      <c r="H41" s="34" t="s">
        <v>848</v>
      </c>
    </row>
    <row r="42" ht="20" customHeight="1" spans="1:8" x14ac:dyDescent="0.25">
      <c r="A42" s="22" t="s">
        <v>53</v>
      </c>
      <c r="B42" s="22" t="s">
        <v>31</v>
      </c>
      <c r="C42" s="23" t="s">
        <v>825</v>
      </c>
      <c r="D42" s="6" t="s">
        <v>4</v>
      </c>
      <c r="E42" s="22" t="s">
        <v>12</v>
      </c>
      <c r="F42" s="22" t="s">
        <v>12</v>
      </c>
      <c r="G42" s="22" t="s">
        <v>12</v>
      </c>
      <c r="H42" s="22" t="s">
        <v>32</v>
      </c>
    </row>
    <row r="43" ht="20" customHeight="1" spans="1:8" x14ac:dyDescent="0.25">
      <c r="A43" s="24" t="s">
        <v>54</v>
      </c>
      <c r="B43" s="24" t="s">
        <v>34</v>
      </c>
      <c r="C43" s="25" t="s">
        <v>825</v>
      </c>
      <c r="D43" s="6" t="s">
        <v>4</v>
      </c>
      <c r="E43" s="24" t="s">
        <v>849</v>
      </c>
      <c r="F43" s="24" t="s">
        <v>12</v>
      </c>
      <c r="G43" s="24" t="s">
        <v>12</v>
      </c>
      <c r="H43" s="34" t="s">
        <v>850</v>
      </c>
    </row>
    <row r="44" ht="20" customHeight="1" spans="1:8" x14ac:dyDescent="0.25">
      <c r="A44" s="22" t="s">
        <v>55</v>
      </c>
      <c r="B44" s="22" t="s">
        <v>36</v>
      </c>
      <c r="C44" s="23" t="s">
        <v>825</v>
      </c>
      <c r="D44" s="6" t="s">
        <v>4</v>
      </c>
      <c r="E44" s="22" t="s">
        <v>12</v>
      </c>
      <c r="F44" s="22" t="s">
        <v>12</v>
      </c>
      <c r="G44" s="22" t="s">
        <v>12</v>
      </c>
      <c r="H44" s="22" t="s">
        <v>32</v>
      </c>
    </row>
    <row r="45" ht="20" customHeight="1" spans="1:8" x14ac:dyDescent="0.25">
      <c r="A45" s="24" t="s">
        <v>56</v>
      </c>
      <c r="B45" s="24" t="s">
        <v>38</v>
      </c>
      <c r="C45" s="25" t="s">
        <v>825</v>
      </c>
      <c r="D45" s="6" t="s">
        <v>4</v>
      </c>
      <c r="E45" s="24" t="s">
        <v>12</v>
      </c>
      <c r="F45" s="24" t="s">
        <v>12</v>
      </c>
      <c r="G45" s="24" t="s">
        <v>12</v>
      </c>
      <c r="H45" s="24" t="s">
        <v>32</v>
      </c>
    </row>
    <row r="46" ht="20" customHeight="1" spans="1:8" x14ac:dyDescent="0.25">
      <c r="A46" s="22" t="s">
        <v>57</v>
      </c>
      <c r="B46" s="22" t="s">
        <v>40</v>
      </c>
      <c r="C46" s="23" t="s">
        <v>825</v>
      </c>
      <c r="D46" s="6" t="s">
        <v>4</v>
      </c>
      <c r="E46" s="22" t="s">
        <v>851</v>
      </c>
      <c r="F46" s="22" t="s">
        <v>472</v>
      </c>
      <c r="G46" s="22" t="s">
        <v>852</v>
      </c>
      <c r="H46" s="29" t="s">
        <v>853</v>
      </c>
    </row>
    <row r="47" ht="20" customHeight="1" spans="1:8" x14ac:dyDescent="0.25">
      <c r="A47" s="24" t="s">
        <v>58</v>
      </c>
      <c r="B47" s="24" t="s">
        <v>42</v>
      </c>
      <c r="C47" s="25" t="s">
        <v>825</v>
      </c>
      <c r="D47" s="33" t="s">
        <v>86</v>
      </c>
      <c r="E47" s="24" t="s">
        <v>12</v>
      </c>
      <c r="F47" s="24" t="s">
        <v>12</v>
      </c>
      <c r="G47" s="24" t="s">
        <v>12</v>
      </c>
      <c r="H47" s="24" t="s">
        <v>32</v>
      </c>
    </row>
    <row r="48" ht="20" customHeight="1" spans="1:8" x14ac:dyDescent="0.25">
      <c r="A48" s="22" t="s">
        <v>59</v>
      </c>
      <c r="B48" s="22" t="s">
        <v>45</v>
      </c>
      <c r="C48" s="23" t="s">
        <v>825</v>
      </c>
      <c r="D48" s="6" t="s">
        <v>4</v>
      </c>
      <c r="E48" s="22" t="s">
        <v>854</v>
      </c>
      <c r="F48" s="22" t="s">
        <v>12</v>
      </c>
      <c r="G48" s="22" t="s">
        <v>12</v>
      </c>
      <c r="H48" s="29" t="s">
        <v>855</v>
      </c>
    </row>
    <row r="49" ht="20" customHeight="1" spans="1:8" x14ac:dyDescent="0.25">
      <c r="A49" s="24" t="s">
        <v>60</v>
      </c>
      <c r="B49" s="24" t="s">
        <v>31</v>
      </c>
      <c r="C49" s="25" t="s">
        <v>825</v>
      </c>
      <c r="D49" s="6" t="s">
        <v>4</v>
      </c>
      <c r="E49" s="24" t="s">
        <v>856</v>
      </c>
      <c r="F49" s="24" t="s">
        <v>857</v>
      </c>
      <c r="G49" s="24" t="s">
        <v>858</v>
      </c>
      <c r="H49" s="30" t="s">
        <v>79</v>
      </c>
    </row>
    <row r="50" ht="20" customHeight="1" spans="1:8" x14ac:dyDescent="0.25">
      <c r="A50" s="22" t="s">
        <v>61</v>
      </c>
      <c r="B50" s="22" t="s">
        <v>34</v>
      </c>
      <c r="C50" s="23" t="s">
        <v>825</v>
      </c>
      <c r="D50" s="6" t="s">
        <v>4</v>
      </c>
      <c r="E50" s="22" t="s">
        <v>859</v>
      </c>
      <c r="F50" s="22" t="s">
        <v>12</v>
      </c>
      <c r="G50" s="22" t="s">
        <v>12</v>
      </c>
      <c r="H50" s="32" t="s">
        <v>79</v>
      </c>
    </row>
    <row r="51" ht="20" customHeight="1" spans="1:8" x14ac:dyDescent="0.25">
      <c r="A51" s="24" t="s">
        <v>62</v>
      </c>
      <c r="B51" s="24" t="s">
        <v>36</v>
      </c>
      <c r="C51" s="25" t="s">
        <v>825</v>
      </c>
      <c r="D51" s="6" t="s">
        <v>4</v>
      </c>
      <c r="E51" s="24" t="s">
        <v>860</v>
      </c>
      <c r="F51" s="24" t="s">
        <v>861</v>
      </c>
      <c r="G51" s="24" t="s">
        <v>862</v>
      </c>
      <c r="H51" s="34" t="s">
        <v>863</v>
      </c>
    </row>
    <row r="52" ht="20" customHeight="1" spans="1:8" x14ac:dyDescent="0.25">
      <c r="A52" s="22" t="s">
        <v>63</v>
      </c>
      <c r="B52" s="22" t="s">
        <v>38</v>
      </c>
      <c r="C52" s="23" t="s">
        <v>825</v>
      </c>
      <c r="D52" s="6" t="s">
        <v>4</v>
      </c>
      <c r="E52" s="22" t="s">
        <v>864</v>
      </c>
      <c r="F52" s="22" t="s">
        <v>12</v>
      </c>
      <c r="G52" s="22" t="s">
        <v>12</v>
      </c>
      <c r="H52" s="29" t="s">
        <v>865</v>
      </c>
    </row>
    <row r="53" ht="20" customHeight="1" spans="1:8" x14ac:dyDescent="0.25">
      <c r="A53" s="24" t="s">
        <v>64</v>
      </c>
      <c r="B53" s="24" t="s">
        <v>40</v>
      </c>
      <c r="C53" s="25" t="s">
        <v>825</v>
      </c>
      <c r="D53" s="6" t="s">
        <v>4</v>
      </c>
      <c r="E53" s="24" t="s">
        <v>866</v>
      </c>
      <c r="F53" s="24" t="s">
        <v>12</v>
      </c>
      <c r="G53" s="24" t="s">
        <v>12</v>
      </c>
      <c r="H53" s="34" t="s">
        <v>195</v>
      </c>
    </row>
    <row r="54" ht="20" customHeight="1" spans="1:8" x14ac:dyDescent="0.25">
      <c r="A54" s="22" t="s">
        <v>65</v>
      </c>
      <c r="B54" s="22" t="s">
        <v>42</v>
      </c>
      <c r="C54" s="23" t="s">
        <v>825</v>
      </c>
      <c r="D54" s="35" t="s">
        <v>86</v>
      </c>
      <c r="E54" s="22" t="s">
        <v>12</v>
      </c>
      <c r="F54" s="22" t="s">
        <v>12</v>
      </c>
      <c r="G54" s="22" t="s">
        <v>12</v>
      </c>
      <c r="H54" s="22" t="s">
        <v>32</v>
      </c>
    </row>
    <row r="55" ht="20" customHeight="1" spans="1:8" x14ac:dyDescent="0.25">
      <c r="A55" s="24" t="s">
        <v>66</v>
      </c>
      <c r="B55" s="24" t="s">
        <v>45</v>
      </c>
      <c r="C55" s="25" t="s">
        <v>825</v>
      </c>
      <c r="D55" s="6" t="s">
        <v>4</v>
      </c>
      <c r="E55" s="24" t="s">
        <v>12</v>
      </c>
      <c r="F55" s="24" t="s">
        <v>12</v>
      </c>
      <c r="G55" s="24" t="s">
        <v>12</v>
      </c>
      <c r="H55" s="24" t="s">
        <v>32</v>
      </c>
    </row>
    <row r="56" ht="20" customHeight="1" spans="1:8" x14ac:dyDescent="0.25">
      <c r="A56" s="22" t="s">
        <v>67</v>
      </c>
      <c r="B56" s="22" t="s">
        <v>31</v>
      </c>
      <c r="C56" s="23" t="s">
        <v>825</v>
      </c>
      <c r="D56" s="6" t="s">
        <v>4</v>
      </c>
      <c r="E56" s="22" t="s">
        <v>12</v>
      </c>
      <c r="F56" s="22" t="s">
        <v>12</v>
      </c>
      <c r="G56" s="22" t="s">
        <v>12</v>
      </c>
      <c r="H56" s="22" t="s">
        <v>32</v>
      </c>
    </row>
    <row r="57" ht="20" customHeight="1" spans="1:8" x14ac:dyDescent="0.25">
      <c r="A57" s="24" t="s">
        <v>68</v>
      </c>
      <c r="B57" s="24" t="s">
        <v>34</v>
      </c>
      <c r="C57" s="25" t="s">
        <v>825</v>
      </c>
      <c r="D57" s="6" t="s">
        <v>4</v>
      </c>
      <c r="E57" s="24" t="s">
        <v>867</v>
      </c>
      <c r="F57" s="24" t="s">
        <v>868</v>
      </c>
      <c r="G57" s="24" t="s">
        <v>752</v>
      </c>
      <c r="H57" s="34" t="s">
        <v>869</v>
      </c>
    </row>
    <row r="58" ht="22" customHeight="1" spans="1:8" x14ac:dyDescent="0.25">
      <c r="A58" s="26" t="s">
        <v>69</v>
      </c>
      <c r="B58" s="26"/>
      <c r="C58" s="26"/>
      <c r="D58" s="26"/>
      <c r="E58" s="26"/>
      <c r="F58" s="26"/>
      <c r="G58" s="27" t="s">
        <v>870</v>
      </c>
      <c r="H58" s="28" t="s">
        <v>12</v>
      </c>
    </row>
    <row r="60" ht="26" customHeight="1" spans="1:8" x14ac:dyDescent="0.25">
      <c r="A60" s="20" t="s">
        <v>871</v>
      </c>
      <c r="B60" s="20"/>
      <c r="C60" s="20"/>
      <c r="D60" s="20"/>
      <c r="E60" s="20"/>
      <c r="F60" s="20"/>
      <c r="G60" s="20"/>
      <c r="H60" s="20"/>
    </row>
    <row r="61" ht="22" customHeight="1" spans="1:8" x14ac:dyDescent="0.25">
      <c r="A61" s="21" t="s">
        <v>22</v>
      </c>
      <c r="B61" s="21" t="s">
        <v>23</v>
      </c>
      <c r="C61" s="21" t="s">
        <v>24</v>
      </c>
      <c r="D61" s="21" t="s">
        <v>25</v>
      </c>
      <c r="E61" s="21" t="s">
        <v>26</v>
      </c>
      <c r="F61" s="21" t="s">
        <v>27</v>
      </c>
      <c r="G61" s="21" t="s">
        <v>28</v>
      </c>
      <c r="H61" s="21" t="s">
        <v>29</v>
      </c>
    </row>
    <row r="62" ht="20" customHeight="1" spans="1:8" x14ac:dyDescent="0.25">
      <c r="A62" s="22" t="s">
        <v>30</v>
      </c>
      <c r="B62" s="22" t="s">
        <v>31</v>
      </c>
      <c r="C62" s="23" t="s">
        <v>605</v>
      </c>
      <c r="D62" s="7" t="s">
        <v>5</v>
      </c>
      <c r="E62" s="22" t="s">
        <v>12</v>
      </c>
      <c r="F62" s="22" t="s">
        <v>12</v>
      </c>
      <c r="G62" s="22" t="s">
        <v>12</v>
      </c>
      <c r="H62" s="22" t="s">
        <v>32</v>
      </c>
    </row>
    <row r="63" ht="20" customHeight="1" spans="1:8" x14ac:dyDescent="0.25">
      <c r="A63" s="24" t="s">
        <v>33</v>
      </c>
      <c r="B63" s="24" t="s">
        <v>34</v>
      </c>
      <c r="C63" s="25" t="s">
        <v>605</v>
      </c>
      <c r="D63" s="7" t="s">
        <v>5</v>
      </c>
      <c r="E63" s="24" t="s">
        <v>12</v>
      </c>
      <c r="F63" s="24" t="s">
        <v>12</v>
      </c>
      <c r="G63" s="24" t="s">
        <v>12</v>
      </c>
      <c r="H63" s="24" t="s">
        <v>32</v>
      </c>
    </row>
    <row r="64" ht="20" customHeight="1" spans="1:8" x14ac:dyDescent="0.25">
      <c r="A64" s="22" t="s">
        <v>35</v>
      </c>
      <c r="B64" s="22" t="s">
        <v>36</v>
      </c>
      <c r="C64" s="23" t="s">
        <v>605</v>
      </c>
      <c r="D64" s="7" t="s">
        <v>5</v>
      </c>
      <c r="E64" s="22" t="s">
        <v>12</v>
      </c>
      <c r="F64" s="22" t="s">
        <v>12</v>
      </c>
      <c r="G64" s="22" t="s">
        <v>12</v>
      </c>
      <c r="H64" s="22" t="s">
        <v>32</v>
      </c>
    </row>
    <row r="65" ht="20" customHeight="1" spans="1:8" x14ac:dyDescent="0.25">
      <c r="A65" s="24" t="s">
        <v>37</v>
      </c>
      <c r="B65" s="24" t="s">
        <v>38</v>
      </c>
      <c r="C65" s="25" t="s">
        <v>605</v>
      </c>
      <c r="D65" s="7" t="s">
        <v>5</v>
      </c>
      <c r="E65" s="24" t="s">
        <v>12</v>
      </c>
      <c r="F65" s="24" t="s">
        <v>12</v>
      </c>
      <c r="G65" s="24" t="s">
        <v>12</v>
      </c>
      <c r="H65" s="24" t="s">
        <v>32</v>
      </c>
    </row>
    <row r="66" ht="20" customHeight="1" spans="1:8" x14ac:dyDescent="0.25">
      <c r="A66" s="22" t="s">
        <v>39</v>
      </c>
      <c r="B66" s="22" t="s">
        <v>40</v>
      </c>
      <c r="C66" s="23" t="s">
        <v>605</v>
      </c>
      <c r="D66" s="7" t="s">
        <v>5</v>
      </c>
      <c r="E66" s="22" t="s">
        <v>12</v>
      </c>
      <c r="F66" s="22" t="s">
        <v>12</v>
      </c>
      <c r="G66" s="22" t="s">
        <v>12</v>
      </c>
      <c r="H66" s="22" t="s">
        <v>32</v>
      </c>
    </row>
    <row r="67" ht="20" customHeight="1" spans="1:8" x14ac:dyDescent="0.25">
      <c r="A67" s="24" t="s">
        <v>41</v>
      </c>
      <c r="B67" s="24" t="s">
        <v>42</v>
      </c>
      <c r="C67" s="25" t="s">
        <v>605</v>
      </c>
      <c r="D67" s="7" t="s">
        <v>5</v>
      </c>
      <c r="E67" s="24" t="s">
        <v>12</v>
      </c>
      <c r="F67" s="24" t="s">
        <v>12</v>
      </c>
      <c r="G67" s="24" t="s">
        <v>12</v>
      </c>
      <c r="H67" s="24" t="s">
        <v>32</v>
      </c>
    </row>
    <row r="68" ht="20" customHeight="1" spans="1:8" x14ac:dyDescent="0.25">
      <c r="A68" s="22" t="s">
        <v>44</v>
      </c>
      <c r="B68" s="22" t="s">
        <v>45</v>
      </c>
      <c r="C68" s="23" t="s">
        <v>605</v>
      </c>
      <c r="D68" s="7" t="s">
        <v>5</v>
      </c>
      <c r="E68" s="22" t="s">
        <v>12</v>
      </c>
      <c r="F68" s="22" t="s">
        <v>12</v>
      </c>
      <c r="G68" s="22" t="s">
        <v>12</v>
      </c>
      <c r="H68" s="22" t="s">
        <v>32</v>
      </c>
    </row>
    <row r="69" ht="20" customHeight="1" spans="1:8" x14ac:dyDescent="0.25">
      <c r="A69" s="24" t="s">
        <v>46</v>
      </c>
      <c r="B69" s="24" t="s">
        <v>31</v>
      </c>
      <c r="C69" s="25" t="s">
        <v>605</v>
      </c>
      <c r="D69" s="7" t="s">
        <v>5</v>
      </c>
      <c r="E69" s="24" t="s">
        <v>12</v>
      </c>
      <c r="F69" s="24" t="s">
        <v>12</v>
      </c>
      <c r="G69" s="24" t="s">
        <v>12</v>
      </c>
      <c r="H69" s="24" t="s">
        <v>32</v>
      </c>
    </row>
    <row r="70" ht="20" customHeight="1" spans="1:8" x14ac:dyDescent="0.25">
      <c r="A70" s="22" t="s">
        <v>47</v>
      </c>
      <c r="B70" s="22" t="s">
        <v>34</v>
      </c>
      <c r="C70" s="23" t="s">
        <v>605</v>
      </c>
      <c r="D70" s="7" t="s">
        <v>5</v>
      </c>
      <c r="E70" s="22" t="s">
        <v>12</v>
      </c>
      <c r="F70" s="22" t="s">
        <v>12</v>
      </c>
      <c r="G70" s="22" t="s">
        <v>12</v>
      </c>
      <c r="H70" s="22" t="s">
        <v>32</v>
      </c>
    </row>
    <row r="71" ht="20" customHeight="1" spans="1:8" x14ac:dyDescent="0.25">
      <c r="A71" s="24" t="s">
        <v>48</v>
      </c>
      <c r="B71" s="24" t="s">
        <v>36</v>
      </c>
      <c r="C71" s="25" t="s">
        <v>605</v>
      </c>
      <c r="D71" s="7" t="s">
        <v>5</v>
      </c>
      <c r="E71" s="24" t="s">
        <v>12</v>
      </c>
      <c r="F71" s="24" t="s">
        <v>12</v>
      </c>
      <c r="G71" s="24" t="s">
        <v>12</v>
      </c>
      <c r="H71" s="24" t="s">
        <v>32</v>
      </c>
    </row>
    <row r="72" ht="20" customHeight="1" spans="1:8" x14ac:dyDescent="0.25">
      <c r="A72" s="22" t="s">
        <v>49</v>
      </c>
      <c r="B72" s="22" t="s">
        <v>38</v>
      </c>
      <c r="C72" s="23" t="s">
        <v>605</v>
      </c>
      <c r="D72" s="6" t="s">
        <v>4</v>
      </c>
      <c r="E72" s="22" t="s">
        <v>872</v>
      </c>
      <c r="F72" s="22" t="s">
        <v>829</v>
      </c>
      <c r="G72" s="22" t="s">
        <v>873</v>
      </c>
      <c r="H72" s="29" t="s">
        <v>874</v>
      </c>
    </row>
    <row r="73" ht="20" customHeight="1" spans="1:8" x14ac:dyDescent="0.25">
      <c r="A73" s="24" t="s">
        <v>50</v>
      </c>
      <c r="B73" s="24" t="s">
        <v>40</v>
      </c>
      <c r="C73" s="25" t="s">
        <v>605</v>
      </c>
      <c r="D73" s="33" t="s">
        <v>86</v>
      </c>
      <c r="E73" s="24" t="s">
        <v>12</v>
      </c>
      <c r="F73" s="24" t="s">
        <v>12</v>
      </c>
      <c r="G73" s="24" t="s">
        <v>12</v>
      </c>
      <c r="H73" s="24" t="s">
        <v>32</v>
      </c>
    </row>
    <row r="74" ht="20" customHeight="1" spans="1:8" x14ac:dyDescent="0.25">
      <c r="A74" s="22" t="s">
        <v>51</v>
      </c>
      <c r="B74" s="22" t="s">
        <v>42</v>
      </c>
      <c r="C74" s="23" t="s">
        <v>605</v>
      </c>
      <c r="D74" s="35" t="s">
        <v>86</v>
      </c>
      <c r="E74" s="22" t="s">
        <v>12</v>
      </c>
      <c r="F74" s="22" t="s">
        <v>12</v>
      </c>
      <c r="G74" s="22" t="s">
        <v>12</v>
      </c>
      <c r="H74" s="22" t="s">
        <v>32</v>
      </c>
    </row>
    <row r="75" ht="20" customHeight="1" spans="1:8" x14ac:dyDescent="0.25">
      <c r="A75" s="24" t="s">
        <v>52</v>
      </c>
      <c r="B75" s="24" t="s">
        <v>45</v>
      </c>
      <c r="C75" s="25" t="s">
        <v>605</v>
      </c>
      <c r="D75" s="16" t="s">
        <v>43</v>
      </c>
      <c r="E75" s="24" t="s">
        <v>12</v>
      </c>
      <c r="F75" s="24" t="s">
        <v>12</v>
      </c>
      <c r="G75" s="24" t="s">
        <v>12</v>
      </c>
      <c r="H75" s="24" t="s">
        <v>32</v>
      </c>
    </row>
    <row r="76" ht="20" customHeight="1" spans="1:8" x14ac:dyDescent="0.25">
      <c r="A76" s="22" t="s">
        <v>53</v>
      </c>
      <c r="B76" s="22" t="s">
        <v>31</v>
      </c>
      <c r="C76" s="23" t="s">
        <v>605</v>
      </c>
      <c r="D76" s="16" t="s">
        <v>43</v>
      </c>
      <c r="E76" s="22" t="s">
        <v>12</v>
      </c>
      <c r="F76" s="22" t="s">
        <v>12</v>
      </c>
      <c r="G76" s="22" t="s">
        <v>12</v>
      </c>
      <c r="H76" s="22" t="s">
        <v>32</v>
      </c>
    </row>
    <row r="77" ht="20" customHeight="1" spans="1:8" x14ac:dyDescent="0.25">
      <c r="A77" s="24" t="s">
        <v>54</v>
      </c>
      <c r="B77" s="24" t="s">
        <v>34</v>
      </c>
      <c r="C77" s="25" t="s">
        <v>603</v>
      </c>
      <c r="D77" s="6" t="s">
        <v>4</v>
      </c>
      <c r="E77" s="24" t="s">
        <v>362</v>
      </c>
      <c r="F77" s="24" t="s">
        <v>136</v>
      </c>
      <c r="G77" s="24" t="s">
        <v>577</v>
      </c>
      <c r="H77" s="34" t="s">
        <v>875</v>
      </c>
    </row>
    <row r="78" ht="20" customHeight="1" spans="1:8" x14ac:dyDescent="0.25">
      <c r="A78" s="22" t="s">
        <v>55</v>
      </c>
      <c r="B78" s="22" t="s">
        <v>36</v>
      </c>
      <c r="C78" s="23" t="s">
        <v>603</v>
      </c>
      <c r="D78" s="6" t="s">
        <v>4</v>
      </c>
      <c r="E78" s="22" t="s">
        <v>199</v>
      </c>
      <c r="F78" s="22" t="s">
        <v>636</v>
      </c>
      <c r="G78" s="22" t="s">
        <v>259</v>
      </c>
      <c r="H78" s="29" t="s">
        <v>200</v>
      </c>
    </row>
    <row r="79" ht="20" customHeight="1" spans="1:8" x14ac:dyDescent="0.25">
      <c r="A79" s="24" t="s">
        <v>56</v>
      </c>
      <c r="B79" s="24" t="s">
        <v>38</v>
      </c>
      <c r="C79" s="25" t="s">
        <v>605</v>
      </c>
      <c r="D79" s="16" t="s">
        <v>43</v>
      </c>
      <c r="E79" s="24" t="s">
        <v>12</v>
      </c>
      <c r="F79" s="24" t="s">
        <v>12</v>
      </c>
      <c r="G79" s="24" t="s">
        <v>12</v>
      </c>
      <c r="H79" s="24" t="s">
        <v>32</v>
      </c>
    </row>
    <row r="80" ht="20" customHeight="1" spans="1:8" x14ac:dyDescent="0.25">
      <c r="A80" s="22" t="s">
        <v>57</v>
      </c>
      <c r="B80" s="22" t="s">
        <v>40</v>
      </c>
      <c r="C80" s="23" t="s">
        <v>603</v>
      </c>
      <c r="D80" s="6" t="s">
        <v>4</v>
      </c>
      <c r="E80" s="22" t="s">
        <v>262</v>
      </c>
      <c r="F80" s="22" t="s">
        <v>243</v>
      </c>
      <c r="G80" s="22" t="s">
        <v>187</v>
      </c>
      <c r="H80" s="29" t="s">
        <v>264</v>
      </c>
    </row>
    <row r="81" ht="20" customHeight="1" spans="1:8" x14ac:dyDescent="0.25">
      <c r="A81" s="24" t="s">
        <v>58</v>
      </c>
      <c r="B81" s="24" t="s">
        <v>42</v>
      </c>
      <c r="C81" s="25" t="s">
        <v>605</v>
      </c>
      <c r="D81" s="33" t="s">
        <v>86</v>
      </c>
      <c r="E81" s="24" t="s">
        <v>12</v>
      </c>
      <c r="F81" s="24" t="s">
        <v>12</v>
      </c>
      <c r="G81" s="24" t="s">
        <v>12</v>
      </c>
      <c r="H81" s="24" t="s">
        <v>32</v>
      </c>
    </row>
    <row r="82" ht="20" customHeight="1" spans="1:8" x14ac:dyDescent="0.25">
      <c r="A82" s="22" t="s">
        <v>59</v>
      </c>
      <c r="B82" s="22" t="s">
        <v>45</v>
      </c>
      <c r="C82" s="23" t="s">
        <v>603</v>
      </c>
      <c r="D82" s="6" t="s">
        <v>4</v>
      </c>
      <c r="E82" s="22" t="s">
        <v>242</v>
      </c>
      <c r="F82" s="22" t="s">
        <v>170</v>
      </c>
      <c r="G82" s="22" t="s">
        <v>659</v>
      </c>
      <c r="H82" s="29" t="s">
        <v>244</v>
      </c>
    </row>
    <row r="83" ht="20" customHeight="1" spans="1:8" x14ac:dyDescent="0.25">
      <c r="A83" s="24" t="s">
        <v>60</v>
      </c>
      <c r="B83" s="24" t="s">
        <v>31</v>
      </c>
      <c r="C83" s="25" t="s">
        <v>603</v>
      </c>
      <c r="D83" s="6" t="s">
        <v>4</v>
      </c>
      <c r="E83" s="24" t="s">
        <v>334</v>
      </c>
      <c r="F83" s="24" t="s">
        <v>772</v>
      </c>
      <c r="G83" s="24" t="s">
        <v>267</v>
      </c>
      <c r="H83" s="34" t="s">
        <v>337</v>
      </c>
    </row>
    <row r="84" ht="20" customHeight="1" spans="1:8" x14ac:dyDescent="0.25">
      <c r="A84" s="22" t="s">
        <v>61</v>
      </c>
      <c r="B84" s="22" t="s">
        <v>34</v>
      </c>
      <c r="C84" s="23" t="s">
        <v>605</v>
      </c>
      <c r="D84" s="16" t="s">
        <v>43</v>
      </c>
      <c r="E84" s="22" t="s">
        <v>12</v>
      </c>
      <c r="F84" s="22" t="s">
        <v>12</v>
      </c>
      <c r="G84" s="22" t="s">
        <v>12</v>
      </c>
      <c r="H84" s="22" t="s">
        <v>32</v>
      </c>
    </row>
    <row r="85" ht="20" customHeight="1" spans="1:8" x14ac:dyDescent="0.25">
      <c r="A85" s="24" t="s">
        <v>62</v>
      </c>
      <c r="B85" s="24" t="s">
        <v>36</v>
      </c>
      <c r="C85" s="25" t="s">
        <v>603</v>
      </c>
      <c r="D85" s="6" t="s">
        <v>4</v>
      </c>
      <c r="E85" s="24" t="s">
        <v>159</v>
      </c>
      <c r="F85" s="24" t="s">
        <v>757</v>
      </c>
      <c r="G85" s="24" t="s">
        <v>147</v>
      </c>
      <c r="H85" s="34" t="s">
        <v>162</v>
      </c>
    </row>
    <row r="86" ht="20" customHeight="1" spans="1:8" x14ac:dyDescent="0.25">
      <c r="A86" s="22" t="s">
        <v>63</v>
      </c>
      <c r="B86" s="22" t="s">
        <v>38</v>
      </c>
      <c r="C86" s="23" t="s">
        <v>603</v>
      </c>
      <c r="D86" s="6" t="s">
        <v>4</v>
      </c>
      <c r="E86" s="22" t="s">
        <v>176</v>
      </c>
      <c r="F86" s="22" t="s">
        <v>179</v>
      </c>
      <c r="G86" s="22" t="s">
        <v>180</v>
      </c>
      <c r="H86" s="29" t="s">
        <v>178</v>
      </c>
    </row>
    <row r="87" ht="20" customHeight="1" spans="1:8" x14ac:dyDescent="0.25">
      <c r="A87" s="24" t="s">
        <v>64</v>
      </c>
      <c r="B87" s="24" t="s">
        <v>40</v>
      </c>
      <c r="C87" s="25" t="s">
        <v>603</v>
      </c>
      <c r="D87" s="6" t="s">
        <v>4</v>
      </c>
      <c r="E87" s="24" t="s">
        <v>205</v>
      </c>
      <c r="F87" s="24" t="s">
        <v>439</v>
      </c>
      <c r="G87" s="24" t="s">
        <v>329</v>
      </c>
      <c r="H87" s="34" t="s">
        <v>207</v>
      </c>
    </row>
    <row r="88" ht="20" customHeight="1" spans="1:8" x14ac:dyDescent="0.25">
      <c r="A88" s="22" t="s">
        <v>65</v>
      </c>
      <c r="B88" s="22" t="s">
        <v>42</v>
      </c>
      <c r="C88" s="23" t="s">
        <v>605</v>
      </c>
      <c r="D88" s="35" t="s">
        <v>86</v>
      </c>
      <c r="E88" s="22" t="s">
        <v>12</v>
      </c>
      <c r="F88" s="22" t="s">
        <v>12</v>
      </c>
      <c r="G88" s="22" t="s">
        <v>12</v>
      </c>
      <c r="H88" s="22" t="s">
        <v>32</v>
      </c>
    </row>
    <row r="89" ht="20" customHeight="1" spans="1:8" x14ac:dyDescent="0.25">
      <c r="A89" s="24" t="s">
        <v>66</v>
      </c>
      <c r="B89" s="24" t="s">
        <v>45</v>
      </c>
      <c r="C89" s="25" t="s">
        <v>603</v>
      </c>
      <c r="D89" s="6" t="s">
        <v>4</v>
      </c>
      <c r="E89" s="24" t="s">
        <v>163</v>
      </c>
      <c r="F89" s="24" t="s">
        <v>757</v>
      </c>
      <c r="G89" s="24" t="s">
        <v>429</v>
      </c>
      <c r="H89" s="34" t="s">
        <v>166</v>
      </c>
    </row>
    <row r="90" ht="20" customHeight="1" spans="1:8" x14ac:dyDescent="0.25">
      <c r="A90" s="22" t="s">
        <v>67</v>
      </c>
      <c r="B90" s="22" t="s">
        <v>31</v>
      </c>
      <c r="C90" s="23" t="s">
        <v>603</v>
      </c>
      <c r="D90" s="6" t="s">
        <v>4</v>
      </c>
      <c r="E90" s="22" t="s">
        <v>876</v>
      </c>
      <c r="F90" s="22" t="s">
        <v>312</v>
      </c>
      <c r="G90" s="22" t="s">
        <v>267</v>
      </c>
      <c r="H90" s="29" t="s">
        <v>877</v>
      </c>
    </row>
    <row r="91" ht="20" customHeight="1" spans="1:8" x14ac:dyDescent="0.25">
      <c r="A91" s="24" t="s">
        <v>68</v>
      </c>
      <c r="B91" s="24" t="s">
        <v>34</v>
      </c>
      <c r="C91" s="25" t="s">
        <v>603</v>
      </c>
      <c r="D91" s="6" t="s">
        <v>4</v>
      </c>
      <c r="E91" s="24" t="s">
        <v>878</v>
      </c>
      <c r="F91" s="24" t="s">
        <v>562</v>
      </c>
      <c r="G91" s="24" t="s">
        <v>577</v>
      </c>
      <c r="H91" s="34" t="s">
        <v>879</v>
      </c>
    </row>
    <row r="92" ht="22" customHeight="1" spans="1:8" x14ac:dyDescent="0.25">
      <c r="A92" s="26" t="s">
        <v>69</v>
      </c>
      <c r="B92" s="26"/>
      <c r="C92" s="26"/>
      <c r="D92" s="26"/>
      <c r="E92" s="26"/>
      <c r="F92" s="26"/>
      <c r="G92" s="27" t="s">
        <v>880</v>
      </c>
      <c r="H92" s="28" t="s">
        <v>12</v>
      </c>
    </row>
    <row r="94" ht="26" customHeight="1" spans="1:8" x14ac:dyDescent="0.25">
      <c r="A94" s="20" t="s">
        <v>881</v>
      </c>
      <c r="B94" s="20"/>
      <c r="C94" s="20"/>
      <c r="D94" s="20"/>
      <c r="E94" s="20"/>
      <c r="F94" s="20"/>
      <c r="G94" s="20"/>
      <c r="H94" s="20"/>
    </row>
    <row r="95" ht="22" customHeight="1" spans="1:8" x14ac:dyDescent="0.25">
      <c r="A95" s="21" t="s">
        <v>22</v>
      </c>
      <c r="B95" s="21" t="s">
        <v>23</v>
      </c>
      <c r="C95" s="21" t="s">
        <v>24</v>
      </c>
      <c r="D95" s="21" t="s">
        <v>25</v>
      </c>
      <c r="E95" s="21" t="s">
        <v>26</v>
      </c>
      <c r="F95" s="21" t="s">
        <v>27</v>
      </c>
      <c r="G95" s="21" t="s">
        <v>28</v>
      </c>
      <c r="H95" s="21" t="s">
        <v>29</v>
      </c>
    </row>
    <row r="96" ht="20" customHeight="1" spans="1:8" x14ac:dyDescent="0.25">
      <c r="A96" s="22" t="s">
        <v>30</v>
      </c>
      <c r="B96" s="22" t="s">
        <v>31</v>
      </c>
      <c r="C96" s="23" t="s">
        <v>882</v>
      </c>
      <c r="D96" s="6" t="s">
        <v>4</v>
      </c>
      <c r="E96" s="22" t="s">
        <v>883</v>
      </c>
      <c r="F96" s="22" t="s">
        <v>884</v>
      </c>
      <c r="G96" s="22" t="s">
        <v>475</v>
      </c>
      <c r="H96" s="32" t="s">
        <v>79</v>
      </c>
    </row>
    <row r="97" ht="20" customHeight="1" spans="1:8" x14ac:dyDescent="0.25">
      <c r="A97" s="24" t="s">
        <v>33</v>
      </c>
      <c r="B97" s="24" t="s">
        <v>34</v>
      </c>
      <c r="C97" s="25" t="s">
        <v>882</v>
      </c>
      <c r="D97" s="6" t="s">
        <v>4</v>
      </c>
      <c r="E97" s="24" t="s">
        <v>308</v>
      </c>
      <c r="F97" s="24" t="s">
        <v>885</v>
      </c>
      <c r="G97" s="24" t="s">
        <v>130</v>
      </c>
      <c r="H97" s="30" t="s">
        <v>79</v>
      </c>
    </row>
    <row r="98" ht="20" customHeight="1" spans="1:8" x14ac:dyDescent="0.25">
      <c r="A98" s="22" t="s">
        <v>35</v>
      </c>
      <c r="B98" s="22" t="s">
        <v>36</v>
      </c>
      <c r="C98" s="23" t="s">
        <v>882</v>
      </c>
      <c r="D98" s="6" t="s">
        <v>4</v>
      </c>
      <c r="E98" s="22" t="s">
        <v>308</v>
      </c>
      <c r="F98" s="22" t="s">
        <v>637</v>
      </c>
      <c r="G98" s="22" t="s">
        <v>81</v>
      </c>
      <c r="H98" s="32" t="s">
        <v>79</v>
      </c>
    </row>
    <row r="99" ht="20" customHeight="1" spans="1:8" x14ac:dyDescent="0.25">
      <c r="A99" s="24" t="s">
        <v>37</v>
      </c>
      <c r="B99" s="24" t="s">
        <v>38</v>
      </c>
      <c r="C99" s="25" t="s">
        <v>882</v>
      </c>
      <c r="D99" s="31" t="s">
        <v>11</v>
      </c>
      <c r="E99" s="24" t="s">
        <v>12</v>
      </c>
      <c r="F99" s="24" t="s">
        <v>12</v>
      </c>
      <c r="G99" s="24" t="s">
        <v>12</v>
      </c>
      <c r="H99" s="24" t="s">
        <v>32</v>
      </c>
    </row>
    <row r="100" ht="20" customHeight="1" spans="1:8" x14ac:dyDescent="0.25">
      <c r="A100" s="22" t="s">
        <v>39</v>
      </c>
      <c r="B100" s="22" t="s">
        <v>40</v>
      </c>
      <c r="C100" s="23" t="s">
        <v>882</v>
      </c>
      <c r="D100" s="6" t="s">
        <v>4</v>
      </c>
      <c r="E100" s="22" t="s">
        <v>886</v>
      </c>
      <c r="F100" s="22" t="s">
        <v>887</v>
      </c>
      <c r="G100" s="22" t="s">
        <v>726</v>
      </c>
      <c r="H100" s="32" t="s">
        <v>79</v>
      </c>
    </row>
    <row r="101" ht="20" customHeight="1" spans="1:8" x14ac:dyDescent="0.25">
      <c r="A101" s="24" t="s">
        <v>41</v>
      </c>
      <c r="B101" s="24" t="s">
        <v>42</v>
      </c>
      <c r="C101" s="25" t="s">
        <v>882</v>
      </c>
      <c r="D101" s="6" t="s">
        <v>4</v>
      </c>
      <c r="E101" s="24" t="s">
        <v>836</v>
      </c>
      <c r="F101" s="24" t="s">
        <v>888</v>
      </c>
      <c r="G101" s="24" t="s">
        <v>889</v>
      </c>
      <c r="H101" s="34" t="s">
        <v>342</v>
      </c>
    </row>
    <row r="102" ht="20" customHeight="1" spans="1:8" x14ac:dyDescent="0.25">
      <c r="A102" s="22" t="s">
        <v>44</v>
      </c>
      <c r="B102" s="22" t="s">
        <v>45</v>
      </c>
      <c r="C102" s="23" t="s">
        <v>882</v>
      </c>
      <c r="D102" s="6" t="s">
        <v>4</v>
      </c>
      <c r="E102" s="22" t="s">
        <v>890</v>
      </c>
      <c r="F102" s="22" t="s">
        <v>891</v>
      </c>
      <c r="G102" s="22" t="s">
        <v>130</v>
      </c>
      <c r="H102" s="32" t="s">
        <v>79</v>
      </c>
    </row>
    <row r="103" ht="20" customHeight="1" spans="1:8" x14ac:dyDescent="0.25">
      <c r="A103" s="24" t="s">
        <v>46</v>
      </c>
      <c r="B103" s="24" t="s">
        <v>31</v>
      </c>
      <c r="C103" s="25" t="s">
        <v>882</v>
      </c>
      <c r="D103" s="6" t="s">
        <v>4</v>
      </c>
      <c r="E103" s="24" t="s">
        <v>892</v>
      </c>
      <c r="F103" s="24" t="s">
        <v>893</v>
      </c>
      <c r="G103" s="24" t="s">
        <v>686</v>
      </c>
      <c r="H103" s="30" t="s">
        <v>79</v>
      </c>
    </row>
    <row r="104" ht="20" customHeight="1" spans="1:8" x14ac:dyDescent="0.25">
      <c r="A104" s="22" t="s">
        <v>47</v>
      </c>
      <c r="B104" s="22" t="s">
        <v>34</v>
      </c>
      <c r="C104" s="23" t="s">
        <v>882</v>
      </c>
      <c r="D104" s="6" t="s">
        <v>4</v>
      </c>
      <c r="E104" s="22" t="s">
        <v>894</v>
      </c>
      <c r="F104" s="22" t="s">
        <v>895</v>
      </c>
      <c r="G104" s="22" t="s">
        <v>740</v>
      </c>
      <c r="H104" s="32" t="s">
        <v>79</v>
      </c>
    </row>
    <row r="105" ht="20" customHeight="1" spans="1:8" x14ac:dyDescent="0.25">
      <c r="A105" s="24" t="s">
        <v>48</v>
      </c>
      <c r="B105" s="24" t="s">
        <v>36</v>
      </c>
      <c r="C105" s="25" t="s">
        <v>882</v>
      </c>
      <c r="D105" s="6" t="s">
        <v>4</v>
      </c>
      <c r="E105" s="24" t="s">
        <v>830</v>
      </c>
      <c r="F105" s="24" t="s">
        <v>896</v>
      </c>
      <c r="G105" s="24" t="s">
        <v>99</v>
      </c>
      <c r="H105" s="34" t="s">
        <v>357</v>
      </c>
    </row>
    <row r="106" ht="20" customHeight="1" spans="1:8" x14ac:dyDescent="0.25">
      <c r="A106" s="22" t="s">
        <v>49</v>
      </c>
      <c r="B106" s="22" t="s">
        <v>38</v>
      </c>
      <c r="C106" s="23" t="s">
        <v>882</v>
      </c>
      <c r="D106" s="6" t="s">
        <v>4</v>
      </c>
      <c r="E106" s="22" t="s">
        <v>12</v>
      </c>
      <c r="F106" s="22" t="s">
        <v>12</v>
      </c>
      <c r="G106" s="22" t="s">
        <v>12</v>
      </c>
      <c r="H106" s="22" t="s">
        <v>32</v>
      </c>
    </row>
    <row r="107" ht="20" customHeight="1" spans="1:8" x14ac:dyDescent="0.25">
      <c r="A107" s="24" t="s">
        <v>50</v>
      </c>
      <c r="B107" s="24" t="s">
        <v>40</v>
      </c>
      <c r="C107" s="25" t="s">
        <v>882</v>
      </c>
      <c r="D107" s="6" t="s">
        <v>4</v>
      </c>
      <c r="E107" s="24" t="s">
        <v>729</v>
      </c>
      <c r="F107" s="24" t="s">
        <v>897</v>
      </c>
      <c r="G107" s="24" t="s">
        <v>226</v>
      </c>
      <c r="H107" s="34" t="s">
        <v>191</v>
      </c>
    </row>
    <row r="108" ht="20" customHeight="1" spans="1:8" x14ac:dyDescent="0.25">
      <c r="A108" s="22" t="s">
        <v>51</v>
      </c>
      <c r="B108" s="22" t="s">
        <v>42</v>
      </c>
      <c r="C108" s="23" t="s">
        <v>882</v>
      </c>
      <c r="D108" s="35" t="s">
        <v>86</v>
      </c>
      <c r="E108" s="22" t="s">
        <v>12</v>
      </c>
      <c r="F108" s="22" t="s">
        <v>12</v>
      </c>
      <c r="G108" s="22" t="s">
        <v>12</v>
      </c>
      <c r="H108" s="22" t="s">
        <v>32</v>
      </c>
    </row>
    <row r="109" ht="20" customHeight="1" spans="1:8" x14ac:dyDescent="0.25">
      <c r="A109" s="24" t="s">
        <v>52</v>
      </c>
      <c r="B109" s="24" t="s">
        <v>45</v>
      </c>
      <c r="C109" s="25" t="s">
        <v>882</v>
      </c>
      <c r="D109" s="6" t="s">
        <v>4</v>
      </c>
      <c r="E109" s="24" t="s">
        <v>898</v>
      </c>
      <c r="F109" s="24" t="s">
        <v>893</v>
      </c>
      <c r="G109" s="24" t="s">
        <v>99</v>
      </c>
      <c r="H109" s="34" t="s">
        <v>756</v>
      </c>
    </row>
    <row r="110" ht="20" customHeight="1" spans="1:8" x14ac:dyDescent="0.25">
      <c r="A110" s="22" t="s">
        <v>53</v>
      </c>
      <c r="B110" s="22" t="s">
        <v>31</v>
      </c>
      <c r="C110" s="23" t="s">
        <v>882</v>
      </c>
      <c r="D110" s="6" t="s">
        <v>4</v>
      </c>
      <c r="E110" s="22" t="s">
        <v>899</v>
      </c>
      <c r="F110" s="22" t="s">
        <v>887</v>
      </c>
      <c r="G110" s="22" t="s">
        <v>194</v>
      </c>
      <c r="H110" s="29" t="s">
        <v>253</v>
      </c>
    </row>
    <row r="111" ht="20" customHeight="1" spans="1:8" x14ac:dyDescent="0.25">
      <c r="A111" s="24" t="s">
        <v>54</v>
      </c>
      <c r="B111" s="24" t="s">
        <v>34</v>
      </c>
      <c r="C111" s="25" t="s">
        <v>882</v>
      </c>
      <c r="D111" s="6" t="s">
        <v>4</v>
      </c>
      <c r="E111" s="24" t="s">
        <v>900</v>
      </c>
      <c r="F111" s="24" t="s">
        <v>887</v>
      </c>
      <c r="G111" s="24" t="s">
        <v>137</v>
      </c>
      <c r="H111" s="30" t="s">
        <v>79</v>
      </c>
    </row>
    <row r="112" ht="20" customHeight="1" spans="1:8" x14ac:dyDescent="0.25">
      <c r="A112" s="22" t="s">
        <v>55</v>
      </c>
      <c r="B112" s="22" t="s">
        <v>36</v>
      </c>
      <c r="C112" s="23" t="s">
        <v>882</v>
      </c>
      <c r="D112" s="6" t="s">
        <v>4</v>
      </c>
      <c r="E112" s="22" t="s">
        <v>901</v>
      </c>
      <c r="F112" s="22" t="s">
        <v>902</v>
      </c>
      <c r="G112" s="22" t="s">
        <v>572</v>
      </c>
      <c r="H112" s="32" t="s">
        <v>79</v>
      </c>
    </row>
    <row r="113" ht="20" customHeight="1" spans="1:8" x14ac:dyDescent="0.25">
      <c r="A113" s="24" t="s">
        <v>56</v>
      </c>
      <c r="B113" s="24" t="s">
        <v>38</v>
      </c>
      <c r="C113" s="25" t="s">
        <v>882</v>
      </c>
      <c r="D113" s="6" t="s">
        <v>4</v>
      </c>
      <c r="E113" s="24" t="s">
        <v>892</v>
      </c>
      <c r="F113" s="24" t="s">
        <v>903</v>
      </c>
      <c r="G113" s="24" t="s">
        <v>281</v>
      </c>
      <c r="H113" s="30" t="s">
        <v>79</v>
      </c>
    </row>
    <row r="114" ht="20" customHeight="1" spans="1:8" x14ac:dyDescent="0.25">
      <c r="A114" s="22" t="s">
        <v>57</v>
      </c>
      <c r="B114" s="22" t="s">
        <v>40</v>
      </c>
      <c r="C114" s="23" t="s">
        <v>882</v>
      </c>
      <c r="D114" s="6" t="s">
        <v>4</v>
      </c>
      <c r="E114" s="22" t="s">
        <v>904</v>
      </c>
      <c r="F114" s="22" t="s">
        <v>905</v>
      </c>
      <c r="G114" s="22" t="s">
        <v>410</v>
      </c>
      <c r="H114" s="29" t="s">
        <v>355</v>
      </c>
    </row>
    <row r="115" ht="20" customHeight="1" spans="1:8" x14ac:dyDescent="0.25">
      <c r="A115" s="24" t="s">
        <v>58</v>
      </c>
      <c r="B115" s="24" t="s">
        <v>42</v>
      </c>
      <c r="C115" s="25" t="s">
        <v>882</v>
      </c>
      <c r="D115" s="33" t="s">
        <v>86</v>
      </c>
      <c r="E115" s="24" t="s">
        <v>12</v>
      </c>
      <c r="F115" s="24" t="s">
        <v>12</v>
      </c>
      <c r="G115" s="24" t="s">
        <v>12</v>
      </c>
      <c r="H115" s="24" t="s">
        <v>32</v>
      </c>
    </row>
    <row r="116" ht="20" customHeight="1" spans="1:8" x14ac:dyDescent="0.25">
      <c r="A116" s="22" t="s">
        <v>59</v>
      </c>
      <c r="B116" s="22" t="s">
        <v>45</v>
      </c>
      <c r="C116" s="23" t="s">
        <v>882</v>
      </c>
      <c r="D116" s="6" t="s">
        <v>4</v>
      </c>
      <c r="E116" s="22" t="s">
        <v>892</v>
      </c>
      <c r="F116" s="22" t="s">
        <v>906</v>
      </c>
      <c r="G116" s="22" t="s">
        <v>203</v>
      </c>
      <c r="H116" s="32" t="s">
        <v>79</v>
      </c>
    </row>
    <row r="117" ht="20" customHeight="1" spans="1:8" x14ac:dyDescent="0.25">
      <c r="A117" s="24" t="s">
        <v>60</v>
      </c>
      <c r="B117" s="24" t="s">
        <v>31</v>
      </c>
      <c r="C117" s="25" t="s">
        <v>882</v>
      </c>
      <c r="D117" s="6" t="s">
        <v>4</v>
      </c>
      <c r="E117" s="24" t="s">
        <v>907</v>
      </c>
      <c r="F117" s="24" t="s">
        <v>908</v>
      </c>
      <c r="G117" s="24" t="s">
        <v>99</v>
      </c>
      <c r="H117" s="30" t="s">
        <v>79</v>
      </c>
    </row>
    <row r="118" ht="20" customHeight="1" spans="1:8" x14ac:dyDescent="0.25">
      <c r="A118" s="22" t="s">
        <v>61</v>
      </c>
      <c r="B118" s="22" t="s">
        <v>34</v>
      </c>
      <c r="C118" s="23" t="s">
        <v>882</v>
      </c>
      <c r="D118" s="6" t="s">
        <v>4</v>
      </c>
      <c r="E118" s="22" t="s">
        <v>901</v>
      </c>
      <c r="F118" s="22" t="s">
        <v>891</v>
      </c>
      <c r="G118" s="22" t="s">
        <v>81</v>
      </c>
      <c r="H118" s="32" t="s">
        <v>79</v>
      </c>
    </row>
    <row r="119" ht="20" customHeight="1" spans="1:8" x14ac:dyDescent="0.25">
      <c r="A119" s="24" t="s">
        <v>62</v>
      </c>
      <c r="B119" s="24" t="s">
        <v>36</v>
      </c>
      <c r="C119" s="25" t="s">
        <v>882</v>
      </c>
      <c r="D119" s="6" t="s">
        <v>4</v>
      </c>
      <c r="E119" s="24" t="s">
        <v>909</v>
      </c>
      <c r="F119" s="24" t="s">
        <v>905</v>
      </c>
      <c r="G119" s="24" t="s">
        <v>180</v>
      </c>
      <c r="H119" s="34" t="s">
        <v>244</v>
      </c>
    </row>
    <row r="120" ht="20" customHeight="1" spans="1:8" x14ac:dyDescent="0.25">
      <c r="A120" s="22" t="s">
        <v>63</v>
      </c>
      <c r="B120" s="22" t="s">
        <v>38</v>
      </c>
      <c r="C120" s="23" t="s">
        <v>882</v>
      </c>
      <c r="D120" s="6" t="s">
        <v>4</v>
      </c>
      <c r="E120" s="22" t="s">
        <v>910</v>
      </c>
      <c r="F120" s="22" t="s">
        <v>911</v>
      </c>
      <c r="G120" s="22" t="s">
        <v>180</v>
      </c>
      <c r="H120" s="29" t="s">
        <v>233</v>
      </c>
    </row>
    <row r="121" ht="20" customHeight="1" spans="1:8" x14ac:dyDescent="0.25">
      <c r="A121" s="24" t="s">
        <v>64</v>
      </c>
      <c r="B121" s="24" t="s">
        <v>40</v>
      </c>
      <c r="C121" s="25" t="s">
        <v>882</v>
      </c>
      <c r="D121" s="6" t="s">
        <v>4</v>
      </c>
      <c r="E121" s="24" t="s">
        <v>904</v>
      </c>
      <c r="F121" s="24" t="s">
        <v>912</v>
      </c>
      <c r="G121" s="24" t="s">
        <v>281</v>
      </c>
      <c r="H121" s="34" t="s">
        <v>355</v>
      </c>
    </row>
    <row r="122" ht="20" customHeight="1" spans="1:8" x14ac:dyDescent="0.25">
      <c r="A122" s="22" t="s">
        <v>65</v>
      </c>
      <c r="B122" s="22" t="s">
        <v>42</v>
      </c>
      <c r="C122" s="23" t="s">
        <v>882</v>
      </c>
      <c r="D122" s="35" t="s">
        <v>86</v>
      </c>
      <c r="E122" s="22" t="s">
        <v>12</v>
      </c>
      <c r="F122" s="22" t="s">
        <v>12</v>
      </c>
      <c r="G122" s="22" t="s">
        <v>12</v>
      </c>
      <c r="H122" s="22" t="s">
        <v>32</v>
      </c>
    </row>
    <row r="123" ht="20" customHeight="1" spans="1:8" x14ac:dyDescent="0.25">
      <c r="A123" s="24" t="s">
        <v>66</v>
      </c>
      <c r="B123" s="24" t="s">
        <v>45</v>
      </c>
      <c r="C123" s="25" t="s">
        <v>882</v>
      </c>
      <c r="D123" s="6" t="s">
        <v>4</v>
      </c>
      <c r="E123" s="24" t="s">
        <v>298</v>
      </c>
      <c r="F123" s="24" t="s">
        <v>913</v>
      </c>
      <c r="G123" s="24" t="s">
        <v>914</v>
      </c>
      <c r="H123" s="34" t="s">
        <v>915</v>
      </c>
    </row>
    <row r="124" ht="20" customHeight="1" spans="1:8" x14ac:dyDescent="0.25">
      <c r="A124" s="22" t="s">
        <v>67</v>
      </c>
      <c r="B124" s="22" t="s">
        <v>31</v>
      </c>
      <c r="C124" s="23" t="s">
        <v>882</v>
      </c>
      <c r="D124" s="6" t="s">
        <v>4</v>
      </c>
      <c r="E124" s="22" t="s">
        <v>916</v>
      </c>
      <c r="F124" s="22" t="s">
        <v>917</v>
      </c>
      <c r="G124" s="22" t="s">
        <v>81</v>
      </c>
      <c r="H124" s="29" t="s">
        <v>200</v>
      </c>
    </row>
    <row r="125" ht="20" customHeight="1" spans="1:8" x14ac:dyDescent="0.25">
      <c r="A125" s="24" t="s">
        <v>68</v>
      </c>
      <c r="B125" s="24" t="s">
        <v>34</v>
      </c>
      <c r="C125" s="25" t="s">
        <v>882</v>
      </c>
      <c r="D125" s="6" t="s">
        <v>4</v>
      </c>
      <c r="E125" s="24" t="s">
        <v>918</v>
      </c>
      <c r="F125" s="24" t="s">
        <v>912</v>
      </c>
      <c r="G125" s="24" t="s">
        <v>563</v>
      </c>
      <c r="H125" s="34" t="s">
        <v>378</v>
      </c>
    </row>
    <row r="126" ht="22" customHeight="1" spans="1:8" x14ac:dyDescent="0.25">
      <c r="A126" s="26" t="s">
        <v>69</v>
      </c>
      <c r="B126" s="26"/>
      <c r="C126" s="26"/>
      <c r="D126" s="26"/>
      <c r="E126" s="26"/>
      <c r="F126" s="26"/>
      <c r="G126" s="27" t="s">
        <v>919</v>
      </c>
      <c r="H126" s="28" t="s">
        <v>12</v>
      </c>
    </row>
    <row r="128" ht="26" customHeight="1" spans="1:8" x14ac:dyDescent="0.25">
      <c r="A128" s="20" t="s">
        <v>920</v>
      </c>
      <c r="B128" s="20"/>
      <c r="C128" s="20"/>
      <c r="D128" s="20"/>
      <c r="E128" s="20"/>
      <c r="F128" s="20"/>
      <c r="G128" s="20"/>
      <c r="H128" s="20"/>
    </row>
    <row r="129" ht="22" customHeight="1" spans="1:8" x14ac:dyDescent="0.25">
      <c r="A129" s="21" t="s">
        <v>22</v>
      </c>
      <c r="B129" s="21" t="s">
        <v>23</v>
      </c>
      <c r="C129" s="21" t="s">
        <v>24</v>
      </c>
      <c r="D129" s="21" t="s">
        <v>25</v>
      </c>
      <c r="E129" s="21" t="s">
        <v>26</v>
      </c>
      <c r="F129" s="21" t="s">
        <v>27</v>
      </c>
      <c r="G129" s="21" t="s">
        <v>28</v>
      </c>
      <c r="H129" s="21" t="s">
        <v>29</v>
      </c>
    </row>
    <row r="130" ht="20" customHeight="1" spans="1:8" x14ac:dyDescent="0.25">
      <c r="A130" s="22" t="s">
        <v>30</v>
      </c>
      <c r="B130" s="22" t="s">
        <v>31</v>
      </c>
      <c r="C130" s="23" t="s">
        <v>605</v>
      </c>
      <c r="D130" s="6" t="s">
        <v>4</v>
      </c>
      <c r="E130" s="22" t="s">
        <v>212</v>
      </c>
      <c r="F130" s="22" t="s">
        <v>12</v>
      </c>
      <c r="G130" s="22" t="s">
        <v>889</v>
      </c>
      <c r="H130" s="29" t="s">
        <v>215</v>
      </c>
    </row>
    <row r="131" ht="20" customHeight="1" spans="1:8" x14ac:dyDescent="0.25">
      <c r="A131" s="24" t="s">
        <v>33</v>
      </c>
      <c r="B131" s="24" t="s">
        <v>34</v>
      </c>
      <c r="C131" s="25" t="s">
        <v>605</v>
      </c>
      <c r="D131" s="6" t="s">
        <v>4</v>
      </c>
      <c r="E131" s="24" t="s">
        <v>251</v>
      </c>
      <c r="F131" s="24" t="s">
        <v>921</v>
      </c>
      <c r="G131" s="24" t="s">
        <v>922</v>
      </c>
      <c r="H131" s="34" t="s">
        <v>253</v>
      </c>
    </row>
    <row r="132" ht="20" customHeight="1" spans="1:8" x14ac:dyDescent="0.25">
      <c r="A132" s="22" t="s">
        <v>35</v>
      </c>
      <c r="B132" s="22" t="s">
        <v>36</v>
      </c>
      <c r="C132" s="23" t="s">
        <v>605</v>
      </c>
      <c r="D132" s="6" t="s">
        <v>4</v>
      </c>
      <c r="E132" s="22" t="s">
        <v>923</v>
      </c>
      <c r="F132" s="22" t="s">
        <v>924</v>
      </c>
      <c r="G132" s="22" t="s">
        <v>925</v>
      </c>
      <c r="H132" s="29" t="s">
        <v>926</v>
      </c>
    </row>
    <row r="133" ht="20" customHeight="1" spans="1:8" x14ac:dyDescent="0.25">
      <c r="A133" s="24" t="s">
        <v>37</v>
      </c>
      <c r="B133" s="24" t="s">
        <v>38</v>
      </c>
      <c r="C133" s="25" t="s">
        <v>605</v>
      </c>
      <c r="D133" s="31" t="s">
        <v>11</v>
      </c>
      <c r="E133" s="24" t="s">
        <v>12</v>
      </c>
      <c r="F133" s="24" t="s">
        <v>12</v>
      </c>
      <c r="G133" s="24" t="s">
        <v>12</v>
      </c>
      <c r="H133" s="24" t="s">
        <v>32</v>
      </c>
    </row>
    <row r="134" ht="20" customHeight="1" spans="1:8" x14ac:dyDescent="0.25">
      <c r="A134" s="22" t="s">
        <v>39</v>
      </c>
      <c r="B134" s="22" t="s">
        <v>40</v>
      </c>
      <c r="C134" s="23" t="s">
        <v>605</v>
      </c>
      <c r="D134" s="6" t="s">
        <v>4</v>
      </c>
      <c r="E134" s="22" t="s">
        <v>340</v>
      </c>
      <c r="F134" s="22" t="s">
        <v>12</v>
      </c>
      <c r="G134" s="22" t="s">
        <v>889</v>
      </c>
      <c r="H134" s="29" t="s">
        <v>342</v>
      </c>
    </row>
    <row r="135" ht="20" customHeight="1" spans="1:8" x14ac:dyDescent="0.25">
      <c r="A135" s="24" t="s">
        <v>41</v>
      </c>
      <c r="B135" s="24" t="s">
        <v>42</v>
      </c>
      <c r="C135" s="25" t="s">
        <v>605</v>
      </c>
      <c r="D135" s="33" t="s">
        <v>86</v>
      </c>
      <c r="E135" s="24" t="s">
        <v>12</v>
      </c>
      <c r="F135" s="24" t="s">
        <v>12</v>
      </c>
      <c r="G135" s="24" t="s">
        <v>12</v>
      </c>
      <c r="H135" s="24" t="s">
        <v>32</v>
      </c>
    </row>
    <row r="136" ht="20" customHeight="1" spans="1:8" x14ac:dyDescent="0.25">
      <c r="A136" s="22" t="s">
        <v>44</v>
      </c>
      <c r="B136" s="22" t="s">
        <v>45</v>
      </c>
      <c r="C136" s="23" t="s">
        <v>605</v>
      </c>
      <c r="D136" s="6" t="s">
        <v>4</v>
      </c>
      <c r="E136" s="22" t="s">
        <v>927</v>
      </c>
      <c r="F136" s="22" t="s">
        <v>12</v>
      </c>
      <c r="G136" s="22" t="s">
        <v>889</v>
      </c>
      <c r="H136" s="29" t="s">
        <v>928</v>
      </c>
    </row>
    <row r="137" ht="20" customHeight="1" spans="1:8" x14ac:dyDescent="0.25">
      <c r="A137" s="24" t="s">
        <v>46</v>
      </c>
      <c r="B137" s="24" t="s">
        <v>31</v>
      </c>
      <c r="C137" s="25" t="s">
        <v>605</v>
      </c>
      <c r="D137" s="6" t="s">
        <v>4</v>
      </c>
      <c r="E137" s="24" t="s">
        <v>929</v>
      </c>
      <c r="F137" s="24" t="s">
        <v>779</v>
      </c>
      <c r="G137" s="24" t="s">
        <v>81</v>
      </c>
      <c r="H137" s="34" t="s">
        <v>930</v>
      </c>
    </row>
    <row r="138" ht="20" customHeight="1" spans="1:8" x14ac:dyDescent="0.25">
      <c r="A138" s="22" t="s">
        <v>47</v>
      </c>
      <c r="B138" s="22" t="s">
        <v>34</v>
      </c>
      <c r="C138" s="23" t="s">
        <v>605</v>
      </c>
      <c r="D138" s="6" t="s">
        <v>4</v>
      </c>
      <c r="E138" s="22" t="s">
        <v>205</v>
      </c>
      <c r="F138" s="22" t="s">
        <v>931</v>
      </c>
      <c r="G138" s="22" t="s">
        <v>822</v>
      </c>
      <c r="H138" s="29" t="s">
        <v>207</v>
      </c>
    </row>
    <row r="139" ht="20" customHeight="1" spans="1:8" x14ac:dyDescent="0.25">
      <c r="A139" s="24" t="s">
        <v>48</v>
      </c>
      <c r="B139" s="24" t="s">
        <v>36</v>
      </c>
      <c r="C139" s="25" t="s">
        <v>605</v>
      </c>
      <c r="D139" s="6" t="s">
        <v>4</v>
      </c>
      <c r="E139" s="24" t="s">
        <v>932</v>
      </c>
      <c r="F139" s="24" t="s">
        <v>933</v>
      </c>
      <c r="G139" s="24" t="s">
        <v>934</v>
      </c>
      <c r="H139" s="34" t="s">
        <v>935</v>
      </c>
    </row>
    <row r="140" ht="20" customHeight="1" spans="1:8" x14ac:dyDescent="0.25">
      <c r="A140" s="22" t="s">
        <v>49</v>
      </c>
      <c r="B140" s="22" t="s">
        <v>38</v>
      </c>
      <c r="C140" s="23" t="s">
        <v>605</v>
      </c>
      <c r="D140" s="6" t="s">
        <v>4</v>
      </c>
      <c r="E140" s="22" t="s">
        <v>330</v>
      </c>
      <c r="F140" s="22" t="s">
        <v>936</v>
      </c>
      <c r="G140" s="22" t="s">
        <v>937</v>
      </c>
      <c r="H140" s="29" t="s">
        <v>333</v>
      </c>
    </row>
    <row r="141" ht="20" customHeight="1" spans="1:8" x14ac:dyDescent="0.25">
      <c r="A141" s="24" t="s">
        <v>50</v>
      </c>
      <c r="B141" s="24" t="s">
        <v>40</v>
      </c>
      <c r="C141" s="25" t="s">
        <v>605</v>
      </c>
      <c r="D141" s="33" t="s">
        <v>86</v>
      </c>
      <c r="E141" s="24" t="s">
        <v>12</v>
      </c>
      <c r="F141" s="24" t="s">
        <v>12</v>
      </c>
      <c r="G141" s="24" t="s">
        <v>12</v>
      </c>
      <c r="H141" s="24" t="s">
        <v>32</v>
      </c>
    </row>
    <row r="142" ht="20" customHeight="1" spans="1:8" x14ac:dyDescent="0.25">
      <c r="A142" s="22" t="s">
        <v>51</v>
      </c>
      <c r="B142" s="22" t="s">
        <v>42</v>
      </c>
      <c r="C142" s="23" t="s">
        <v>605</v>
      </c>
      <c r="D142" s="35" t="s">
        <v>86</v>
      </c>
      <c r="E142" s="22" t="s">
        <v>12</v>
      </c>
      <c r="F142" s="22" t="s">
        <v>12</v>
      </c>
      <c r="G142" s="22" t="s">
        <v>12</v>
      </c>
      <c r="H142" s="22" t="s">
        <v>32</v>
      </c>
    </row>
    <row r="143" ht="20" customHeight="1" spans="1:8" x14ac:dyDescent="0.25">
      <c r="A143" s="24" t="s">
        <v>52</v>
      </c>
      <c r="B143" s="24" t="s">
        <v>45</v>
      </c>
      <c r="C143" s="25" t="s">
        <v>605</v>
      </c>
      <c r="D143" s="6" t="s">
        <v>4</v>
      </c>
      <c r="E143" s="24" t="s">
        <v>938</v>
      </c>
      <c r="F143" s="24" t="s">
        <v>12</v>
      </c>
      <c r="G143" s="24" t="s">
        <v>889</v>
      </c>
      <c r="H143" s="34" t="s">
        <v>840</v>
      </c>
    </row>
    <row r="144" ht="20" customHeight="1" spans="1:8" x14ac:dyDescent="0.25">
      <c r="A144" s="22" t="s">
        <v>53</v>
      </c>
      <c r="B144" s="22" t="s">
        <v>31</v>
      </c>
      <c r="C144" s="23" t="s">
        <v>605</v>
      </c>
      <c r="D144" s="10" t="s">
        <v>87</v>
      </c>
      <c r="E144" s="22" t="s">
        <v>12</v>
      </c>
      <c r="F144" s="22" t="s">
        <v>12</v>
      </c>
      <c r="G144" s="22" t="s">
        <v>12</v>
      </c>
      <c r="H144" s="22" t="s">
        <v>32</v>
      </c>
    </row>
    <row r="145" ht="20" customHeight="1" spans="1:8" x14ac:dyDescent="0.25">
      <c r="A145" s="24" t="s">
        <v>54</v>
      </c>
      <c r="B145" s="24" t="s">
        <v>34</v>
      </c>
      <c r="C145" s="25" t="s">
        <v>605</v>
      </c>
      <c r="D145" s="10" t="s">
        <v>87</v>
      </c>
      <c r="E145" s="24" t="s">
        <v>12</v>
      </c>
      <c r="F145" s="24" t="s">
        <v>12</v>
      </c>
      <c r="G145" s="24" t="s">
        <v>12</v>
      </c>
      <c r="H145" s="24" t="s">
        <v>32</v>
      </c>
    </row>
    <row r="146" ht="20" customHeight="1" spans="1:8" x14ac:dyDescent="0.25">
      <c r="A146" s="22" t="s">
        <v>55</v>
      </c>
      <c r="B146" s="22" t="s">
        <v>36</v>
      </c>
      <c r="C146" s="23" t="s">
        <v>605</v>
      </c>
      <c r="D146" s="6" t="s">
        <v>4</v>
      </c>
      <c r="E146" s="22" t="s">
        <v>939</v>
      </c>
      <c r="F146" s="22" t="s">
        <v>940</v>
      </c>
      <c r="G146" s="22" t="s">
        <v>142</v>
      </c>
      <c r="H146" s="29" t="s">
        <v>941</v>
      </c>
    </row>
    <row r="147" ht="20" customHeight="1" spans="1:8" x14ac:dyDescent="0.25">
      <c r="A147" s="24" t="s">
        <v>56</v>
      </c>
      <c r="B147" s="24" t="s">
        <v>38</v>
      </c>
      <c r="C147" s="25" t="s">
        <v>605</v>
      </c>
      <c r="D147" s="6" t="s">
        <v>4</v>
      </c>
      <c r="E147" s="24" t="s">
        <v>942</v>
      </c>
      <c r="F147" s="24" t="s">
        <v>746</v>
      </c>
      <c r="G147" s="24" t="s">
        <v>206</v>
      </c>
      <c r="H147" s="34" t="s">
        <v>943</v>
      </c>
    </row>
    <row r="148" ht="20" customHeight="1" spans="1:8" x14ac:dyDescent="0.25">
      <c r="A148" s="22" t="s">
        <v>57</v>
      </c>
      <c r="B148" s="22" t="s">
        <v>40</v>
      </c>
      <c r="C148" s="23" t="s">
        <v>605</v>
      </c>
      <c r="D148" s="6" t="s">
        <v>4</v>
      </c>
      <c r="E148" s="22" t="s">
        <v>199</v>
      </c>
      <c r="F148" s="22" t="s">
        <v>944</v>
      </c>
      <c r="G148" s="22" t="s">
        <v>822</v>
      </c>
      <c r="H148" s="29" t="s">
        <v>200</v>
      </c>
    </row>
    <row r="149" ht="20" customHeight="1" spans="1:8" x14ac:dyDescent="0.25">
      <c r="A149" s="24" t="s">
        <v>58</v>
      </c>
      <c r="B149" s="24" t="s">
        <v>42</v>
      </c>
      <c r="C149" s="25" t="s">
        <v>605</v>
      </c>
      <c r="D149" s="33" t="s">
        <v>86</v>
      </c>
      <c r="E149" s="24" t="s">
        <v>12</v>
      </c>
      <c r="F149" s="24" t="s">
        <v>12</v>
      </c>
      <c r="G149" s="24" t="s">
        <v>12</v>
      </c>
      <c r="H149" s="24" t="s">
        <v>32</v>
      </c>
    </row>
    <row r="150" ht="20" customHeight="1" spans="1:8" x14ac:dyDescent="0.25">
      <c r="A150" s="22" t="s">
        <v>59</v>
      </c>
      <c r="B150" s="22" t="s">
        <v>45</v>
      </c>
      <c r="C150" s="23" t="s">
        <v>605</v>
      </c>
      <c r="D150" s="6" t="s">
        <v>4</v>
      </c>
      <c r="E150" s="22" t="s">
        <v>359</v>
      </c>
      <c r="F150" s="22" t="s">
        <v>499</v>
      </c>
      <c r="G150" s="22" t="s">
        <v>413</v>
      </c>
      <c r="H150" s="29" t="s">
        <v>360</v>
      </c>
    </row>
    <row r="151" ht="20" customHeight="1" spans="1:8" x14ac:dyDescent="0.25">
      <c r="A151" s="24" t="s">
        <v>60</v>
      </c>
      <c r="B151" s="24" t="s">
        <v>31</v>
      </c>
      <c r="C151" s="25" t="s">
        <v>605</v>
      </c>
      <c r="D151" s="6" t="s">
        <v>4</v>
      </c>
      <c r="E151" s="24" t="s">
        <v>181</v>
      </c>
      <c r="F151" s="24" t="s">
        <v>945</v>
      </c>
      <c r="G151" s="24" t="s">
        <v>946</v>
      </c>
      <c r="H151" s="34" t="s">
        <v>184</v>
      </c>
    </row>
    <row r="152" ht="20" customHeight="1" spans="1:8" x14ac:dyDescent="0.25">
      <c r="A152" s="22" t="s">
        <v>61</v>
      </c>
      <c r="B152" s="22" t="s">
        <v>34</v>
      </c>
      <c r="C152" s="23" t="s">
        <v>605</v>
      </c>
      <c r="D152" s="6" t="s">
        <v>4</v>
      </c>
      <c r="E152" s="22" t="s">
        <v>365</v>
      </c>
      <c r="F152" s="22" t="s">
        <v>499</v>
      </c>
      <c r="G152" s="22" t="s">
        <v>947</v>
      </c>
      <c r="H152" s="29" t="s">
        <v>368</v>
      </c>
    </row>
    <row r="153" ht="20" customHeight="1" spans="1:8" x14ac:dyDescent="0.25">
      <c r="A153" s="24" t="s">
        <v>62</v>
      </c>
      <c r="B153" s="24" t="s">
        <v>36</v>
      </c>
      <c r="C153" s="25" t="s">
        <v>605</v>
      </c>
      <c r="D153" s="6" t="s">
        <v>4</v>
      </c>
      <c r="E153" s="24" t="s">
        <v>948</v>
      </c>
      <c r="F153" s="24" t="s">
        <v>520</v>
      </c>
      <c r="G153" s="24" t="s">
        <v>137</v>
      </c>
      <c r="H153" s="34" t="s">
        <v>949</v>
      </c>
    </row>
    <row r="154" ht="20" customHeight="1" spans="1:8" x14ac:dyDescent="0.25">
      <c r="A154" s="22" t="s">
        <v>63</v>
      </c>
      <c r="B154" s="22" t="s">
        <v>38</v>
      </c>
      <c r="C154" s="23" t="s">
        <v>605</v>
      </c>
      <c r="D154" s="6" t="s">
        <v>4</v>
      </c>
      <c r="E154" s="22" t="s">
        <v>239</v>
      </c>
      <c r="F154" s="22" t="s">
        <v>331</v>
      </c>
      <c r="G154" s="22" t="s">
        <v>763</v>
      </c>
      <c r="H154" s="29" t="s">
        <v>241</v>
      </c>
    </row>
    <row r="155" ht="20" customHeight="1" spans="1:8" x14ac:dyDescent="0.25">
      <c r="A155" s="24" t="s">
        <v>64</v>
      </c>
      <c r="B155" s="24" t="s">
        <v>40</v>
      </c>
      <c r="C155" s="25" t="s">
        <v>605</v>
      </c>
      <c r="D155" s="6" t="s">
        <v>4</v>
      </c>
      <c r="E155" s="24" t="s">
        <v>466</v>
      </c>
      <c r="F155" s="24" t="s">
        <v>467</v>
      </c>
      <c r="G155" s="24" t="s">
        <v>291</v>
      </c>
      <c r="H155" s="34" t="s">
        <v>468</v>
      </c>
    </row>
    <row r="156" ht="20" customHeight="1" spans="1:8" x14ac:dyDescent="0.25">
      <c r="A156" s="22" t="s">
        <v>65</v>
      </c>
      <c r="B156" s="22" t="s">
        <v>42</v>
      </c>
      <c r="C156" s="23" t="s">
        <v>605</v>
      </c>
      <c r="D156" s="35" t="s">
        <v>86</v>
      </c>
      <c r="E156" s="22" t="s">
        <v>12</v>
      </c>
      <c r="F156" s="22" t="s">
        <v>12</v>
      </c>
      <c r="G156" s="22" t="s">
        <v>12</v>
      </c>
      <c r="H156" s="22" t="s">
        <v>32</v>
      </c>
    </row>
    <row r="157" ht="20" customHeight="1" spans="1:8" x14ac:dyDescent="0.25">
      <c r="A157" s="24" t="s">
        <v>66</v>
      </c>
      <c r="B157" s="24" t="s">
        <v>45</v>
      </c>
      <c r="C157" s="25" t="s">
        <v>605</v>
      </c>
      <c r="D157" s="6" t="s">
        <v>4</v>
      </c>
      <c r="E157" s="24" t="s">
        <v>201</v>
      </c>
      <c r="F157" s="24" t="s">
        <v>950</v>
      </c>
      <c r="G157" s="24" t="s">
        <v>97</v>
      </c>
      <c r="H157" s="34" t="s">
        <v>204</v>
      </c>
    </row>
    <row r="158" ht="20" customHeight="1" spans="1:8" x14ac:dyDescent="0.25">
      <c r="A158" s="22" t="s">
        <v>67</v>
      </c>
      <c r="B158" s="22" t="s">
        <v>31</v>
      </c>
      <c r="C158" s="23" t="s">
        <v>605</v>
      </c>
      <c r="D158" s="6" t="s">
        <v>4</v>
      </c>
      <c r="E158" s="22" t="s">
        <v>348</v>
      </c>
      <c r="F158" s="22" t="s">
        <v>477</v>
      </c>
      <c r="G158" s="22" t="s">
        <v>336</v>
      </c>
      <c r="H158" s="29" t="s">
        <v>351</v>
      </c>
    </row>
    <row r="159" ht="20" customHeight="1" spans="1:8" x14ac:dyDescent="0.25">
      <c r="A159" s="24" t="s">
        <v>68</v>
      </c>
      <c r="B159" s="24" t="s">
        <v>34</v>
      </c>
      <c r="C159" s="25" t="s">
        <v>605</v>
      </c>
      <c r="D159" s="6" t="s">
        <v>4</v>
      </c>
      <c r="E159" s="24" t="s">
        <v>254</v>
      </c>
      <c r="F159" s="24" t="s">
        <v>951</v>
      </c>
      <c r="G159" s="24" t="s">
        <v>952</v>
      </c>
      <c r="H159" s="34" t="s">
        <v>256</v>
      </c>
    </row>
    <row r="160" ht="22" customHeight="1" spans="1:8" x14ac:dyDescent="0.25">
      <c r="A160" s="26" t="s">
        <v>69</v>
      </c>
      <c r="B160" s="26"/>
      <c r="C160" s="26"/>
      <c r="D160" s="26"/>
      <c r="E160" s="26"/>
      <c r="F160" s="26"/>
      <c r="G160" s="27" t="s">
        <v>953</v>
      </c>
      <c r="H160" s="28" t="s">
        <v>12</v>
      </c>
    </row>
    <row r="162" ht="26" customHeight="1" spans="1:8" x14ac:dyDescent="0.25">
      <c r="A162" s="20" t="s">
        <v>954</v>
      </c>
      <c r="B162" s="20"/>
      <c r="C162" s="20"/>
      <c r="D162" s="20"/>
      <c r="E162" s="20"/>
      <c r="F162" s="20"/>
      <c r="G162" s="20"/>
      <c r="H162" s="20"/>
    </row>
    <row r="163" ht="22" customHeight="1" spans="1:8" x14ac:dyDescent="0.25">
      <c r="A163" s="21" t="s">
        <v>22</v>
      </c>
      <c r="B163" s="21" t="s">
        <v>23</v>
      </c>
      <c r="C163" s="21" t="s">
        <v>24</v>
      </c>
      <c r="D163" s="21" t="s">
        <v>25</v>
      </c>
      <c r="E163" s="21" t="s">
        <v>26</v>
      </c>
      <c r="F163" s="21" t="s">
        <v>27</v>
      </c>
      <c r="G163" s="21" t="s">
        <v>28</v>
      </c>
      <c r="H163" s="21" t="s">
        <v>29</v>
      </c>
    </row>
    <row r="164" ht="20" customHeight="1" spans="1:8" x14ac:dyDescent="0.25">
      <c r="A164" s="22" t="s">
        <v>30</v>
      </c>
      <c r="B164" s="22" t="s">
        <v>31</v>
      </c>
      <c r="C164" s="23" t="s">
        <v>71</v>
      </c>
      <c r="D164" s="6" t="s">
        <v>4</v>
      </c>
      <c r="E164" s="22" t="s">
        <v>199</v>
      </c>
      <c r="F164" s="22" t="s">
        <v>623</v>
      </c>
      <c r="G164" s="22" t="s">
        <v>955</v>
      </c>
      <c r="H164" s="29" t="s">
        <v>956</v>
      </c>
    </row>
    <row r="165" ht="20" customHeight="1" spans="1:8" x14ac:dyDescent="0.25">
      <c r="A165" s="24" t="s">
        <v>33</v>
      </c>
      <c r="B165" s="24" t="s">
        <v>34</v>
      </c>
      <c r="C165" s="25" t="s">
        <v>71</v>
      </c>
      <c r="D165" s="6" t="s">
        <v>4</v>
      </c>
      <c r="E165" s="24" t="s">
        <v>262</v>
      </c>
      <c r="F165" s="24" t="s">
        <v>750</v>
      </c>
      <c r="G165" s="24" t="s">
        <v>281</v>
      </c>
      <c r="H165" s="34" t="s">
        <v>264</v>
      </c>
    </row>
    <row r="166" ht="20" customHeight="1" spans="1:8" x14ac:dyDescent="0.25">
      <c r="A166" s="22" t="s">
        <v>35</v>
      </c>
      <c r="B166" s="22" t="s">
        <v>36</v>
      </c>
      <c r="C166" s="23" t="s">
        <v>71</v>
      </c>
      <c r="D166" s="6" t="s">
        <v>4</v>
      </c>
      <c r="E166" s="22" t="s">
        <v>212</v>
      </c>
      <c r="F166" s="22" t="s">
        <v>84</v>
      </c>
      <c r="G166" s="22" t="s">
        <v>232</v>
      </c>
      <c r="H166" s="29" t="s">
        <v>215</v>
      </c>
    </row>
    <row r="167" ht="20" customHeight="1" spans="1:8" x14ac:dyDescent="0.25">
      <c r="A167" s="24" t="s">
        <v>37</v>
      </c>
      <c r="B167" s="24" t="s">
        <v>38</v>
      </c>
      <c r="C167" s="25" t="s">
        <v>71</v>
      </c>
      <c r="D167" s="31" t="s">
        <v>11</v>
      </c>
      <c r="E167" s="24" t="s">
        <v>12</v>
      </c>
      <c r="F167" s="24" t="s">
        <v>12</v>
      </c>
      <c r="G167" s="24" t="s">
        <v>12</v>
      </c>
      <c r="H167" s="24" t="s">
        <v>32</v>
      </c>
    </row>
    <row r="168" ht="20" customHeight="1" spans="1:8" x14ac:dyDescent="0.25">
      <c r="A168" s="22" t="s">
        <v>39</v>
      </c>
      <c r="B168" s="22" t="s">
        <v>40</v>
      </c>
      <c r="C168" s="23" t="s">
        <v>71</v>
      </c>
      <c r="D168" s="6" t="s">
        <v>4</v>
      </c>
      <c r="E168" s="22" t="s">
        <v>201</v>
      </c>
      <c r="F168" s="22" t="s">
        <v>245</v>
      </c>
      <c r="G168" s="22" t="s">
        <v>99</v>
      </c>
      <c r="H168" s="29" t="s">
        <v>204</v>
      </c>
    </row>
    <row r="169" ht="20" customHeight="1" spans="1:8" x14ac:dyDescent="0.25">
      <c r="A169" s="24" t="s">
        <v>41</v>
      </c>
      <c r="B169" s="24" t="s">
        <v>42</v>
      </c>
      <c r="C169" s="25" t="s">
        <v>71</v>
      </c>
      <c r="D169" s="33" t="s">
        <v>86</v>
      </c>
      <c r="E169" s="24" t="s">
        <v>12</v>
      </c>
      <c r="F169" s="24" t="s">
        <v>12</v>
      </c>
      <c r="G169" s="24" t="s">
        <v>12</v>
      </c>
      <c r="H169" s="24" t="s">
        <v>32</v>
      </c>
    </row>
    <row r="170" ht="20" customHeight="1" spans="1:8" x14ac:dyDescent="0.25">
      <c r="A170" s="22" t="s">
        <v>44</v>
      </c>
      <c r="B170" s="22" t="s">
        <v>45</v>
      </c>
      <c r="C170" s="23" t="s">
        <v>71</v>
      </c>
      <c r="D170" s="6" t="s">
        <v>4</v>
      </c>
      <c r="E170" s="22" t="s">
        <v>228</v>
      </c>
      <c r="F170" s="22" t="s">
        <v>193</v>
      </c>
      <c r="G170" s="22" t="s">
        <v>283</v>
      </c>
      <c r="H170" s="29" t="s">
        <v>229</v>
      </c>
    </row>
    <row r="171" ht="20" customHeight="1" spans="1:8" x14ac:dyDescent="0.25">
      <c r="A171" s="24" t="s">
        <v>46</v>
      </c>
      <c r="B171" s="24" t="s">
        <v>31</v>
      </c>
      <c r="C171" s="25" t="s">
        <v>71</v>
      </c>
      <c r="D171" s="6" t="s">
        <v>4</v>
      </c>
      <c r="E171" s="24" t="s">
        <v>239</v>
      </c>
      <c r="F171" s="24" t="s">
        <v>186</v>
      </c>
      <c r="G171" s="24" t="s">
        <v>206</v>
      </c>
      <c r="H171" s="34" t="s">
        <v>241</v>
      </c>
    </row>
    <row r="172" ht="20" customHeight="1" spans="1:8" x14ac:dyDescent="0.25">
      <c r="A172" s="22" t="s">
        <v>47</v>
      </c>
      <c r="B172" s="22" t="s">
        <v>34</v>
      </c>
      <c r="C172" s="23" t="s">
        <v>71</v>
      </c>
      <c r="D172" s="6" t="s">
        <v>4</v>
      </c>
      <c r="E172" s="22" t="s">
        <v>257</v>
      </c>
      <c r="F172" s="22" t="s">
        <v>213</v>
      </c>
      <c r="G172" s="22" t="s">
        <v>329</v>
      </c>
      <c r="H172" s="29" t="s">
        <v>260</v>
      </c>
    </row>
    <row r="173" ht="20" customHeight="1" spans="1:8" x14ac:dyDescent="0.25">
      <c r="A173" s="24" t="s">
        <v>48</v>
      </c>
      <c r="B173" s="24" t="s">
        <v>36</v>
      </c>
      <c r="C173" s="25" t="s">
        <v>71</v>
      </c>
      <c r="D173" s="6" t="s">
        <v>4</v>
      </c>
      <c r="E173" s="24" t="s">
        <v>923</v>
      </c>
      <c r="F173" s="24" t="s">
        <v>750</v>
      </c>
      <c r="G173" s="24" t="s">
        <v>393</v>
      </c>
      <c r="H173" s="34" t="s">
        <v>926</v>
      </c>
    </row>
    <row r="174" ht="20" customHeight="1" spans="1:8" x14ac:dyDescent="0.25">
      <c r="A174" s="22" t="s">
        <v>49</v>
      </c>
      <c r="B174" s="22" t="s">
        <v>38</v>
      </c>
      <c r="C174" s="23" t="s">
        <v>71</v>
      </c>
      <c r="D174" s="6" t="s">
        <v>4</v>
      </c>
      <c r="E174" s="22" t="s">
        <v>152</v>
      </c>
      <c r="F174" s="22" t="s">
        <v>170</v>
      </c>
      <c r="G174" s="22" t="s">
        <v>250</v>
      </c>
      <c r="H174" s="29" t="s">
        <v>155</v>
      </c>
    </row>
    <row r="175" ht="20" customHeight="1" spans="1:8" x14ac:dyDescent="0.25">
      <c r="A175" s="24" t="s">
        <v>50</v>
      </c>
      <c r="B175" s="24" t="s">
        <v>40</v>
      </c>
      <c r="C175" s="25" t="s">
        <v>71</v>
      </c>
      <c r="D175" s="33" t="s">
        <v>86</v>
      </c>
      <c r="E175" s="24" t="s">
        <v>12</v>
      </c>
      <c r="F175" s="24" t="s">
        <v>12</v>
      </c>
      <c r="G175" s="24" t="s">
        <v>12</v>
      </c>
      <c r="H175" s="24" t="s">
        <v>32</v>
      </c>
    </row>
    <row r="176" ht="20" customHeight="1" spans="1:8" x14ac:dyDescent="0.25">
      <c r="A176" s="22" t="s">
        <v>51</v>
      </c>
      <c r="B176" s="22" t="s">
        <v>42</v>
      </c>
      <c r="C176" s="23" t="s">
        <v>71</v>
      </c>
      <c r="D176" s="35" t="s">
        <v>86</v>
      </c>
      <c r="E176" s="22" t="s">
        <v>12</v>
      </c>
      <c r="F176" s="22" t="s">
        <v>12</v>
      </c>
      <c r="G176" s="22" t="s">
        <v>12</v>
      </c>
      <c r="H176" s="22" t="s">
        <v>32</v>
      </c>
    </row>
    <row r="177" ht="20" customHeight="1" spans="1:8" x14ac:dyDescent="0.25">
      <c r="A177" s="24" t="s">
        <v>52</v>
      </c>
      <c r="B177" s="24" t="s">
        <v>45</v>
      </c>
      <c r="C177" s="25" t="s">
        <v>71</v>
      </c>
      <c r="D177" s="10" t="s">
        <v>87</v>
      </c>
      <c r="E177" s="24" t="s">
        <v>12</v>
      </c>
      <c r="F177" s="24" t="s">
        <v>12</v>
      </c>
      <c r="G177" s="24" t="s">
        <v>12</v>
      </c>
      <c r="H177" s="24" t="s">
        <v>32</v>
      </c>
    </row>
    <row r="178" ht="20" customHeight="1" spans="1:8" x14ac:dyDescent="0.25">
      <c r="A178" s="22" t="s">
        <v>53</v>
      </c>
      <c r="B178" s="22" t="s">
        <v>31</v>
      </c>
      <c r="C178" s="23" t="s">
        <v>71</v>
      </c>
      <c r="D178" s="6" t="s">
        <v>4</v>
      </c>
      <c r="E178" s="22" t="s">
        <v>878</v>
      </c>
      <c r="F178" s="22" t="s">
        <v>255</v>
      </c>
      <c r="G178" s="22" t="s">
        <v>263</v>
      </c>
      <c r="H178" s="29" t="s">
        <v>879</v>
      </c>
    </row>
    <row r="179" ht="20" customHeight="1" spans="1:8" x14ac:dyDescent="0.25">
      <c r="A179" s="24" t="s">
        <v>54</v>
      </c>
      <c r="B179" s="24" t="s">
        <v>34</v>
      </c>
      <c r="C179" s="25" t="s">
        <v>71</v>
      </c>
      <c r="D179" s="6" t="s">
        <v>4</v>
      </c>
      <c r="E179" s="24" t="s">
        <v>257</v>
      </c>
      <c r="F179" s="24" t="s">
        <v>439</v>
      </c>
      <c r="G179" s="24" t="s">
        <v>290</v>
      </c>
      <c r="H179" s="34" t="s">
        <v>260</v>
      </c>
    </row>
    <row r="180" ht="20" customHeight="1" spans="1:8" x14ac:dyDescent="0.25">
      <c r="A180" s="22" t="s">
        <v>55</v>
      </c>
      <c r="B180" s="22" t="s">
        <v>36</v>
      </c>
      <c r="C180" s="23" t="s">
        <v>71</v>
      </c>
      <c r="D180" s="6" t="s">
        <v>4</v>
      </c>
      <c r="E180" s="22" t="s">
        <v>201</v>
      </c>
      <c r="F180" s="22" t="s">
        <v>957</v>
      </c>
      <c r="G180" s="22" t="s">
        <v>302</v>
      </c>
      <c r="H180" s="29" t="s">
        <v>204</v>
      </c>
    </row>
    <row r="181" ht="20" customHeight="1" spans="1:8" x14ac:dyDescent="0.25">
      <c r="A181" s="24" t="s">
        <v>56</v>
      </c>
      <c r="B181" s="24" t="s">
        <v>38</v>
      </c>
      <c r="C181" s="25" t="s">
        <v>71</v>
      </c>
      <c r="D181" s="6" t="s">
        <v>4</v>
      </c>
      <c r="E181" s="24" t="s">
        <v>958</v>
      </c>
      <c r="F181" s="24" t="s">
        <v>197</v>
      </c>
      <c r="G181" s="24" t="s">
        <v>959</v>
      </c>
      <c r="H181" s="34" t="s">
        <v>960</v>
      </c>
    </row>
    <row r="182" ht="20" customHeight="1" spans="1:8" x14ac:dyDescent="0.25">
      <c r="A182" s="22" t="s">
        <v>57</v>
      </c>
      <c r="B182" s="22" t="s">
        <v>40</v>
      </c>
      <c r="C182" s="23" t="s">
        <v>71</v>
      </c>
      <c r="D182" s="6" t="s">
        <v>4</v>
      </c>
      <c r="E182" s="22" t="s">
        <v>163</v>
      </c>
      <c r="F182" s="22" t="s">
        <v>126</v>
      </c>
      <c r="G182" s="22" t="s">
        <v>206</v>
      </c>
      <c r="H182" s="29" t="s">
        <v>166</v>
      </c>
    </row>
    <row r="183" ht="20" customHeight="1" spans="1:8" x14ac:dyDescent="0.25">
      <c r="A183" s="24" t="s">
        <v>58</v>
      </c>
      <c r="B183" s="24" t="s">
        <v>42</v>
      </c>
      <c r="C183" s="25" t="s">
        <v>71</v>
      </c>
      <c r="D183" s="33" t="s">
        <v>86</v>
      </c>
      <c r="E183" s="24" t="s">
        <v>12</v>
      </c>
      <c r="F183" s="24" t="s">
        <v>12</v>
      </c>
      <c r="G183" s="24" t="s">
        <v>12</v>
      </c>
      <c r="H183" s="24" t="s">
        <v>32</v>
      </c>
    </row>
    <row r="184" ht="20" customHeight="1" spans="1:8" x14ac:dyDescent="0.25">
      <c r="A184" s="22" t="s">
        <v>59</v>
      </c>
      <c r="B184" s="22" t="s">
        <v>45</v>
      </c>
      <c r="C184" s="23" t="s">
        <v>71</v>
      </c>
      <c r="D184" s="6" t="s">
        <v>4</v>
      </c>
      <c r="E184" s="22" t="s">
        <v>181</v>
      </c>
      <c r="F184" s="22" t="s">
        <v>957</v>
      </c>
      <c r="G184" s="22" t="s">
        <v>177</v>
      </c>
      <c r="H184" s="29" t="s">
        <v>184</v>
      </c>
    </row>
    <row r="185" ht="20" customHeight="1" spans="1:8" x14ac:dyDescent="0.25">
      <c r="A185" s="24" t="s">
        <v>60</v>
      </c>
      <c r="B185" s="24" t="s">
        <v>31</v>
      </c>
      <c r="C185" s="25" t="s">
        <v>71</v>
      </c>
      <c r="D185" s="6" t="s">
        <v>4</v>
      </c>
      <c r="E185" s="24" t="s">
        <v>547</v>
      </c>
      <c r="F185" s="24" t="s">
        <v>772</v>
      </c>
      <c r="G185" s="24" t="s">
        <v>291</v>
      </c>
      <c r="H185" s="34" t="s">
        <v>548</v>
      </c>
    </row>
    <row r="186" ht="20" customHeight="1" spans="1:8" x14ac:dyDescent="0.25">
      <c r="A186" s="22" t="s">
        <v>61</v>
      </c>
      <c r="B186" s="22" t="s">
        <v>34</v>
      </c>
      <c r="C186" s="23" t="s">
        <v>71</v>
      </c>
      <c r="D186" s="6" t="s">
        <v>4</v>
      </c>
      <c r="E186" s="22" t="s">
        <v>152</v>
      </c>
      <c r="F186" s="22" t="s">
        <v>961</v>
      </c>
      <c r="G186" s="22" t="s">
        <v>134</v>
      </c>
      <c r="H186" s="29" t="s">
        <v>155</v>
      </c>
    </row>
    <row r="187" ht="20" customHeight="1" spans="1:8" x14ac:dyDescent="0.25">
      <c r="A187" s="24" t="s">
        <v>62</v>
      </c>
      <c r="B187" s="24" t="s">
        <v>36</v>
      </c>
      <c r="C187" s="25" t="s">
        <v>71</v>
      </c>
      <c r="D187" s="6" t="s">
        <v>4</v>
      </c>
      <c r="E187" s="24" t="s">
        <v>322</v>
      </c>
      <c r="F187" s="24" t="s">
        <v>157</v>
      </c>
      <c r="G187" s="24" t="s">
        <v>406</v>
      </c>
      <c r="H187" s="34" t="s">
        <v>323</v>
      </c>
    </row>
    <row r="188" ht="20" customHeight="1" spans="1:8" x14ac:dyDescent="0.25">
      <c r="A188" s="22" t="s">
        <v>63</v>
      </c>
      <c r="B188" s="22" t="s">
        <v>38</v>
      </c>
      <c r="C188" s="23" t="s">
        <v>71</v>
      </c>
      <c r="D188" s="6" t="s">
        <v>4</v>
      </c>
      <c r="E188" s="22" t="s">
        <v>254</v>
      </c>
      <c r="F188" s="22" t="s">
        <v>363</v>
      </c>
      <c r="G188" s="22" t="s">
        <v>232</v>
      </c>
      <c r="H188" s="29" t="s">
        <v>256</v>
      </c>
    </row>
    <row r="189" ht="20" customHeight="1" spans="1:8" x14ac:dyDescent="0.25">
      <c r="A189" s="24" t="s">
        <v>64</v>
      </c>
      <c r="B189" s="24" t="s">
        <v>40</v>
      </c>
      <c r="C189" s="25" t="s">
        <v>71</v>
      </c>
      <c r="D189" s="6" t="s">
        <v>4</v>
      </c>
      <c r="E189" s="24" t="s">
        <v>199</v>
      </c>
      <c r="F189" s="24" t="s">
        <v>153</v>
      </c>
      <c r="G189" s="24" t="s">
        <v>161</v>
      </c>
      <c r="H189" s="34" t="s">
        <v>200</v>
      </c>
    </row>
    <row r="190" ht="20" customHeight="1" spans="1:8" x14ac:dyDescent="0.25">
      <c r="A190" s="22" t="s">
        <v>65</v>
      </c>
      <c r="B190" s="22" t="s">
        <v>42</v>
      </c>
      <c r="C190" s="23" t="s">
        <v>71</v>
      </c>
      <c r="D190" s="35" t="s">
        <v>86</v>
      </c>
      <c r="E190" s="22" t="s">
        <v>12</v>
      </c>
      <c r="F190" s="22" t="s">
        <v>12</v>
      </c>
      <c r="G190" s="22" t="s">
        <v>12</v>
      </c>
      <c r="H190" s="22" t="s">
        <v>32</v>
      </c>
    </row>
    <row r="191" ht="20" customHeight="1" spans="1:8" x14ac:dyDescent="0.25">
      <c r="A191" s="24" t="s">
        <v>66</v>
      </c>
      <c r="B191" s="24" t="s">
        <v>45</v>
      </c>
      <c r="C191" s="25" t="s">
        <v>71</v>
      </c>
      <c r="D191" s="6" t="s">
        <v>4</v>
      </c>
      <c r="E191" s="24" t="s">
        <v>932</v>
      </c>
      <c r="F191" s="24" t="s">
        <v>962</v>
      </c>
      <c r="G191" s="24" t="s">
        <v>429</v>
      </c>
      <c r="H191" s="34" t="s">
        <v>935</v>
      </c>
    </row>
    <row r="192" ht="20" customHeight="1" spans="1:8" x14ac:dyDescent="0.25">
      <c r="A192" s="22" t="s">
        <v>67</v>
      </c>
      <c r="B192" s="22" t="s">
        <v>31</v>
      </c>
      <c r="C192" s="23" t="s">
        <v>71</v>
      </c>
      <c r="D192" s="6" t="s">
        <v>4</v>
      </c>
      <c r="E192" s="22" t="s">
        <v>230</v>
      </c>
      <c r="F192" s="22" t="s">
        <v>962</v>
      </c>
      <c r="G192" s="22" t="s">
        <v>406</v>
      </c>
      <c r="H192" s="29" t="s">
        <v>233</v>
      </c>
    </row>
    <row r="193" ht="20" customHeight="1" spans="1:8" x14ac:dyDescent="0.25">
      <c r="A193" s="24" t="s">
        <v>68</v>
      </c>
      <c r="B193" s="24" t="s">
        <v>34</v>
      </c>
      <c r="C193" s="25" t="s">
        <v>71</v>
      </c>
      <c r="D193" s="6" t="s">
        <v>4</v>
      </c>
      <c r="E193" s="24" t="s">
        <v>254</v>
      </c>
      <c r="F193" s="24" t="s">
        <v>354</v>
      </c>
      <c r="G193" s="24" t="s">
        <v>493</v>
      </c>
      <c r="H193" s="34" t="s">
        <v>256</v>
      </c>
    </row>
    <row r="194" ht="22" customHeight="1" spans="1:8" x14ac:dyDescent="0.25">
      <c r="A194" s="26" t="s">
        <v>69</v>
      </c>
      <c r="B194" s="26"/>
      <c r="C194" s="26"/>
      <c r="D194" s="26"/>
      <c r="E194" s="26"/>
      <c r="F194" s="26"/>
      <c r="G194" s="27" t="s">
        <v>963</v>
      </c>
      <c r="H194" s="28" t="s">
        <v>12</v>
      </c>
    </row>
    <row r="196" ht="26" customHeight="1" spans="1:8" x14ac:dyDescent="0.25">
      <c r="A196" s="20" t="s">
        <v>964</v>
      </c>
      <c r="B196" s="20"/>
      <c r="C196" s="20"/>
      <c r="D196" s="20"/>
      <c r="E196" s="20"/>
      <c r="F196" s="20"/>
      <c r="G196" s="20"/>
      <c r="H196" s="20"/>
    </row>
    <row r="197" ht="22" customHeight="1" spans="1:8" x14ac:dyDescent="0.25">
      <c r="A197" s="21" t="s">
        <v>22</v>
      </c>
      <c r="B197" s="21" t="s">
        <v>23</v>
      </c>
      <c r="C197" s="21" t="s">
        <v>24</v>
      </c>
      <c r="D197" s="21" t="s">
        <v>25</v>
      </c>
      <c r="E197" s="21" t="s">
        <v>26</v>
      </c>
      <c r="F197" s="21" t="s">
        <v>27</v>
      </c>
      <c r="G197" s="21" t="s">
        <v>28</v>
      </c>
      <c r="H197" s="21" t="s">
        <v>29</v>
      </c>
    </row>
    <row r="198" ht="20" customHeight="1" spans="1:8" x14ac:dyDescent="0.25">
      <c r="A198" s="22" t="s">
        <v>30</v>
      </c>
      <c r="B198" s="22" t="s">
        <v>31</v>
      </c>
      <c r="C198" s="23" t="s">
        <v>71</v>
      </c>
      <c r="D198" s="6" t="s">
        <v>4</v>
      </c>
      <c r="E198" s="22" t="s">
        <v>965</v>
      </c>
      <c r="F198" s="22" t="s">
        <v>759</v>
      </c>
      <c r="G198" s="22" t="s">
        <v>130</v>
      </c>
      <c r="H198" s="29" t="s">
        <v>966</v>
      </c>
    </row>
    <row r="199" ht="20" customHeight="1" spans="1:8" x14ac:dyDescent="0.25">
      <c r="A199" s="24" t="s">
        <v>33</v>
      </c>
      <c r="B199" s="24" t="s">
        <v>34</v>
      </c>
      <c r="C199" s="25" t="s">
        <v>71</v>
      </c>
      <c r="D199" s="6" t="s">
        <v>4</v>
      </c>
      <c r="E199" s="24" t="s">
        <v>196</v>
      </c>
      <c r="F199" s="24" t="s">
        <v>967</v>
      </c>
      <c r="G199" s="24" t="s">
        <v>177</v>
      </c>
      <c r="H199" s="34" t="s">
        <v>198</v>
      </c>
    </row>
    <row r="200" ht="20" customHeight="1" spans="1:8" x14ac:dyDescent="0.25">
      <c r="A200" s="22" t="s">
        <v>35</v>
      </c>
      <c r="B200" s="22" t="s">
        <v>36</v>
      </c>
      <c r="C200" s="23" t="s">
        <v>71</v>
      </c>
      <c r="D200" s="6" t="s">
        <v>4</v>
      </c>
      <c r="E200" s="22" t="s">
        <v>169</v>
      </c>
      <c r="F200" s="22" t="s">
        <v>12</v>
      </c>
      <c r="G200" s="22" t="s">
        <v>968</v>
      </c>
      <c r="H200" s="29" t="s">
        <v>969</v>
      </c>
    </row>
    <row r="201" ht="20" customHeight="1" spans="1:8" x14ac:dyDescent="0.25">
      <c r="A201" s="24" t="s">
        <v>37</v>
      </c>
      <c r="B201" s="24" t="s">
        <v>38</v>
      </c>
      <c r="C201" s="25" t="s">
        <v>71</v>
      </c>
      <c r="D201" s="31" t="s">
        <v>11</v>
      </c>
      <c r="E201" s="24" t="s">
        <v>12</v>
      </c>
      <c r="F201" s="24" t="s">
        <v>12</v>
      </c>
      <c r="G201" s="24" t="s">
        <v>12</v>
      </c>
      <c r="H201" s="24" t="s">
        <v>32</v>
      </c>
    </row>
    <row r="202" ht="20" customHeight="1" spans="1:8" x14ac:dyDescent="0.25">
      <c r="A202" s="22" t="s">
        <v>39</v>
      </c>
      <c r="B202" s="22" t="s">
        <v>40</v>
      </c>
      <c r="C202" s="23" t="s">
        <v>71</v>
      </c>
      <c r="D202" s="6" t="s">
        <v>4</v>
      </c>
      <c r="E202" s="22" t="s">
        <v>176</v>
      </c>
      <c r="F202" s="22" t="s">
        <v>970</v>
      </c>
      <c r="G202" s="22" t="s">
        <v>971</v>
      </c>
      <c r="H202" s="29" t="s">
        <v>178</v>
      </c>
    </row>
    <row r="203" ht="20" customHeight="1" spans="1:8" x14ac:dyDescent="0.25">
      <c r="A203" s="24" t="s">
        <v>41</v>
      </c>
      <c r="B203" s="24" t="s">
        <v>42</v>
      </c>
      <c r="C203" s="25" t="s">
        <v>71</v>
      </c>
      <c r="D203" s="33" t="s">
        <v>86</v>
      </c>
      <c r="E203" s="24" t="s">
        <v>12</v>
      </c>
      <c r="F203" s="24" t="s">
        <v>12</v>
      </c>
      <c r="G203" s="24" t="s">
        <v>12</v>
      </c>
      <c r="H203" s="24" t="s">
        <v>32</v>
      </c>
    </row>
    <row r="204" ht="20" customHeight="1" spans="1:8" x14ac:dyDescent="0.25">
      <c r="A204" s="22" t="s">
        <v>44</v>
      </c>
      <c r="B204" s="22" t="s">
        <v>45</v>
      </c>
      <c r="C204" s="23" t="s">
        <v>71</v>
      </c>
      <c r="D204" s="6" t="s">
        <v>4</v>
      </c>
      <c r="E204" s="22" t="s">
        <v>932</v>
      </c>
      <c r="F204" s="22" t="s">
        <v>341</v>
      </c>
      <c r="G204" s="22" t="s">
        <v>250</v>
      </c>
      <c r="H204" s="29" t="s">
        <v>935</v>
      </c>
    </row>
    <row r="205" ht="20" customHeight="1" spans="1:8" x14ac:dyDescent="0.25">
      <c r="A205" s="24" t="s">
        <v>46</v>
      </c>
      <c r="B205" s="24" t="s">
        <v>31</v>
      </c>
      <c r="C205" s="25" t="s">
        <v>71</v>
      </c>
      <c r="D205" s="6" t="s">
        <v>4</v>
      </c>
      <c r="E205" s="24" t="s">
        <v>125</v>
      </c>
      <c r="F205" s="24" t="s">
        <v>972</v>
      </c>
      <c r="G205" s="24" t="s">
        <v>973</v>
      </c>
      <c r="H205" s="34" t="s">
        <v>974</v>
      </c>
    </row>
    <row r="206" ht="20" customHeight="1" spans="1:8" x14ac:dyDescent="0.25">
      <c r="A206" s="22" t="s">
        <v>47</v>
      </c>
      <c r="B206" s="22" t="s">
        <v>34</v>
      </c>
      <c r="C206" s="23" t="s">
        <v>71</v>
      </c>
      <c r="D206" s="6" t="s">
        <v>4</v>
      </c>
      <c r="E206" s="22" t="s">
        <v>755</v>
      </c>
      <c r="F206" s="22" t="s">
        <v>626</v>
      </c>
      <c r="G206" s="22" t="s">
        <v>650</v>
      </c>
      <c r="H206" s="29" t="s">
        <v>975</v>
      </c>
    </row>
    <row r="207" ht="20" customHeight="1" spans="1:8" x14ac:dyDescent="0.25">
      <c r="A207" s="24" t="s">
        <v>48</v>
      </c>
      <c r="B207" s="24" t="s">
        <v>36</v>
      </c>
      <c r="C207" s="25" t="s">
        <v>71</v>
      </c>
      <c r="D207" s="6" t="s">
        <v>4</v>
      </c>
      <c r="E207" s="24" t="s">
        <v>185</v>
      </c>
      <c r="F207" s="24" t="s">
        <v>12</v>
      </c>
      <c r="G207" s="24" t="s">
        <v>12</v>
      </c>
      <c r="H207" s="34" t="s">
        <v>188</v>
      </c>
    </row>
    <row r="208" ht="20" customHeight="1" spans="1:8" x14ac:dyDescent="0.25">
      <c r="A208" s="22" t="s">
        <v>49</v>
      </c>
      <c r="B208" s="22" t="s">
        <v>38</v>
      </c>
      <c r="C208" s="23" t="s">
        <v>71</v>
      </c>
      <c r="D208" s="6" t="s">
        <v>4</v>
      </c>
      <c r="E208" s="22" t="s">
        <v>228</v>
      </c>
      <c r="F208" s="22" t="s">
        <v>12</v>
      </c>
      <c r="G208" s="22" t="s">
        <v>12</v>
      </c>
      <c r="H208" s="29" t="s">
        <v>229</v>
      </c>
    </row>
    <row r="209" ht="20" customHeight="1" spans="1:8" x14ac:dyDescent="0.25">
      <c r="A209" s="24" t="s">
        <v>50</v>
      </c>
      <c r="B209" s="24" t="s">
        <v>40</v>
      </c>
      <c r="C209" s="25" t="s">
        <v>71</v>
      </c>
      <c r="D209" s="33" t="s">
        <v>86</v>
      </c>
      <c r="E209" s="24" t="s">
        <v>12</v>
      </c>
      <c r="F209" s="24" t="s">
        <v>12</v>
      </c>
      <c r="G209" s="24" t="s">
        <v>12</v>
      </c>
      <c r="H209" s="24" t="s">
        <v>32</v>
      </c>
    </row>
    <row r="210" ht="20" customHeight="1" spans="1:8" x14ac:dyDescent="0.25">
      <c r="A210" s="22" t="s">
        <v>51</v>
      </c>
      <c r="B210" s="22" t="s">
        <v>42</v>
      </c>
      <c r="C210" s="23" t="s">
        <v>71</v>
      </c>
      <c r="D210" s="35" t="s">
        <v>86</v>
      </c>
      <c r="E210" s="22" t="s">
        <v>12</v>
      </c>
      <c r="F210" s="22" t="s">
        <v>12</v>
      </c>
      <c r="G210" s="22" t="s">
        <v>12</v>
      </c>
      <c r="H210" s="22" t="s">
        <v>32</v>
      </c>
    </row>
    <row r="211" ht="20" customHeight="1" spans="1:8" x14ac:dyDescent="0.25">
      <c r="A211" s="24" t="s">
        <v>52</v>
      </c>
      <c r="B211" s="24" t="s">
        <v>45</v>
      </c>
      <c r="C211" s="25" t="s">
        <v>71</v>
      </c>
      <c r="D211" s="6" t="s">
        <v>4</v>
      </c>
      <c r="E211" s="24" t="s">
        <v>976</v>
      </c>
      <c r="F211" s="24" t="s">
        <v>668</v>
      </c>
      <c r="G211" s="24" t="s">
        <v>977</v>
      </c>
      <c r="H211" s="34" t="s">
        <v>978</v>
      </c>
    </row>
    <row r="212" ht="20" customHeight="1" spans="1:8" x14ac:dyDescent="0.25">
      <c r="A212" s="22" t="s">
        <v>53</v>
      </c>
      <c r="B212" s="22" t="s">
        <v>31</v>
      </c>
      <c r="C212" s="23" t="s">
        <v>71</v>
      </c>
      <c r="D212" s="16" t="s">
        <v>43</v>
      </c>
      <c r="E212" s="22" t="s">
        <v>12</v>
      </c>
      <c r="F212" s="22" t="s">
        <v>12</v>
      </c>
      <c r="G212" s="22" t="s">
        <v>12</v>
      </c>
      <c r="H212" s="22" t="s">
        <v>32</v>
      </c>
    </row>
    <row r="213" ht="20" customHeight="1" spans="1:8" x14ac:dyDescent="0.25">
      <c r="A213" s="24" t="s">
        <v>54</v>
      </c>
      <c r="B213" s="24" t="s">
        <v>34</v>
      </c>
      <c r="C213" s="25" t="s">
        <v>71</v>
      </c>
      <c r="D213" s="6" t="s">
        <v>4</v>
      </c>
      <c r="E213" s="24" t="s">
        <v>377</v>
      </c>
      <c r="F213" s="24" t="s">
        <v>12</v>
      </c>
      <c r="G213" s="24" t="s">
        <v>12</v>
      </c>
      <c r="H213" s="30" t="s">
        <v>79</v>
      </c>
    </row>
    <row r="214" ht="20" customHeight="1" spans="1:8" x14ac:dyDescent="0.25">
      <c r="A214" s="22" t="s">
        <v>55</v>
      </c>
      <c r="B214" s="22" t="s">
        <v>36</v>
      </c>
      <c r="C214" s="23" t="s">
        <v>71</v>
      </c>
      <c r="D214" s="6" t="s">
        <v>4</v>
      </c>
      <c r="E214" s="22" t="s">
        <v>979</v>
      </c>
      <c r="F214" s="22" t="s">
        <v>980</v>
      </c>
      <c r="G214" s="22" t="s">
        <v>981</v>
      </c>
      <c r="H214" s="29" t="s">
        <v>982</v>
      </c>
    </row>
    <row r="215" ht="20" customHeight="1" spans="1:8" x14ac:dyDescent="0.25">
      <c r="A215" s="24" t="s">
        <v>56</v>
      </c>
      <c r="B215" s="24" t="s">
        <v>38</v>
      </c>
      <c r="C215" s="25" t="s">
        <v>71</v>
      </c>
      <c r="D215" s="6" t="s">
        <v>4</v>
      </c>
      <c r="E215" s="24" t="s">
        <v>983</v>
      </c>
      <c r="F215" s="24" t="s">
        <v>759</v>
      </c>
      <c r="G215" s="24" t="s">
        <v>984</v>
      </c>
      <c r="H215" s="34" t="s">
        <v>985</v>
      </c>
    </row>
    <row r="216" ht="20" customHeight="1" spans="1:8" x14ac:dyDescent="0.25">
      <c r="A216" s="22" t="s">
        <v>57</v>
      </c>
      <c r="B216" s="22" t="s">
        <v>40</v>
      </c>
      <c r="C216" s="23" t="s">
        <v>71</v>
      </c>
      <c r="D216" s="6" t="s">
        <v>4</v>
      </c>
      <c r="E216" s="22" t="s">
        <v>564</v>
      </c>
      <c r="F216" s="22" t="s">
        <v>986</v>
      </c>
      <c r="G216" s="22" t="s">
        <v>987</v>
      </c>
      <c r="H216" s="32" t="s">
        <v>79</v>
      </c>
    </row>
    <row r="217" ht="20" customHeight="1" spans="1:8" x14ac:dyDescent="0.25">
      <c r="A217" s="24" t="s">
        <v>58</v>
      </c>
      <c r="B217" s="24" t="s">
        <v>42</v>
      </c>
      <c r="C217" s="25" t="s">
        <v>71</v>
      </c>
      <c r="D217" s="33" t="s">
        <v>86</v>
      </c>
      <c r="E217" s="24" t="s">
        <v>12</v>
      </c>
      <c r="F217" s="24" t="s">
        <v>12</v>
      </c>
      <c r="G217" s="24" t="s">
        <v>12</v>
      </c>
      <c r="H217" s="24" t="s">
        <v>32</v>
      </c>
    </row>
    <row r="218" ht="20" customHeight="1" spans="1:8" x14ac:dyDescent="0.25">
      <c r="A218" s="22" t="s">
        <v>59</v>
      </c>
      <c r="B218" s="22" t="s">
        <v>45</v>
      </c>
      <c r="C218" s="23" t="s">
        <v>71</v>
      </c>
      <c r="D218" s="6" t="s">
        <v>4</v>
      </c>
      <c r="E218" s="22" t="s">
        <v>152</v>
      </c>
      <c r="F218" s="22" t="s">
        <v>988</v>
      </c>
      <c r="G218" s="22" t="s">
        <v>989</v>
      </c>
      <c r="H218" s="29" t="s">
        <v>155</v>
      </c>
    </row>
    <row r="219" ht="20" customHeight="1" spans="1:8" x14ac:dyDescent="0.25">
      <c r="A219" s="24" t="s">
        <v>60</v>
      </c>
      <c r="B219" s="24" t="s">
        <v>31</v>
      </c>
      <c r="C219" s="25" t="s">
        <v>71</v>
      </c>
      <c r="D219" s="6" t="s">
        <v>4</v>
      </c>
      <c r="E219" s="24" t="s">
        <v>320</v>
      </c>
      <c r="F219" s="24" t="s">
        <v>990</v>
      </c>
      <c r="G219" s="24" t="s">
        <v>991</v>
      </c>
      <c r="H219" s="30" t="s">
        <v>79</v>
      </c>
    </row>
    <row r="220" ht="20" customHeight="1" spans="1:8" x14ac:dyDescent="0.25">
      <c r="A220" s="22" t="s">
        <v>61</v>
      </c>
      <c r="B220" s="22" t="s">
        <v>34</v>
      </c>
      <c r="C220" s="23" t="s">
        <v>71</v>
      </c>
      <c r="D220" s="6" t="s">
        <v>4</v>
      </c>
      <c r="E220" s="22" t="s">
        <v>152</v>
      </c>
      <c r="F220" s="22" t="s">
        <v>164</v>
      </c>
      <c r="G220" s="22" t="s">
        <v>174</v>
      </c>
      <c r="H220" s="29" t="s">
        <v>155</v>
      </c>
    </row>
    <row r="221" ht="20" customHeight="1" spans="1:8" x14ac:dyDescent="0.25">
      <c r="A221" s="24" t="s">
        <v>62</v>
      </c>
      <c r="B221" s="24" t="s">
        <v>36</v>
      </c>
      <c r="C221" s="25" t="s">
        <v>71</v>
      </c>
      <c r="D221" s="6" t="s">
        <v>4</v>
      </c>
      <c r="E221" s="24" t="s">
        <v>348</v>
      </c>
      <c r="F221" s="24" t="s">
        <v>992</v>
      </c>
      <c r="G221" s="24" t="s">
        <v>97</v>
      </c>
      <c r="H221" s="34" t="s">
        <v>351</v>
      </c>
    </row>
    <row r="222" ht="20" customHeight="1" spans="1:8" x14ac:dyDescent="0.25">
      <c r="A222" s="22" t="s">
        <v>63</v>
      </c>
      <c r="B222" s="22" t="s">
        <v>38</v>
      </c>
      <c r="C222" s="23" t="s">
        <v>71</v>
      </c>
      <c r="D222" s="6" t="s">
        <v>4</v>
      </c>
      <c r="E222" s="22" t="s">
        <v>216</v>
      </c>
      <c r="F222" s="22" t="s">
        <v>993</v>
      </c>
      <c r="G222" s="22" t="s">
        <v>922</v>
      </c>
      <c r="H222" s="29" t="s">
        <v>217</v>
      </c>
    </row>
    <row r="223" ht="20" customHeight="1" spans="1:8" x14ac:dyDescent="0.25">
      <c r="A223" s="24" t="s">
        <v>64</v>
      </c>
      <c r="B223" s="24" t="s">
        <v>40</v>
      </c>
      <c r="C223" s="25" t="s">
        <v>71</v>
      </c>
      <c r="D223" s="6" t="s">
        <v>4</v>
      </c>
      <c r="E223" s="24" t="s">
        <v>994</v>
      </c>
      <c r="F223" s="24" t="s">
        <v>921</v>
      </c>
      <c r="G223" s="24" t="s">
        <v>995</v>
      </c>
      <c r="H223" s="34" t="s">
        <v>996</v>
      </c>
    </row>
    <row r="224" ht="20" customHeight="1" spans="1:8" x14ac:dyDescent="0.25">
      <c r="A224" s="22" t="s">
        <v>65</v>
      </c>
      <c r="B224" s="22" t="s">
        <v>42</v>
      </c>
      <c r="C224" s="23" t="s">
        <v>71</v>
      </c>
      <c r="D224" s="35" t="s">
        <v>86</v>
      </c>
      <c r="E224" s="22" t="s">
        <v>12</v>
      </c>
      <c r="F224" s="22" t="s">
        <v>12</v>
      </c>
      <c r="G224" s="22" t="s">
        <v>12</v>
      </c>
      <c r="H224" s="22" t="s">
        <v>32</v>
      </c>
    </row>
    <row r="225" ht="20" customHeight="1" spans="1:8" x14ac:dyDescent="0.25">
      <c r="A225" s="24" t="s">
        <v>66</v>
      </c>
      <c r="B225" s="24" t="s">
        <v>45</v>
      </c>
      <c r="C225" s="25" t="s">
        <v>71</v>
      </c>
      <c r="D225" s="6" t="s">
        <v>4</v>
      </c>
      <c r="E225" s="24" t="s">
        <v>359</v>
      </c>
      <c r="F225" s="24" t="s">
        <v>997</v>
      </c>
      <c r="G225" s="24" t="s">
        <v>752</v>
      </c>
      <c r="H225" s="34" t="s">
        <v>360</v>
      </c>
    </row>
    <row r="226" ht="20" customHeight="1" spans="1:8" x14ac:dyDescent="0.25">
      <c r="A226" s="22" t="s">
        <v>67</v>
      </c>
      <c r="B226" s="22" t="s">
        <v>31</v>
      </c>
      <c r="C226" s="23" t="s">
        <v>71</v>
      </c>
      <c r="D226" s="6" t="s">
        <v>4</v>
      </c>
      <c r="E226" s="22" t="s">
        <v>979</v>
      </c>
      <c r="F226" s="22" t="s">
        <v>998</v>
      </c>
      <c r="G226" s="22" t="s">
        <v>283</v>
      </c>
      <c r="H226" s="29" t="s">
        <v>982</v>
      </c>
    </row>
    <row r="227" ht="20" customHeight="1" spans="1:8" x14ac:dyDescent="0.25">
      <c r="A227" s="24" t="s">
        <v>68</v>
      </c>
      <c r="B227" s="24" t="s">
        <v>34</v>
      </c>
      <c r="C227" s="25" t="s">
        <v>71</v>
      </c>
      <c r="D227" s="6" t="s">
        <v>4</v>
      </c>
      <c r="E227" s="24" t="s">
        <v>441</v>
      </c>
      <c r="F227" s="24" t="s">
        <v>182</v>
      </c>
      <c r="G227" s="24" t="s">
        <v>740</v>
      </c>
      <c r="H227" s="30" t="s">
        <v>79</v>
      </c>
    </row>
    <row r="228" ht="22" customHeight="1" spans="1:8" x14ac:dyDescent="0.25">
      <c r="A228" s="26" t="s">
        <v>69</v>
      </c>
      <c r="B228" s="26"/>
      <c r="C228" s="26"/>
      <c r="D228" s="26"/>
      <c r="E228" s="26"/>
      <c r="F228" s="26"/>
      <c r="G228" s="27" t="s">
        <v>999</v>
      </c>
      <c r="H228" s="28" t="s">
        <v>12</v>
      </c>
    </row>
    <row r="230" ht="26" customHeight="1" spans="1:8" x14ac:dyDescent="0.25">
      <c r="A230" s="20" t="s">
        <v>1000</v>
      </c>
      <c r="B230" s="20"/>
      <c r="C230" s="20"/>
      <c r="D230" s="20"/>
      <c r="E230" s="20"/>
      <c r="F230" s="20"/>
      <c r="G230" s="20"/>
      <c r="H230" s="20"/>
    </row>
    <row r="231" ht="22" customHeight="1" spans="1:8" x14ac:dyDescent="0.25">
      <c r="A231" s="21" t="s">
        <v>22</v>
      </c>
      <c r="B231" s="21" t="s">
        <v>23</v>
      </c>
      <c r="C231" s="21" t="s">
        <v>24</v>
      </c>
      <c r="D231" s="21" t="s">
        <v>25</v>
      </c>
      <c r="E231" s="21" t="s">
        <v>26</v>
      </c>
      <c r="F231" s="21" t="s">
        <v>27</v>
      </c>
      <c r="G231" s="21" t="s">
        <v>28</v>
      </c>
      <c r="H231" s="21" t="s">
        <v>29</v>
      </c>
    </row>
    <row r="232" ht="20" customHeight="1" spans="1:8" x14ac:dyDescent="0.25">
      <c r="A232" s="22" t="s">
        <v>30</v>
      </c>
      <c r="B232" s="22" t="s">
        <v>31</v>
      </c>
      <c r="C232" s="23" t="s">
        <v>71</v>
      </c>
      <c r="D232" s="16" t="s">
        <v>43</v>
      </c>
      <c r="E232" s="22" t="s">
        <v>12</v>
      </c>
      <c r="F232" s="22" t="s">
        <v>12</v>
      </c>
      <c r="G232" s="22" t="s">
        <v>12</v>
      </c>
      <c r="H232" s="22" t="s">
        <v>32</v>
      </c>
    </row>
    <row r="233" ht="20" customHeight="1" spans="1:8" x14ac:dyDescent="0.25">
      <c r="A233" s="24" t="s">
        <v>33</v>
      </c>
      <c r="B233" s="24" t="s">
        <v>34</v>
      </c>
      <c r="C233" s="25" t="s">
        <v>71</v>
      </c>
      <c r="D233" s="6" t="s">
        <v>4</v>
      </c>
      <c r="E233" s="24" t="s">
        <v>518</v>
      </c>
      <c r="F233" s="24" t="s">
        <v>160</v>
      </c>
      <c r="G233" s="24" t="s">
        <v>475</v>
      </c>
      <c r="H233" s="30" t="s">
        <v>79</v>
      </c>
    </row>
    <row r="234" ht="20" customHeight="1" spans="1:8" x14ac:dyDescent="0.25">
      <c r="A234" s="22" t="s">
        <v>35</v>
      </c>
      <c r="B234" s="22" t="s">
        <v>36</v>
      </c>
      <c r="C234" s="23" t="s">
        <v>71</v>
      </c>
      <c r="D234" s="6" t="s">
        <v>4</v>
      </c>
      <c r="E234" s="22" t="s">
        <v>189</v>
      </c>
      <c r="F234" s="22" t="s">
        <v>772</v>
      </c>
      <c r="G234" s="22" t="s">
        <v>481</v>
      </c>
      <c r="H234" s="29" t="s">
        <v>191</v>
      </c>
    </row>
    <row r="235" ht="20" customHeight="1" spans="1:8" x14ac:dyDescent="0.25">
      <c r="A235" s="24" t="s">
        <v>37</v>
      </c>
      <c r="B235" s="24" t="s">
        <v>38</v>
      </c>
      <c r="C235" s="25" t="s">
        <v>71</v>
      </c>
      <c r="D235" s="31" t="s">
        <v>11</v>
      </c>
      <c r="E235" s="24" t="s">
        <v>12</v>
      </c>
      <c r="F235" s="24" t="s">
        <v>12</v>
      </c>
      <c r="G235" s="24" t="s">
        <v>12</v>
      </c>
      <c r="H235" s="24" t="s">
        <v>32</v>
      </c>
    </row>
    <row r="236" ht="20" customHeight="1" spans="1:8" x14ac:dyDescent="0.25">
      <c r="A236" s="22" t="s">
        <v>39</v>
      </c>
      <c r="B236" s="22" t="s">
        <v>40</v>
      </c>
      <c r="C236" s="23" t="s">
        <v>71</v>
      </c>
      <c r="D236" s="6" t="s">
        <v>4</v>
      </c>
      <c r="E236" s="22" t="s">
        <v>262</v>
      </c>
      <c r="F236" s="22" t="s">
        <v>104</v>
      </c>
      <c r="G236" s="22" t="s">
        <v>137</v>
      </c>
      <c r="H236" s="29" t="s">
        <v>264</v>
      </c>
    </row>
    <row r="237" ht="20" customHeight="1" spans="1:8" x14ac:dyDescent="0.25">
      <c r="A237" s="24" t="s">
        <v>41</v>
      </c>
      <c r="B237" s="24" t="s">
        <v>42</v>
      </c>
      <c r="C237" s="25" t="s">
        <v>71</v>
      </c>
      <c r="D237" s="33" t="s">
        <v>86</v>
      </c>
      <c r="E237" s="24" t="s">
        <v>12</v>
      </c>
      <c r="F237" s="24" t="s">
        <v>12</v>
      </c>
      <c r="G237" s="24" t="s">
        <v>12</v>
      </c>
      <c r="H237" s="24" t="s">
        <v>32</v>
      </c>
    </row>
    <row r="238" ht="20" customHeight="1" spans="1:8" x14ac:dyDescent="0.25">
      <c r="A238" s="22" t="s">
        <v>44</v>
      </c>
      <c r="B238" s="22" t="s">
        <v>45</v>
      </c>
      <c r="C238" s="23" t="s">
        <v>71</v>
      </c>
      <c r="D238" s="6" t="s">
        <v>4</v>
      </c>
      <c r="E238" s="22" t="s">
        <v>515</v>
      </c>
      <c r="F238" s="22" t="s">
        <v>235</v>
      </c>
      <c r="G238" s="22" t="s">
        <v>147</v>
      </c>
      <c r="H238" s="29" t="s">
        <v>517</v>
      </c>
    </row>
    <row r="239" ht="20" customHeight="1" spans="1:8" x14ac:dyDescent="0.25">
      <c r="A239" s="24" t="s">
        <v>46</v>
      </c>
      <c r="B239" s="24" t="s">
        <v>31</v>
      </c>
      <c r="C239" s="25" t="s">
        <v>71</v>
      </c>
      <c r="D239" s="6" t="s">
        <v>4</v>
      </c>
      <c r="E239" s="24" t="s">
        <v>1001</v>
      </c>
      <c r="F239" s="24" t="s">
        <v>211</v>
      </c>
      <c r="G239" s="24" t="s">
        <v>1002</v>
      </c>
      <c r="H239" s="34" t="s">
        <v>1003</v>
      </c>
    </row>
    <row r="240" ht="20" customHeight="1" spans="1:8" x14ac:dyDescent="0.25">
      <c r="A240" s="22" t="s">
        <v>47</v>
      </c>
      <c r="B240" s="22" t="s">
        <v>34</v>
      </c>
      <c r="C240" s="23" t="s">
        <v>71</v>
      </c>
      <c r="D240" s="6" t="s">
        <v>4</v>
      </c>
      <c r="E240" s="22" t="s">
        <v>242</v>
      </c>
      <c r="F240" s="22" t="s">
        <v>641</v>
      </c>
      <c r="G240" s="22" t="s">
        <v>475</v>
      </c>
      <c r="H240" s="29" t="s">
        <v>244</v>
      </c>
    </row>
    <row r="241" ht="20" customHeight="1" spans="1:8" x14ac:dyDescent="0.25">
      <c r="A241" s="24" t="s">
        <v>48</v>
      </c>
      <c r="B241" s="24" t="s">
        <v>36</v>
      </c>
      <c r="C241" s="25" t="s">
        <v>71</v>
      </c>
      <c r="D241" s="6" t="s">
        <v>4</v>
      </c>
      <c r="E241" s="24" t="s">
        <v>334</v>
      </c>
      <c r="F241" s="24" t="s">
        <v>749</v>
      </c>
      <c r="G241" s="24" t="s">
        <v>130</v>
      </c>
      <c r="H241" s="34" t="s">
        <v>337</v>
      </c>
    </row>
    <row r="242" ht="20" customHeight="1" spans="1:8" x14ac:dyDescent="0.25">
      <c r="A242" s="22" t="s">
        <v>49</v>
      </c>
      <c r="B242" s="22" t="s">
        <v>38</v>
      </c>
      <c r="C242" s="23" t="s">
        <v>71</v>
      </c>
      <c r="D242" s="7" t="s">
        <v>5</v>
      </c>
      <c r="E242" s="22" t="s">
        <v>12</v>
      </c>
      <c r="F242" s="22" t="s">
        <v>12</v>
      </c>
      <c r="G242" s="22" t="s">
        <v>12</v>
      </c>
      <c r="H242" s="22" t="s">
        <v>32</v>
      </c>
    </row>
    <row r="243" ht="20" customHeight="1" spans="1:8" x14ac:dyDescent="0.25">
      <c r="A243" s="24" t="s">
        <v>50</v>
      </c>
      <c r="B243" s="24" t="s">
        <v>40</v>
      </c>
      <c r="C243" s="25" t="s">
        <v>71</v>
      </c>
      <c r="D243" s="33" t="s">
        <v>86</v>
      </c>
      <c r="E243" s="24" t="s">
        <v>12</v>
      </c>
      <c r="F243" s="24" t="s">
        <v>12</v>
      </c>
      <c r="G243" s="24" t="s">
        <v>12</v>
      </c>
      <c r="H243" s="24" t="s">
        <v>32</v>
      </c>
    </row>
    <row r="244" ht="20" customHeight="1" spans="1:8" x14ac:dyDescent="0.25">
      <c r="A244" s="22" t="s">
        <v>51</v>
      </c>
      <c r="B244" s="22" t="s">
        <v>42</v>
      </c>
      <c r="C244" s="23" t="s">
        <v>71</v>
      </c>
      <c r="D244" s="35" t="s">
        <v>86</v>
      </c>
      <c r="E244" s="22" t="s">
        <v>12</v>
      </c>
      <c r="F244" s="22" t="s">
        <v>12</v>
      </c>
      <c r="G244" s="22" t="s">
        <v>12</v>
      </c>
      <c r="H244" s="22" t="s">
        <v>32</v>
      </c>
    </row>
    <row r="245" ht="20" customHeight="1" spans="1:8" x14ac:dyDescent="0.25">
      <c r="A245" s="24" t="s">
        <v>52</v>
      </c>
      <c r="B245" s="24" t="s">
        <v>45</v>
      </c>
      <c r="C245" s="25" t="s">
        <v>71</v>
      </c>
      <c r="D245" s="6" t="s">
        <v>4</v>
      </c>
      <c r="E245" s="24" t="s">
        <v>489</v>
      </c>
      <c r="F245" s="24" t="s">
        <v>1004</v>
      </c>
      <c r="G245" s="24" t="s">
        <v>614</v>
      </c>
      <c r="H245" s="34" t="s">
        <v>491</v>
      </c>
    </row>
    <row r="246" ht="20" customHeight="1" spans="1:8" x14ac:dyDescent="0.25">
      <c r="A246" s="22" t="s">
        <v>53</v>
      </c>
      <c r="B246" s="22" t="s">
        <v>31</v>
      </c>
      <c r="C246" s="23" t="s">
        <v>71</v>
      </c>
      <c r="D246" s="6" t="s">
        <v>4</v>
      </c>
      <c r="E246" s="22" t="s">
        <v>257</v>
      </c>
      <c r="F246" s="22" t="s">
        <v>255</v>
      </c>
      <c r="G246" s="22" t="s">
        <v>250</v>
      </c>
      <c r="H246" s="29" t="s">
        <v>260</v>
      </c>
    </row>
    <row r="247" ht="20" customHeight="1" spans="1:8" x14ac:dyDescent="0.25">
      <c r="A247" s="24" t="s">
        <v>54</v>
      </c>
      <c r="B247" s="24" t="s">
        <v>34</v>
      </c>
      <c r="C247" s="25" t="s">
        <v>71</v>
      </c>
      <c r="D247" s="6" t="s">
        <v>4</v>
      </c>
      <c r="E247" s="24" t="s">
        <v>334</v>
      </c>
      <c r="F247" s="24" t="s">
        <v>344</v>
      </c>
      <c r="G247" s="24" t="s">
        <v>973</v>
      </c>
      <c r="H247" s="34" t="s">
        <v>337</v>
      </c>
    </row>
    <row r="248" ht="20" customHeight="1" spans="1:8" x14ac:dyDescent="0.25">
      <c r="A248" s="22" t="s">
        <v>55</v>
      </c>
      <c r="B248" s="22" t="s">
        <v>36</v>
      </c>
      <c r="C248" s="23" t="s">
        <v>71</v>
      </c>
      <c r="D248" s="7" t="s">
        <v>5</v>
      </c>
      <c r="E248" s="22" t="s">
        <v>12</v>
      </c>
      <c r="F248" s="22" t="s">
        <v>12</v>
      </c>
      <c r="G248" s="22" t="s">
        <v>12</v>
      </c>
      <c r="H248" s="22" t="s">
        <v>32</v>
      </c>
    </row>
    <row r="249" ht="20" customHeight="1" spans="1:8" x14ac:dyDescent="0.25">
      <c r="A249" s="24" t="s">
        <v>56</v>
      </c>
      <c r="B249" s="24" t="s">
        <v>38</v>
      </c>
      <c r="C249" s="25" t="s">
        <v>71</v>
      </c>
      <c r="D249" s="7" t="s">
        <v>5</v>
      </c>
      <c r="E249" s="24" t="s">
        <v>12</v>
      </c>
      <c r="F249" s="24" t="s">
        <v>12</v>
      </c>
      <c r="G249" s="24" t="s">
        <v>12</v>
      </c>
      <c r="H249" s="24" t="s">
        <v>32</v>
      </c>
    </row>
    <row r="250" ht="20" customHeight="1" spans="1:8" x14ac:dyDescent="0.25">
      <c r="A250" s="22" t="s">
        <v>57</v>
      </c>
      <c r="B250" s="22" t="s">
        <v>40</v>
      </c>
      <c r="C250" s="23" t="s">
        <v>71</v>
      </c>
      <c r="D250" s="7" t="s">
        <v>5</v>
      </c>
      <c r="E250" s="22" t="s">
        <v>12</v>
      </c>
      <c r="F250" s="22" t="s">
        <v>12</v>
      </c>
      <c r="G250" s="22" t="s">
        <v>12</v>
      </c>
      <c r="H250" s="22" t="s">
        <v>32</v>
      </c>
    </row>
    <row r="251" ht="20" customHeight="1" spans="1:8" x14ac:dyDescent="0.25">
      <c r="A251" s="24" t="s">
        <v>58</v>
      </c>
      <c r="B251" s="24" t="s">
        <v>42</v>
      </c>
      <c r="C251" s="25" t="s">
        <v>71</v>
      </c>
      <c r="D251" s="16" t="s">
        <v>43</v>
      </c>
      <c r="E251" s="24" t="s">
        <v>12</v>
      </c>
      <c r="F251" s="24" t="s">
        <v>12</v>
      </c>
      <c r="G251" s="24" t="s">
        <v>12</v>
      </c>
      <c r="H251" s="24" t="s">
        <v>32</v>
      </c>
    </row>
    <row r="252" ht="20" customHeight="1" spans="1:8" x14ac:dyDescent="0.25">
      <c r="A252" s="22" t="s">
        <v>59</v>
      </c>
      <c r="B252" s="22" t="s">
        <v>45</v>
      </c>
      <c r="C252" s="23" t="s">
        <v>71</v>
      </c>
      <c r="D252" s="7" t="s">
        <v>5</v>
      </c>
      <c r="E252" s="22" t="s">
        <v>12</v>
      </c>
      <c r="F252" s="22" t="s">
        <v>12</v>
      </c>
      <c r="G252" s="22" t="s">
        <v>12</v>
      </c>
      <c r="H252" s="22" t="s">
        <v>32</v>
      </c>
    </row>
    <row r="253" ht="20" customHeight="1" spans="1:8" x14ac:dyDescent="0.25">
      <c r="A253" s="24" t="s">
        <v>60</v>
      </c>
      <c r="B253" s="24" t="s">
        <v>31</v>
      </c>
      <c r="C253" s="25" t="s">
        <v>71</v>
      </c>
      <c r="D253" s="7" t="s">
        <v>5</v>
      </c>
      <c r="E253" s="24" t="s">
        <v>12</v>
      </c>
      <c r="F253" s="24" t="s">
        <v>12</v>
      </c>
      <c r="G253" s="24" t="s">
        <v>12</v>
      </c>
      <c r="H253" s="24" t="s">
        <v>32</v>
      </c>
    </row>
    <row r="254" ht="20" customHeight="1" spans="1:8" x14ac:dyDescent="0.25">
      <c r="A254" s="22" t="s">
        <v>61</v>
      </c>
      <c r="B254" s="22" t="s">
        <v>34</v>
      </c>
      <c r="C254" s="23" t="s">
        <v>71</v>
      </c>
      <c r="D254" s="7" t="s">
        <v>5</v>
      </c>
      <c r="E254" s="22" t="s">
        <v>12</v>
      </c>
      <c r="F254" s="22" t="s">
        <v>12</v>
      </c>
      <c r="G254" s="22" t="s">
        <v>12</v>
      </c>
      <c r="H254" s="22" t="s">
        <v>32</v>
      </c>
    </row>
    <row r="255" ht="20" customHeight="1" spans="1:8" x14ac:dyDescent="0.25">
      <c r="A255" s="24" t="s">
        <v>62</v>
      </c>
      <c r="B255" s="24" t="s">
        <v>36</v>
      </c>
      <c r="C255" s="25" t="s">
        <v>71</v>
      </c>
      <c r="D255" s="7" t="s">
        <v>5</v>
      </c>
      <c r="E255" s="24" t="s">
        <v>12</v>
      </c>
      <c r="F255" s="24" t="s">
        <v>12</v>
      </c>
      <c r="G255" s="24" t="s">
        <v>12</v>
      </c>
      <c r="H255" s="24" t="s">
        <v>32</v>
      </c>
    </row>
    <row r="256" ht="20" customHeight="1" spans="1:8" x14ac:dyDescent="0.25">
      <c r="A256" s="22" t="s">
        <v>63</v>
      </c>
      <c r="B256" s="22" t="s">
        <v>38</v>
      </c>
      <c r="C256" s="23" t="s">
        <v>71</v>
      </c>
      <c r="D256" s="6" t="s">
        <v>4</v>
      </c>
      <c r="E256" s="22" t="s">
        <v>1005</v>
      </c>
      <c r="F256" s="22" t="s">
        <v>636</v>
      </c>
      <c r="G256" s="22" t="s">
        <v>1006</v>
      </c>
      <c r="H256" s="29" t="s">
        <v>1007</v>
      </c>
    </row>
    <row r="257" ht="20" customHeight="1" spans="1:8" x14ac:dyDescent="0.25">
      <c r="A257" s="24" t="s">
        <v>64</v>
      </c>
      <c r="B257" s="24" t="s">
        <v>40</v>
      </c>
      <c r="C257" s="25" t="s">
        <v>71</v>
      </c>
      <c r="D257" s="6" t="s">
        <v>4</v>
      </c>
      <c r="E257" s="24" t="s">
        <v>330</v>
      </c>
      <c r="F257" s="24" t="s">
        <v>160</v>
      </c>
      <c r="G257" s="24" t="s">
        <v>505</v>
      </c>
      <c r="H257" s="34" t="s">
        <v>333</v>
      </c>
    </row>
    <row r="258" ht="20" customHeight="1" spans="1:8" x14ac:dyDescent="0.25">
      <c r="A258" s="22" t="s">
        <v>65</v>
      </c>
      <c r="B258" s="22" t="s">
        <v>42</v>
      </c>
      <c r="C258" s="23" t="s">
        <v>71</v>
      </c>
      <c r="D258" s="35" t="s">
        <v>86</v>
      </c>
      <c r="E258" s="22" t="s">
        <v>12</v>
      </c>
      <c r="F258" s="22" t="s">
        <v>12</v>
      </c>
      <c r="G258" s="22" t="s">
        <v>12</v>
      </c>
      <c r="H258" s="22" t="s">
        <v>32</v>
      </c>
    </row>
    <row r="259" ht="20" customHeight="1" spans="1:8" x14ac:dyDescent="0.25">
      <c r="A259" s="24" t="s">
        <v>66</v>
      </c>
      <c r="B259" s="24" t="s">
        <v>45</v>
      </c>
      <c r="C259" s="25" t="s">
        <v>71</v>
      </c>
      <c r="D259" s="7" t="s">
        <v>5</v>
      </c>
      <c r="E259" s="24" t="s">
        <v>12</v>
      </c>
      <c r="F259" s="24" t="s">
        <v>12</v>
      </c>
      <c r="G259" s="24" t="s">
        <v>12</v>
      </c>
      <c r="H259" s="24" t="s">
        <v>32</v>
      </c>
    </row>
    <row r="260" ht="20" customHeight="1" spans="1:8" x14ac:dyDescent="0.25">
      <c r="A260" s="22" t="s">
        <v>67</v>
      </c>
      <c r="B260" s="22" t="s">
        <v>31</v>
      </c>
      <c r="C260" s="23" t="s">
        <v>71</v>
      </c>
      <c r="D260" s="7" t="s">
        <v>5</v>
      </c>
      <c r="E260" s="22" t="s">
        <v>12</v>
      </c>
      <c r="F260" s="22" t="s">
        <v>12</v>
      </c>
      <c r="G260" s="22" t="s">
        <v>12</v>
      </c>
      <c r="H260" s="22" t="s">
        <v>32</v>
      </c>
    </row>
    <row r="261" ht="20" customHeight="1" spans="1:8" x14ac:dyDescent="0.25">
      <c r="A261" s="24" t="s">
        <v>68</v>
      </c>
      <c r="B261" s="24" t="s">
        <v>34</v>
      </c>
      <c r="C261" s="25" t="s">
        <v>71</v>
      </c>
      <c r="D261" s="7" t="s">
        <v>5</v>
      </c>
      <c r="E261" s="24" t="s">
        <v>12</v>
      </c>
      <c r="F261" s="24" t="s">
        <v>12</v>
      </c>
      <c r="G261" s="24" t="s">
        <v>12</v>
      </c>
      <c r="H261" s="24" t="s">
        <v>32</v>
      </c>
    </row>
    <row r="262" ht="22" customHeight="1" spans="1:8" x14ac:dyDescent="0.25">
      <c r="A262" s="26" t="s">
        <v>69</v>
      </c>
      <c r="B262" s="26"/>
      <c r="C262" s="26"/>
      <c r="D262" s="26"/>
      <c r="E262" s="26"/>
      <c r="F262" s="26"/>
      <c r="G262" s="27" t="s">
        <v>1008</v>
      </c>
      <c r="H262" s="28" t="s">
        <v>12</v>
      </c>
    </row>
    <row r="264" ht="26" customHeight="1" spans="1:8" x14ac:dyDescent="0.25">
      <c r="A264" s="20" t="s">
        <v>1009</v>
      </c>
      <c r="B264" s="20"/>
      <c r="C264" s="20"/>
      <c r="D264" s="20"/>
      <c r="E264" s="20"/>
      <c r="F264" s="20"/>
      <c r="G264" s="20"/>
      <c r="H264" s="20"/>
    </row>
    <row r="265" ht="22" customHeight="1" spans="1:8" x14ac:dyDescent="0.25">
      <c r="A265" s="21" t="s">
        <v>22</v>
      </c>
      <c r="B265" s="21" t="s">
        <v>23</v>
      </c>
      <c r="C265" s="21" t="s">
        <v>24</v>
      </c>
      <c r="D265" s="21" t="s">
        <v>25</v>
      </c>
      <c r="E265" s="21" t="s">
        <v>26</v>
      </c>
      <c r="F265" s="21" t="s">
        <v>27</v>
      </c>
      <c r="G265" s="21" t="s">
        <v>28</v>
      </c>
      <c r="H265" s="21" t="s">
        <v>29</v>
      </c>
    </row>
    <row r="266" ht="20" customHeight="1" spans="1:8" x14ac:dyDescent="0.25">
      <c r="A266" s="22" t="s">
        <v>30</v>
      </c>
      <c r="B266" s="22" t="s">
        <v>31</v>
      </c>
      <c r="C266" s="23" t="s">
        <v>1010</v>
      </c>
      <c r="D266" s="6" t="s">
        <v>4</v>
      </c>
      <c r="E266" s="22" t="s">
        <v>126</v>
      </c>
      <c r="F266" s="22" t="s">
        <v>12</v>
      </c>
      <c r="G266" s="22" t="s">
        <v>12</v>
      </c>
      <c r="H266" s="29" t="s">
        <v>1011</v>
      </c>
    </row>
    <row r="267" ht="20" customHeight="1" spans="1:8" x14ac:dyDescent="0.25">
      <c r="A267" s="24" t="s">
        <v>33</v>
      </c>
      <c r="B267" s="24" t="s">
        <v>34</v>
      </c>
      <c r="C267" s="25" t="s">
        <v>1010</v>
      </c>
      <c r="D267" s="6" t="s">
        <v>4</v>
      </c>
      <c r="E267" s="24" t="s">
        <v>107</v>
      </c>
      <c r="F267" s="24" t="s">
        <v>12</v>
      </c>
      <c r="G267" s="24" t="s">
        <v>12</v>
      </c>
      <c r="H267" s="34" t="s">
        <v>1012</v>
      </c>
    </row>
    <row r="268" ht="20" customHeight="1" spans="1:8" x14ac:dyDescent="0.25">
      <c r="A268" s="22" t="s">
        <v>35</v>
      </c>
      <c r="B268" s="22" t="s">
        <v>36</v>
      </c>
      <c r="C268" s="23" t="s">
        <v>1010</v>
      </c>
      <c r="D268" s="10" t="s">
        <v>87</v>
      </c>
      <c r="E268" s="22" t="s">
        <v>12</v>
      </c>
      <c r="F268" s="22" t="s">
        <v>12</v>
      </c>
      <c r="G268" s="22" t="s">
        <v>12</v>
      </c>
      <c r="H268" s="22" t="s">
        <v>32</v>
      </c>
    </row>
    <row r="269" ht="20" customHeight="1" spans="1:8" x14ac:dyDescent="0.25">
      <c r="A269" s="24" t="s">
        <v>37</v>
      </c>
      <c r="B269" s="24" t="s">
        <v>38</v>
      </c>
      <c r="C269" s="25" t="s">
        <v>1010</v>
      </c>
      <c r="D269" s="31" t="s">
        <v>11</v>
      </c>
      <c r="E269" s="24" t="s">
        <v>12</v>
      </c>
      <c r="F269" s="24" t="s">
        <v>12</v>
      </c>
      <c r="G269" s="24" t="s">
        <v>12</v>
      </c>
      <c r="H269" s="24" t="s">
        <v>32</v>
      </c>
    </row>
    <row r="270" ht="20" customHeight="1" spans="1:8" x14ac:dyDescent="0.25">
      <c r="A270" s="22" t="s">
        <v>39</v>
      </c>
      <c r="B270" s="22" t="s">
        <v>40</v>
      </c>
      <c r="C270" s="23" t="s">
        <v>1010</v>
      </c>
      <c r="D270" s="6" t="s">
        <v>4</v>
      </c>
      <c r="E270" s="22" t="s">
        <v>276</v>
      </c>
      <c r="F270" s="22" t="s">
        <v>1013</v>
      </c>
      <c r="G270" s="22" t="s">
        <v>1014</v>
      </c>
      <c r="H270" s="29" t="s">
        <v>1015</v>
      </c>
    </row>
    <row r="271" ht="20" customHeight="1" spans="1:8" x14ac:dyDescent="0.25">
      <c r="A271" s="24" t="s">
        <v>41</v>
      </c>
      <c r="B271" s="24" t="s">
        <v>42</v>
      </c>
      <c r="C271" s="25" t="s">
        <v>1010</v>
      </c>
      <c r="D271" s="33" t="s">
        <v>86</v>
      </c>
      <c r="E271" s="24" t="s">
        <v>436</v>
      </c>
      <c r="F271" s="24" t="s">
        <v>12</v>
      </c>
      <c r="G271" s="24" t="s">
        <v>12</v>
      </c>
      <c r="H271" s="34" t="s">
        <v>1016</v>
      </c>
    </row>
    <row r="272" ht="20" customHeight="1" spans="1:8" x14ac:dyDescent="0.25">
      <c r="A272" s="22" t="s">
        <v>44</v>
      </c>
      <c r="B272" s="22" t="s">
        <v>45</v>
      </c>
      <c r="C272" s="23" t="s">
        <v>1010</v>
      </c>
      <c r="D272" s="6" t="s">
        <v>4</v>
      </c>
      <c r="E272" s="22" t="s">
        <v>258</v>
      </c>
      <c r="F272" s="22" t="s">
        <v>1017</v>
      </c>
      <c r="G272" s="22" t="s">
        <v>1018</v>
      </c>
      <c r="H272" s="29" t="s">
        <v>1019</v>
      </c>
    </row>
    <row r="273" ht="20" customHeight="1" spans="1:8" x14ac:dyDescent="0.25">
      <c r="A273" s="24" t="s">
        <v>46</v>
      </c>
      <c r="B273" s="24" t="s">
        <v>31</v>
      </c>
      <c r="C273" s="25" t="s">
        <v>1010</v>
      </c>
      <c r="D273" s="6" t="s">
        <v>4</v>
      </c>
      <c r="E273" s="24" t="s">
        <v>508</v>
      </c>
      <c r="F273" s="24" t="s">
        <v>1020</v>
      </c>
      <c r="G273" s="24" t="s">
        <v>1021</v>
      </c>
      <c r="H273" s="34" t="s">
        <v>1022</v>
      </c>
    </row>
    <row r="274" ht="20" customHeight="1" spans="1:8" x14ac:dyDescent="0.25">
      <c r="A274" s="22" t="s">
        <v>47</v>
      </c>
      <c r="B274" s="22" t="s">
        <v>34</v>
      </c>
      <c r="C274" s="23" t="s">
        <v>1010</v>
      </c>
      <c r="D274" s="6" t="s">
        <v>4</v>
      </c>
      <c r="E274" s="22" t="s">
        <v>373</v>
      </c>
      <c r="F274" s="22" t="s">
        <v>12</v>
      </c>
      <c r="G274" s="22" t="s">
        <v>12</v>
      </c>
      <c r="H274" s="29" t="s">
        <v>1023</v>
      </c>
    </row>
    <row r="275" ht="20" customHeight="1" spans="1:8" x14ac:dyDescent="0.25">
      <c r="A275" s="24" t="s">
        <v>48</v>
      </c>
      <c r="B275" s="24" t="s">
        <v>36</v>
      </c>
      <c r="C275" s="25" t="s">
        <v>1010</v>
      </c>
      <c r="D275" s="6" t="s">
        <v>4</v>
      </c>
      <c r="E275" s="24" t="s">
        <v>278</v>
      </c>
      <c r="F275" s="24" t="s">
        <v>12</v>
      </c>
      <c r="G275" s="24" t="s">
        <v>12</v>
      </c>
      <c r="H275" s="34" t="s">
        <v>848</v>
      </c>
    </row>
    <row r="276" ht="20" customHeight="1" spans="1:8" x14ac:dyDescent="0.25">
      <c r="A276" s="22" t="s">
        <v>49</v>
      </c>
      <c r="B276" s="22" t="s">
        <v>38</v>
      </c>
      <c r="C276" s="23" t="s">
        <v>1010</v>
      </c>
      <c r="D276" s="6" t="s">
        <v>4</v>
      </c>
      <c r="E276" s="22" t="s">
        <v>225</v>
      </c>
      <c r="F276" s="22" t="s">
        <v>12</v>
      </c>
      <c r="G276" s="22" t="s">
        <v>12</v>
      </c>
      <c r="H276" s="29" t="s">
        <v>1024</v>
      </c>
    </row>
    <row r="277" ht="20" customHeight="1" spans="1:8" x14ac:dyDescent="0.25">
      <c r="A277" s="24" t="s">
        <v>50</v>
      </c>
      <c r="B277" s="24" t="s">
        <v>40</v>
      </c>
      <c r="C277" s="25" t="s">
        <v>1010</v>
      </c>
      <c r="D277" s="6" t="s">
        <v>4</v>
      </c>
      <c r="E277" s="24" t="s">
        <v>344</v>
      </c>
      <c r="F277" s="24" t="s">
        <v>1025</v>
      </c>
      <c r="G277" s="24" t="s">
        <v>1026</v>
      </c>
      <c r="H277" s="34" t="s">
        <v>1027</v>
      </c>
    </row>
    <row r="278" ht="20" customHeight="1" spans="1:8" x14ac:dyDescent="0.25">
      <c r="A278" s="22" t="s">
        <v>51</v>
      </c>
      <c r="B278" s="22" t="s">
        <v>42</v>
      </c>
      <c r="C278" s="23" t="s">
        <v>1010</v>
      </c>
      <c r="D278" s="35" t="s">
        <v>86</v>
      </c>
      <c r="E278" s="22" t="s">
        <v>12</v>
      </c>
      <c r="F278" s="22" t="s">
        <v>12</v>
      </c>
      <c r="G278" s="22" t="s">
        <v>12</v>
      </c>
      <c r="H278" s="22" t="s">
        <v>32</v>
      </c>
    </row>
    <row r="279" ht="20" customHeight="1" spans="1:8" x14ac:dyDescent="0.25">
      <c r="A279" s="24" t="s">
        <v>52</v>
      </c>
      <c r="B279" s="24" t="s">
        <v>45</v>
      </c>
      <c r="C279" s="25" t="s">
        <v>1010</v>
      </c>
      <c r="D279" s="6" t="s">
        <v>4</v>
      </c>
      <c r="E279" s="24" t="s">
        <v>312</v>
      </c>
      <c r="F279" s="24" t="s">
        <v>847</v>
      </c>
      <c r="G279" s="24" t="s">
        <v>1028</v>
      </c>
      <c r="H279" s="34" t="s">
        <v>915</v>
      </c>
    </row>
    <row r="280" ht="20" customHeight="1" spans="1:8" x14ac:dyDescent="0.25">
      <c r="A280" s="22" t="s">
        <v>53</v>
      </c>
      <c r="B280" s="22" t="s">
        <v>31</v>
      </c>
      <c r="C280" s="23" t="s">
        <v>1010</v>
      </c>
      <c r="D280" s="6" t="s">
        <v>4</v>
      </c>
      <c r="E280" s="22" t="s">
        <v>750</v>
      </c>
      <c r="F280" s="22" t="s">
        <v>1029</v>
      </c>
      <c r="G280" s="22" t="s">
        <v>1030</v>
      </c>
      <c r="H280" s="29" t="s">
        <v>1031</v>
      </c>
    </row>
    <row r="281" ht="20" customHeight="1" spans="1:8" x14ac:dyDescent="0.25">
      <c r="A281" s="24" t="s">
        <v>54</v>
      </c>
      <c r="B281" s="24" t="s">
        <v>34</v>
      </c>
      <c r="C281" s="25" t="s">
        <v>1010</v>
      </c>
      <c r="D281" s="6" t="s">
        <v>4</v>
      </c>
      <c r="E281" s="24" t="s">
        <v>363</v>
      </c>
      <c r="F281" s="24" t="s">
        <v>12</v>
      </c>
      <c r="G281" s="24" t="s">
        <v>12</v>
      </c>
      <c r="H281" s="34" t="s">
        <v>1032</v>
      </c>
    </row>
    <row r="282" ht="20" customHeight="1" spans="1:8" x14ac:dyDescent="0.25">
      <c r="A282" s="22" t="s">
        <v>55</v>
      </c>
      <c r="B282" s="22" t="s">
        <v>36</v>
      </c>
      <c r="C282" s="23" t="s">
        <v>1010</v>
      </c>
      <c r="D282" s="6" t="s">
        <v>4</v>
      </c>
      <c r="E282" s="22" t="s">
        <v>962</v>
      </c>
      <c r="F282" s="22" t="s">
        <v>12</v>
      </c>
      <c r="G282" s="22" t="s">
        <v>12</v>
      </c>
      <c r="H282" s="29" t="s">
        <v>1033</v>
      </c>
    </row>
    <row r="283" ht="20" customHeight="1" spans="1:8" x14ac:dyDescent="0.25">
      <c r="A283" s="24" t="s">
        <v>56</v>
      </c>
      <c r="B283" s="24" t="s">
        <v>38</v>
      </c>
      <c r="C283" s="25" t="s">
        <v>1010</v>
      </c>
      <c r="D283" s="6" t="s">
        <v>4</v>
      </c>
      <c r="E283" s="24" t="s">
        <v>341</v>
      </c>
      <c r="F283" s="24" t="s">
        <v>1034</v>
      </c>
      <c r="G283" s="24" t="s">
        <v>1035</v>
      </c>
      <c r="H283" s="34" t="s">
        <v>1036</v>
      </c>
    </row>
    <row r="284" ht="20" customHeight="1" spans="1:8" x14ac:dyDescent="0.25">
      <c r="A284" s="22" t="s">
        <v>57</v>
      </c>
      <c r="B284" s="22" t="s">
        <v>40</v>
      </c>
      <c r="C284" s="23" t="s">
        <v>1010</v>
      </c>
      <c r="D284" s="6" t="s">
        <v>4</v>
      </c>
      <c r="E284" s="22" t="s">
        <v>389</v>
      </c>
      <c r="F284" s="22" t="s">
        <v>1037</v>
      </c>
      <c r="G284" s="22" t="s">
        <v>1038</v>
      </c>
      <c r="H284" s="29" t="s">
        <v>1039</v>
      </c>
    </row>
    <row r="285" ht="20" customHeight="1" spans="1:8" x14ac:dyDescent="0.25">
      <c r="A285" s="24" t="s">
        <v>58</v>
      </c>
      <c r="B285" s="24" t="s">
        <v>42</v>
      </c>
      <c r="C285" s="25" t="s">
        <v>1010</v>
      </c>
      <c r="D285" s="33" t="s">
        <v>86</v>
      </c>
      <c r="E285" s="24" t="s">
        <v>599</v>
      </c>
      <c r="F285" s="24" t="s">
        <v>12</v>
      </c>
      <c r="G285" s="24" t="s">
        <v>12</v>
      </c>
      <c r="H285" s="34" t="s">
        <v>1040</v>
      </c>
    </row>
    <row r="286" ht="20" customHeight="1" spans="1:8" x14ac:dyDescent="0.25">
      <c r="A286" s="22" t="s">
        <v>59</v>
      </c>
      <c r="B286" s="22" t="s">
        <v>45</v>
      </c>
      <c r="C286" s="23" t="s">
        <v>1010</v>
      </c>
      <c r="D286" s="6" t="s">
        <v>4</v>
      </c>
      <c r="E286" s="22" t="s">
        <v>115</v>
      </c>
      <c r="F286" s="22" t="s">
        <v>12</v>
      </c>
      <c r="G286" s="22" t="s">
        <v>12</v>
      </c>
      <c r="H286" s="29" t="s">
        <v>1041</v>
      </c>
    </row>
    <row r="287" ht="20" customHeight="1" spans="1:8" x14ac:dyDescent="0.25">
      <c r="A287" s="24" t="s">
        <v>60</v>
      </c>
      <c r="B287" s="24" t="s">
        <v>31</v>
      </c>
      <c r="C287" s="25" t="s">
        <v>1010</v>
      </c>
      <c r="D287" s="6" t="s">
        <v>4</v>
      </c>
      <c r="E287" s="24" t="s">
        <v>338</v>
      </c>
      <c r="F287" s="24" t="s">
        <v>12</v>
      </c>
      <c r="G287" s="24" t="s">
        <v>12</v>
      </c>
      <c r="H287" s="34" t="s">
        <v>1042</v>
      </c>
    </row>
    <row r="288" ht="20" customHeight="1" spans="1:8" x14ac:dyDescent="0.25">
      <c r="A288" s="22" t="s">
        <v>61</v>
      </c>
      <c r="B288" s="22" t="s">
        <v>34</v>
      </c>
      <c r="C288" s="23" t="s">
        <v>1010</v>
      </c>
      <c r="D288" s="6" t="s">
        <v>4</v>
      </c>
      <c r="E288" s="22" t="s">
        <v>252</v>
      </c>
      <c r="F288" s="22" t="s">
        <v>12</v>
      </c>
      <c r="G288" s="22" t="s">
        <v>12</v>
      </c>
      <c r="H288" s="29" t="s">
        <v>1043</v>
      </c>
    </row>
    <row r="289" ht="20" customHeight="1" spans="1:8" x14ac:dyDescent="0.25">
      <c r="A289" s="24" t="s">
        <v>62</v>
      </c>
      <c r="B289" s="24" t="s">
        <v>36</v>
      </c>
      <c r="C289" s="25" t="s">
        <v>1010</v>
      </c>
      <c r="D289" s="6" t="s">
        <v>4</v>
      </c>
      <c r="E289" s="24" t="s">
        <v>363</v>
      </c>
      <c r="F289" s="24" t="s">
        <v>1044</v>
      </c>
      <c r="G289" s="24" t="s">
        <v>1045</v>
      </c>
      <c r="H289" s="34" t="s">
        <v>1046</v>
      </c>
    </row>
    <row r="290" ht="20" customHeight="1" spans="1:8" x14ac:dyDescent="0.25">
      <c r="A290" s="22" t="s">
        <v>63</v>
      </c>
      <c r="B290" s="22" t="s">
        <v>38</v>
      </c>
      <c r="C290" s="23" t="s">
        <v>1010</v>
      </c>
      <c r="D290" s="6" t="s">
        <v>4</v>
      </c>
      <c r="E290" s="22" t="s">
        <v>160</v>
      </c>
      <c r="F290" s="22" t="s">
        <v>12</v>
      </c>
      <c r="G290" s="22" t="s">
        <v>12</v>
      </c>
      <c r="H290" s="29" t="s">
        <v>1047</v>
      </c>
    </row>
    <row r="291" ht="20" customHeight="1" spans="1:8" x14ac:dyDescent="0.25">
      <c r="A291" s="24" t="s">
        <v>64</v>
      </c>
      <c r="B291" s="24" t="s">
        <v>40</v>
      </c>
      <c r="C291" s="25" t="s">
        <v>1010</v>
      </c>
      <c r="D291" s="6" t="s">
        <v>4</v>
      </c>
      <c r="E291" s="24" t="s">
        <v>170</v>
      </c>
      <c r="F291" s="24" t="s">
        <v>1048</v>
      </c>
      <c r="G291" s="24" t="s">
        <v>78</v>
      </c>
      <c r="H291" s="34" t="s">
        <v>1049</v>
      </c>
    </row>
    <row r="292" ht="20" customHeight="1" spans="1:8" x14ac:dyDescent="0.25">
      <c r="A292" s="22" t="s">
        <v>65</v>
      </c>
      <c r="B292" s="22" t="s">
        <v>42</v>
      </c>
      <c r="C292" s="23" t="s">
        <v>1010</v>
      </c>
      <c r="D292" s="35" t="s">
        <v>86</v>
      </c>
      <c r="E292" s="22" t="s">
        <v>12</v>
      </c>
      <c r="F292" s="22" t="s">
        <v>12</v>
      </c>
      <c r="G292" s="22" t="s">
        <v>12</v>
      </c>
      <c r="H292" s="22" t="s">
        <v>32</v>
      </c>
    </row>
    <row r="293" ht="20" customHeight="1" spans="1:8" x14ac:dyDescent="0.25">
      <c r="A293" s="24" t="s">
        <v>66</v>
      </c>
      <c r="B293" s="24" t="s">
        <v>45</v>
      </c>
      <c r="C293" s="25" t="s">
        <v>1010</v>
      </c>
      <c r="D293" s="6" t="s">
        <v>4</v>
      </c>
      <c r="E293" s="24" t="s">
        <v>962</v>
      </c>
      <c r="F293" s="24" t="s">
        <v>12</v>
      </c>
      <c r="G293" s="24" t="s">
        <v>12</v>
      </c>
      <c r="H293" s="34" t="s">
        <v>1033</v>
      </c>
    </row>
    <row r="294" ht="20" customHeight="1" spans="1:8" x14ac:dyDescent="0.25">
      <c r="A294" s="22" t="s">
        <v>67</v>
      </c>
      <c r="B294" s="22" t="s">
        <v>31</v>
      </c>
      <c r="C294" s="23" t="s">
        <v>1010</v>
      </c>
      <c r="D294" s="6" t="s">
        <v>4</v>
      </c>
      <c r="E294" s="22" t="s">
        <v>1050</v>
      </c>
      <c r="F294" s="22" t="s">
        <v>936</v>
      </c>
      <c r="G294" s="22" t="s">
        <v>12</v>
      </c>
      <c r="H294" s="29" t="s">
        <v>1051</v>
      </c>
    </row>
    <row r="295" ht="20" customHeight="1" spans="1:8" x14ac:dyDescent="0.25">
      <c r="A295" s="24" t="s">
        <v>68</v>
      </c>
      <c r="B295" s="24" t="s">
        <v>34</v>
      </c>
      <c r="C295" s="25" t="s">
        <v>1010</v>
      </c>
      <c r="D295" s="6" t="s">
        <v>4</v>
      </c>
      <c r="E295" s="24" t="s">
        <v>1052</v>
      </c>
      <c r="F295" s="24" t="s">
        <v>936</v>
      </c>
      <c r="G295" s="24" t="s">
        <v>226</v>
      </c>
      <c r="H295" s="34" t="s">
        <v>1053</v>
      </c>
    </row>
    <row r="296" ht="22" customHeight="1" spans="1:8" x14ac:dyDescent="0.25">
      <c r="A296" s="26" t="s">
        <v>69</v>
      </c>
      <c r="B296" s="26"/>
      <c r="C296" s="26"/>
      <c r="D296" s="26"/>
      <c r="E296" s="26"/>
      <c r="F296" s="26"/>
      <c r="G296" s="27" t="s">
        <v>1054</v>
      </c>
      <c r="H296" s="28" t="s">
        <v>12</v>
      </c>
    </row>
    <row r="298" ht="26" customHeight="1" spans="1:8" x14ac:dyDescent="0.25">
      <c r="A298" s="20" t="s">
        <v>1055</v>
      </c>
      <c r="B298" s="20"/>
      <c r="C298" s="20"/>
      <c r="D298" s="20"/>
      <c r="E298" s="20"/>
      <c r="F298" s="20"/>
      <c r="G298" s="20"/>
      <c r="H298" s="20"/>
    </row>
    <row r="299" ht="22" customHeight="1" spans="1:8" x14ac:dyDescent="0.25">
      <c r="A299" s="21" t="s">
        <v>22</v>
      </c>
      <c r="B299" s="21" t="s">
        <v>23</v>
      </c>
      <c r="C299" s="21" t="s">
        <v>24</v>
      </c>
      <c r="D299" s="21" t="s">
        <v>25</v>
      </c>
      <c r="E299" s="21" t="s">
        <v>26</v>
      </c>
      <c r="F299" s="21" t="s">
        <v>27</v>
      </c>
      <c r="G299" s="21" t="s">
        <v>28</v>
      </c>
      <c r="H299" s="21" t="s">
        <v>29</v>
      </c>
    </row>
    <row r="300" ht="20" customHeight="1" spans="1:8" x14ac:dyDescent="0.25">
      <c r="A300" s="22" t="s">
        <v>30</v>
      </c>
      <c r="B300" s="22" t="s">
        <v>31</v>
      </c>
      <c r="C300" s="23" t="s">
        <v>71</v>
      </c>
      <c r="D300" s="6" t="s">
        <v>4</v>
      </c>
      <c r="E300" s="22" t="s">
        <v>228</v>
      </c>
      <c r="F300" s="22" t="s">
        <v>924</v>
      </c>
      <c r="G300" s="22" t="s">
        <v>1056</v>
      </c>
      <c r="H300" s="29" t="s">
        <v>229</v>
      </c>
    </row>
    <row r="301" ht="20" customHeight="1" spans="1:8" x14ac:dyDescent="0.25">
      <c r="A301" s="24" t="s">
        <v>33</v>
      </c>
      <c r="B301" s="24" t="s">
        <v>34</v>
      </c>
      <c r="C301" s="25" t="s">
        <v>71</v>
      </c>
      <c r="D301" s="6" t="s">
        <v>4</v>
      </c>
      <c r="E301" s="24" t="s">
        <v>1057</v>
      </c>
      <c r="F301" s="24" t="s">
        <v>12</v>
      </c>
      <c r="G301" s="24" t="s">
        <v>12</v>
      </c>
      <c r="H301" s="34" t="s">
        <v>1058</v>
      </c>
    </row>
    <row r="302" ht="20" customHeight="1" spans="1:8" x14ac:dyDescent="0.25">
      <c r="A302" s="22" t="s">
        <v>35</v>
      </c>
      <c r="B302" s="22" t="s">
        <v>36</v>
      </c>
      <c r="C302" s="23" t="s">
        <v>71</v>
      </c>
      <c r="D302" s="6" t="s">
        <v>4</v>
      </c>
      <c r="E302" s="22" t="s">
        <v>152</v>
      </c>
      <c r="F302" s="22" t="s">
        <v>961</v>
      </c>
      <c r="G302" s="22" t="s">
        <v>652</v>
      </c>
      <c r="H302" s="29" t="s">
        <v>155</v>
      </c>
    </row>
    <row r="303" ht="20" customHeight="1" spans="1:8" x14ac:dyDescent="0.25">
      <c r="A303" s="24" t="s">
        <v>37</v>
      </c>
      <c r="B303" s="24" t="s">
        <v>38</v>
      </c>
      <c r="C303" s="25" t="s">
        <v>71</v>
      </c>
      <c r="D303" s="31" t="s">
        <v>11</v>
      </c>
      <c r="E303" s="24" t="s">
        <v>12</v>
      </c>
      <c r="F303" s="24" t="s">
        <v>12</v>
      </c>
      <c r="G303" s="24" t="s">
        <v>12</v>
      </c>
      <c r="H303" s="24" t="s">
        <v>32</v>
      </c>
    </row>
    <row r="304" ht="20" customHeight="1" spans="1:8" x14ac:dyDescent="0.25">
      <c r="A304" s="22" t="s">
        <v>39</v>
      </c>
      <c r="B304" s="22" t="s">
        <v>40</v>
      </c>
      <c r="C304" s="23" t="s">
        <v>71</v>
      </c>
      <c r="D304" s="6" t="s">
        <v>4</v>
      </c>
      <c r="E304" s="22" t="s">
        <v>189</v>
      </c>
      <c r="F304" s="22" t="s">
        <v>12</v>
      </c>
      <c r="G304" s="22" t="s">
        <v>12</v>
      </c>
      <c r="H304" s="29" t="s">
        <v>191</v>
      </c>
    </row>
    <row r="305" ht="20" customHeight="1" spans="1:8" x14ac:dyDescent="0.25">
      <c r="A305" s="24" t="s">
        <v>41</v>
      </c>
      <c r="B305" s="24" t="s">
        <v>42</v>
      </c>
      <c r="C305" s="25" t="s">
        <v>71</v>
      </c>
      <c r="D305" s="33" t="s">
        <v>86</v>
      </c>
      <c r="E305" s="24" t="s">
        <v>12</v>
      </c>
      <c r="F305" s="24" t="s">
        <v>12</v>
      </c>
      <c r="G305" s="24" t="s">
        <v>12</v>
      </c>
      <c r="H305" s="24" t="s">
        <v>32</v>
      </c>
    </row>
    <row r="306" ht="20" customHeight="1" spans="1:8" x14ac:dyDescent="0.25">
      <c r="A306" s="22" t="s">
        <v>44</v>
      </c>
      <c r="B306" s="22" t="s">
        <v>45</v>
      </c>
      <c r="C306" s="23" t="s">
        <v>71</v>
      </c>
      <c r="D306" s="7" t="s">
        <v>5</v>
      </c>
      <c r="E306" s="22" t="s">
        <v>12</v>
      </c>
      <c r="F306" s="22" t="s">
        <v>12</v>
      </c>
      <c r="G306" s="22" t="s">
        <v>12</v>
      </c>
      <c r="H306" s="22" t="s">
        <v>32</v>
      </c>
    </row>
    <row r="307" ht="20" customHeight="1" spans="1:8" x14ac:dyDescent="0.25">
      <c r="A307" s="24" t="s">
        <v>46</v>
      </c>
      <c r="B307" s="24" t="s">
        <v>31</v>
      </c>
      <c r="C307" s="25" t="s">
        <v>71</v>
      </c>
      <c r="D307" s="7" t="s">
        <v>5</v>
      </c>
      <c r="E307" s="24" t="s">
        <v>12</v>
      </c>
      <c r="F307" s="24" t="s">
        <v>12</v>
      </c>
      <c r="G307" s="24" t="s">
        <v>12</v>
      </c>
      <c r="H307" s="24" t="s">
        <v>32</v>
      </c>
    </row>
    <row r="308" ht="20" customHeight="1" spans="1:8" x14ac:dyDescent="0.25">
      <c r="A308" s="22" t="s">
        <v>47</v>
      </c>
      <c r="B308" s="22" t="s">
        <v>34</v>
      </c>
      <c r="C308" s="23" t="s">
        <v>71</v>
      </c>
      <c r="D308" s="7" t="s">
        <v>5</v>
      </c>
      <c r="E308" s="22" t="s">
        <v>12</v>
      </c>
      <c r="F308" s="22" t="s">
        <v>12</v>
      </c>
      <c r="G308" s="22" t="s">
        <v>12</v>
      </c>
      <c r="H308" s="22" t="s">
        <v>32</v>
      </c>
    </row>
    <row r="309" ht="20" customHeight="1" spans="1:8" x14ac:dyDescent="0.25">
      <c r="A309" s="24" t="s">
        <v>48</v>
      </c>
      <c r="B309" s="24" t="s">
        <v>36</v>
      </c>
      <c r="C309" s="25" t="s">
        <v>71</v>
      </c>
      <c r="D309" s="7" t="s">
        <v>5</v>
      </c>
      <c r="E309" s="24" t="s">
        <v>12</v>
      </c>
      <c r="F309" s="24" t="s">
        <v>12</v>
      </c>
      <c r="G309" s="24" t="s">
        <v>12</v>
      </c>
      <c r="H309" s="24" t="s">
        <v>32</v>
      </c>
    </row>
    <row r="310" ht="20" customHeight="1" spans="1:8" x14ac:dyDescent="0.25">
      <c r="A310" s="22" t="s">
        <v>49</v>
      </c>
      <c r="B310" s="22" t="s">
        <v>38</v>
      </c>
      <c r="C310" s="23" t="s">
        <v>71</v>
      </c>
      <c r="D310" s="7" t="s">
        <v>5</v>
      </c>
      <c r="E310" s="22" t="s">
        <v>12</v>
      </c>
      <c r="F310" s="22" t="s">
        <v>12</v>
      </c>
      <c r="G310" s="22" t="s">
        <v>12</v>
      </c>
      <c r="H310" s="22" t="s">
        <v>32</v>
      </c>
    </row>
    <row r="311" ht="20" customHeight="1" spans="1:8" x14ac:dyDescent="0.25">
      <c r="A311" s="24" t="s">
        <v>50</v>
      </c>
      <c r="B311" s="24" t="s">
        <v>40</v>
      </c>
      <c r="C311" s="25" t="s">
        <v>71</v>
      </c>
      <c r="D311" s="16" t="s">
        <v>43</v>
      </c>
      <c r="E311" s="24" t="s">
        <v>12</v>
      </c>
      <c r="F311" s="24" t="s">
        <v>12</v>
      </c>
      <c r="G311" s="24" t="s">
        <v>12</v>
      </c>
      <c r="H311" s="24" t="s">
        <v>32</v>
      </c>
    </row>
    <row r="312" ht="20" customHeight="1" spans="1:8" x14ac:dyDescent="0.25">
      <c r="A312" s="22" t="s">
        <v>51</v>
      </c>
      <c r="B312" s="22" t="s">
        <v>42</v>
      </c>
      <c r="C312" s="23" t="s">
        <v>71</v>
      </c>
      <c r="D312" s="16" t="s">
        <v>43</v>
      </c>
      <c r="E312" s="22" t="s">
        <v>12</v>
      </c>
      <c r="F312" s="22" t="s">
        <v>12</v>
      </c>
      <c r="G312" s="22" t="s">
        <v>12</v>
      </c>
      <c r="H312" s="22" t="s">
        <v>32</v>
      </c>
    </row>
    <row r="313" ht="20" customHeight="1" spans="1:8" x14ac:dyDescent="0.25">
      <c r="A313" s="24" t="s">
        <v>52</v>
      </c>
      <c r="B313" s="24" t="s">
        <v>45</v>
      </c>
      <c r="C313" s="25" t="s">
        <v>71</v>
      </c>
      <c r="D313" s="7" t="s">
        <v>5</v>
      </c>
      <c r="E313" s="24" t="s">
        <v>12</v>
      </c>
      <c r="F313" s="24" t="s">
        <v>12</v>
      </c>
      <c r="G313" s="24" t="s">
        <v>12</v>
      </c>
      <c r="H313" s="24" t="s">
        <v>32</v>
      </c>
    </row>
    <row r="314" ht="20" customHeight="1" spans="1:8" x14ac:dyDescent="0.25">
      <c r="A314" s="22" t="s">
        <v>53</v>
      </c>
      <c r="B314" s="22" t="s">
        <v>31</v>
      </c>
      <c r="C314" s="23" t="s">
        <v>71</v>
      </c>
      <c r="D314" s="7" t="s">
        <v>5</v>
      </c>
      <c r="E314" s="22" t="s">
        <v>12</v>
      </c>
      <c r="F314" s="22" t="s">
        <v>12</v>
      </c>
      <c r="G314" s="22" t="s">
        <v>12</v>
      </c>
      <c r="H314" s="22" t="s">
        <v>32</v>
      </c>
    </row>
    <row r="315" ht="20" customHeight="1" spans="1:8" x14ac:dyDescent="0.25">
      <c r="A315" s="24" t="s">
        <v>54</v>
      </c>
      <c r="B315" s="24" t="s">
        <v>34</v>
      </c>
      <c r="C315" s="25" t="s">
        <v>71</v>
      </c>
      <c r="D315" s="7" t="s">
        <v>5</v>
      </c>
      <c r="E315" s="24" t="s">
        <v>12</v>
      </c>
      <c r="F315" s="24" t="s">
        <v>12</v>
      </c>
      <c r="G315" s="24" t="s">
        <v>12</v>
      </c>
      <c r="H315" s="24" t="s">
        <v>32</v>
      </c>
    </row>
    <row r="316" ht="20" customHeight="1" spans="1:8" x14ac:dyDescent="0.25">
      <c r="A316" s="22" t="s">
        <v>55</v>
      </c>
      <c r="B316" s="22" t="s">
        <v>36</v>
      </c>
      <c r="C316" s="23" t="s">
        <v>71</v>
      </c>
      <c r="D316" s="7" t="s">
        <v>5</v>
      </c>
      <c r="E316" s="22" t="s">
        <v>12</v>
      </c>
      <c r="F316" s="22" t="s">
        <v>12</v>
      </c>
      <c r="G316" s="22" t="s">
        <v>12</v>
      </c>
      <c r="H316" s="22" t="s">
        <v>32</v>
      </c>
    </row>
    <row r="317" ht="20" customHeight="1" spans="1:8" x14ac:dyDescent="0.25">
      <c r="A317" s="24" t="s">
        <v>56</v>
      </c>
      <c r="B317" s="24" t="s">
        <v>38</v>
      </c>
      <c r="C317" s="25" t="s">
        <v>71</v>
      </c>
      <c r="D317" s="7" t="s">
        <v>5</v>
      </c>
      <c r="E317" s="24" t="s">
        <v>12</v>
      </c>
      <c r="F317" s="24" t="s">
        <v>12</v>
      </c>
      <c r="G317" s="24" t="s">
        <v>12</v>
      </c>
      <c r="H317" s="24" t="s">
        <v>32</v>
      </c>
    </row>
    <row r="318" ht="20" customHeight="1" spans="1:8" x14ac:dyDescent="0.25">
      <c r="A318" s="22" t="s">
        <v>57</v>
      </c>
      <c r="B318" s="22" t="s">
        <v>40</v>
      </c>
      <c r="C318" s="23" t="s">
        <v>71</v>
      </c>
      <c r="D318" s="7" t="s">
        <v>5</v>
      </c>
      <c r="E318" s="22" t="s">
        <v>12</v>
      </c>
      <c r="F318" s="22" t="s">
        <v>12</v>
      </c>
      <c r="G318" s="22" t="s">
        <v>12</v>
      </c>
      <c r="H318" s="22" t="s">
        <v>32</v>
      </c>
    </row>
    <row r="319" ht="20" customHeight="1" spans="1:8" x14ac:dyDescent="0.25">
      <c r="A319" s="24" t="s">
        <v>58</v>
      </c>
      <c r="B319" s="24" t="s">
        <v>42</v>
      </c>
      <c r="C319" s="25" t="s">
        <v>71</v>
      </c>
      <c r="D319" s="16" t="s">
        <v>43</v>
      </c>
      <c r="E319" s="24" t="s">
        <v>12</v>
      </c>
      <c r="F319" s="24" t="s">
        <v>12</v>
      </c>
      <c r="G319" s="24" t="s">
        <v>12</v>
      </c>
      <c r="H319" s="24" t="s">
        <v>32</v>
      </c>
    </row>
    <row r="320" ht="20" customHeight="1" spans="1:8" x14ac:dyDescent="0.25">
      <c r="A320" s="22" t="s">
        <v>59</v>
      </c>
      <c r="B320" s="22" t="s">
        <v>45</v>
      </c>
      <c r="C320" s="23" t="s">
        <v>71</v>
      </c>
      <c r="D320" s="7" t="s">
        <v>5</v>
      </c>
      <c r="E320" s="22" t="s">
        <v>12</v>
      </c>
      <c r="F320" s="22" t="s">
        <v>12</v>
      </c>
      <c r="G320" s="22" t="s">
        <v>12</v>
      </c>
      <c r="H320" s="22" t="s">
        <v>32</v>
      </c>
    </row>
    <row r="321" ht="20" customHeight="1" spans="1:8" x14ac:dyDescent="0.25">
      <c r="A321" s="24" t="s">
        <v>60</v>
      </c>
      <c r="B321" s="24" t="s">
        <v>31</v>
      </c>
      <c r="C321" s="25" t="s">
        <v>71</v>
      </c>
      <c r="D321" s="7" t="s">
        <v>5</v>
      </c>
      <c r="E321" s="24" t="s">
        <v>12</v>
      </c>
      <c r="F321" s="24" t="s">
        <v>12</v>
      </c>
      <c r="G321" s="24" t="s">
        <v>12</v>
      </c>
      <c r="H321" s="24" t="s">
        <v>32</v>
      </c>
    </row>
    <row r="322" ht="20" customHeight="1" spans="1:8" x14ac:dyDescent="0.25">
      <c r="A322" s="22" t="s">
        <v>61</v>
      </c>
      <c r="B322" s="22" t="s">
        <v>34</v>
      </c>
      <c r="C322" s="23" t="s">
        <v>71</v>
      </c>
      <c r="D322" s="7" t="s">
        <v>5</v>
      </c>
      <c r="E322" s="22" t="s">
        <v>12</v>
      </c>
      <c r="F322" s="22" t="s">
        <v>12</v>
      </c>
      <c r="G322" s="22" t="s">
        <v>12</v>
      </c>
      <c r="H322" s="22" t="s">
        <v>32</v>
      </c>
    </row>
    <row r="323" ht="20" customHeight="1" spans="1:8" x14ac:dyDescent="0.25">
      <c r="A323" s="24" t="s">
        <v>62</v>
      </c>
      <c r="B323" s="24" t="s">
        <v>36</v>
      </c>
      <c r="C323" s="25" t="s">
        <v>71</v>
      </c>
      <c r="D323" s="7" t="s">
        <v>5</v>
      </c>
      <c r="E323" s="24" t="s">
        <v>12</v>
      </c>
      <c r="F323" s="24" t="s">
        <v>12</v>
      </c>
      <c r="G323" s="24" t="s">
        <v>12</v>
      </c>
      <c r="H323" s="24" t="s">
        <v>32</v>
      </c>
    </row>
    <row r="324" ht="20" customHeight="1" spans="1:8" x14ac:dyDescent="0.25">
      <c r="A324" s="22" t="s">
        <v>63</v>
      </c>
      <c r="B324" s="22" t="s">
        <v>38</v>
      </c>
      <c r="C324" s="23" t="s">
        <v>71</v>
      </c>
      <c r="D324" s="7" t="s">
        <v>5</v>
      </c>
      <c r="E324" s="22" t="s">
        <v>12</v>
      </c>
      <c r="F324" s="22" t="s">
        <v>12</v>
      </c>
      <c r="G324" s="22" t="s">
        <v>12</v>
      </c>
      <c r="H324" s="22" t="s">
        <v>32</v>
      </c>
    </row>
    <row r="325" ht="20" customHeight="1" spans="1:8" x14ac:dyDescent="0.25">
      <c r="A325" s="24" t="s">
        <v>64</v>
      </c>
      <c r="B325" s="24" t="s">
        <v>40</v>
      </c>
      <c r="C325" s="25" t="s">
        <v>71</v>
      </c>
      <c r="D325" s="7" t="s">
        <v>5</v>
      </c>
      <c r="E325" s="24" t="s">
        <v>12</v>
      </c>
      <c r="F325" s="24" t="s">
        <v>12</v>
      </c>
      <c r="G325" s="24" t="s">
        <v>12</v>
      </c>
      <c r="H325" s="24" t="s">
        <v>32</v>
      </c>
    </row>
    <row r="326" ht="20" customHeight="1" spans="1:8" x14ac:dyDescent="0.25">
      <c r="A326" s="22" t="s">
        <v>65</v>
      </c>
      <c r="B326" s="22" t="s">
        <v>42</v>
      </c>
      <c r="C326" s="23" t="s">
        <v>71</v>
      </c>
      <c r="D326" s="16" t="s">
        <v>43</v>
      </c>
      <c r="E326" s="22" t="s">
        <v>12</v>
      </c>
      <c r="F326" s="22" t="s">
        <v>12</v>
      </c>
      <c r="G326" s="22" t="s">
        <v>12</v>
      </c>
      <c r="H326" s="22" t="s">
        <v>32</v>
      </c>
    </row>
    <row r="327" ht="20" customHeight="1" spans="1:8" x14ac:dyDescent="0.25">
      <c r="A327" s="24" t="s">
        <v>66</v>
      </c>
      <c r="B327" s="24" t="s">
        <v>45</v>
      </c>
      <c r="C327" s="25" t="s">
        <v>71</v>
      </c>
      <c r="D327" s="7" t="s">
        <v>5</v>
      </c>
      <c r="E327" s="24" t="s">
        <v>12</v>
      </c>
      <c r="F327" s="24" t="s">
        <v>12</v>
      </c>
      <c r="G327" s="24" t="s">
        <v>12</v>
      </c>
      <c r="H327" s="24" t="s">
        <v>32</v>
      </c>
    </row>
    <row r="328" ht="20" customHeight="1" spans="1:8" x14ac:dyDescent="0.25">
      <c r="A328" s="22" t="s">
        <v>67</v>
      </c>
      <c r="B328" s="22" t="s">
        <v>31</v>
      </c>
      <c r="C328" s="23" t="s">
        <v>71</v>
      </c>
      <c r="D328" s="7" t="s">
        <v>5</v>
      </c>
      <c r="E328" s="22" t="s">
        <v>12</v>
      </c>
      <c r="F328" s="22" t="s">
        <v>12</v>
      </c>
      <c r="G328" s="22" t="s">
        <v>12</v>
      </c>
      <c r="H328" s="22" t="s">
        <v>32</v>
      </c>
    </row>
    <row r="329" ht="20" customHeight="1" spans="1:8" x14ac:dyDescent="0.25">
      <c r="A329" s="24" t="s">
        <v>68</v>
      </c>
      <c r="B329" s="24" t="s">
        <v>34</v>
      </c>
      <c r="C329" s="25" t="s">
        <v>71</v>
      </c>
      <c r="D329" s="7" t="s">
        <v>5</v>
      </c>
      <c r="E329" s="24" t="s">
        <v>12</v>
      </c>
      <c r="F329" s="24" t="s">
        <v>12</v>
      </c>
      <c r="G329" s="24" t="s">
        <v>12</v>
      </c>
      <c r="H329" s="24" t="s">
        <v>32</v>
      </c>
    </row>
    <row r="330" ht="22" customHeight="1" spans="1:8" x14ac:dyDescent="0.25">
      <c r="A330" s="26" t="s">
        <v>69</v>
      </c>
      <c r="B330" s="26"/>
      <c r="C330" s="26"/>
      <c r="D330" s="26"/>
      <c r="E330" s="26"/>
      <c r="F330" s="26"/>
      <c r="G330" s="27" t="s">
        <v>1059</v>
      </c>
      <c r="H330" s="28" t="s">
        <v>12</v>
      </c>
    </row>
    <row r="332" ht="26" customHeight="1" spans="1:8" x14ac:dyDescent="0.25">
      <c r="A332" s="20" t="s">
        <v>1060</v>
      </c>
      <c r="B332" s="20"/>
      <c r="C332" s="20"/>
      <c r="D332" s="20"/>
      <c r="E332" s="20"/>
      <c r="F332" s="20"/>
      <c r="G332" s="20"/>
      <c r="H332" s="20"/>
    </row>
    <row r="333" ht="22" customHeight="1" spans="1:8" x14ac:dyDescent="0.25">
      <c r="A333" s="21" t="s">
        <v>22</v>
      </c>
      <c r="B333" s="21" t="s">
        <v>23</v>
      </c>
      <c r="C333" s="21" t="s">
        <v>24</v>
      </c>
      <c r="D333" s="21" t="s">
        <v>25</v>
      </c>
      <c r="E333" s="21" t="s">
        <v>26</v>
      </c>
      <c r="F333" s="21" t="s">
        <v>27</v>
      </c>
      <c r="G333" s="21" t="s">
        <v>28</v>
      </c>
      <c r="H333" s="21" t="s">
        <v>29</v>
      </c>
    </row>
    <row r="334" ht="20" customHeight="1" spans="1:8" x14ac:dyDescent="0.25">
      <c r="A334" s="22" t="s">
        <v>30</v>
      </c>
      <c r="B334" s="22" t="s">
        <v>31</v>
      </c>
      <c r="C334" s="23" t="s">
        <v>605</v>
      </c>
      <c r="D334" s="6" t="s">
        <v>4</v>
      </c>
      <c r="E334" s="22" t="s">
        <v>832</v>
      </c>
      <c r="F334" s="22" t="s">
        <v>12</v>
      </c>
      <c r="G334" s="22" t="s">
        <v>12</v>
      </c>
      <c r="H334" s="32" t="s">
        <v>79</v>
      </c>
    </row>
    <row r="335" ht="20" customHeight="1" spans="1:8" x14ac:dyDescent="0.25">
      <c r="A335" s="24" t="s">
        <v>33</v>
      </c>
      <c r="B335" s="24" t="s">
        <v>34</v>
      </c>
      <c r="C335" s="25" t="s">
        <v>605</v>
      </c>
      <c r="D335" s="6" t="s">
        <v>4</v>
      </c>
      <c r="E335" s="24" t="s">
        <v>106</v>
      </c>
      <c r="F335" s="24" t="s">
        <v>12</v>
      </c>
      <c r="G335" s="24" t="s">
        <v>12</v>
      </c>
      <c r="H335" s="30" t="s">
        <v>79</v>
      </c>
    </row>
    <row r="336" ht="20" customHeight="1" spans="1:8" x14ac:dyDescent="0.25">
      <c r="A336" s="22" t="s">
        <v>35</v>
      </c>
      <c r="B336" s="22" t="s">
        <v>36</v>
      </c>
      <c r="C336" s="23" t="s">
        <v>605</v>
      </c>
      <c r="D336" s="6" t="s">
        <v>4</v>
      </c>
      <c r="E336" s="22" t="s">
        <v>1061</v>
      </c>
      <c r="F336" s="22" t="s">
        <v>12</v>
      </c>
      <c r="G336" s="22" t="s">
        <v>12</v>
      </c>
      <c r="H336" s="29" t="s">
        <v>1062</v>
      </c>
    </row>
    <row r="337" ht="20" customHeight="1" spans="1:8" x14ac:dyDescent="0.25">
      <c r="A337" s="24" t="s">
        <v>37</v>
      </c>
      <c r="B337" s="24" t="s">
        <v>38</v>
      </c>
      <c r="C337" s="25" t="s">
        <v>605</v>
      </c>
      <c r="D337" s="31" t="s">
        <v>11</v>
      </c>
      <c r="E337" s="24" t="s">
        <v>12</v>
      </c>
      <c r="F337" s="24" t="s">
        <v>12</v>
      </c>
      <c r="G337" s="24" t="s">
        <v>12</v>
      </c>
      <c r="H337" s="24" t="s">
        <v>32</v>
      </c>
    </row>
    <row r="338" ht="20" customHeight="1" spans="1:8" x14ac:dyDescent="0.25">
      <c r="A338" s="22" t="s">
        <v>39</v>
      </c>
      <c r="B338" s="22" t="s">
        <v>40</v>
      </c>
      <c r="C338" s="23" t="s">
        <v>605</v>
      </c>
      <c r="D338" s="6" t="s">
        <v>4</v>
      </c>
      <c r="E338" s="22" t="s">
        <v>125</v>
      </c>
      <c r="F338" s="22" t="s">
        <v>126</v>
      </c>
      <c r="G338" s="22" t="s">
        <v>127</v>
      </c>
      <c r="H338" s="32" t="s">
        <v>79</v>
      </c>
    </row>
    <row r="339" ht="20" customHeight="1" spans="1:8" x14ac:dyDescent="0.25">
      <c r="A339" s="24" t="s">
        <v>41</v>
      </c>
      <c r="B339" s="24" t="s">
        <v>42</v>
      </c>
      <c r="C339" s="25" t="s">
        <v>605</v>
      </c>
      <c r="D339" s="33" t="s">
        <v>86</v>
      </c>
      <c r="E339" s="24" t="s">
        <v>12</v>
      </c>
      <c r="F339" s="24" t="s">
        <v>12</v>
      </c>
      <c r="G339" s="24" t="s">
        <v>12</v>
      </c>
      <c r="H339" s="24" t="s">
        <v>32</v>
      </c>
    </row>
    <row r="340" ht="20" customHeight="1" spans="1:8" x14ac:dyDescent="0.25">
      <c r="A340" s="22" t="s">
        <v>44</v>
      </c>
      <c r="B340" s="22" t="s">
        <v>45</v>
      </c>
      <c r="C340" s="23" t="s">
        <v>605</v>
      </c>
      <c r="D340" s="6" t="s">
        <v>4</v>
      </c>
      <c r="E340" s="22" t="s">
        <v>135</v>
      </c>
      <c r="F340" s="22" t="s">
        <v>986</v>
      </c>
      <c r="G340" s="22" t="s">
        <v>1063</v>
      </c>
      <c r="H340" s="32" t="s">
        <v>79</v>
      </c>
    </row>
    <row r="341" ht="20" customHeight="1" spans="1:8" x14ac:dyDescent="0.25">
      <c r="A341" s="24" t="s">
        <v>46</v>
      </c>
      <c r="B341" s="24" t="s">
        <v>31</v>
      </c>
      <c r="C341" s="25" t="s">
        <v>605</v>
      </c>
      <c r="D341" s="6" t="s">
        <v>4</v>
      </c>
      <c r="E341" s="24" t="s">
        <v>446</v>
      </c>
      <c r="F341" s="24" t="s">
        <v>1064</v>
      </c>
      <c r="G341" s="24" t="s">
        <v>1065</v>
      </c>
      <c r="H341" s="30" t="s">
        <v>79</v>
      </c>
    </row>
    <row r="342" ht="20" customHeight="1" spans="1:8" x14ac:dyDescent="0.25">
      <c r="A342" s="22" t="s">
        <v>47</v>
      </c>
      <c r="B342" s="22" t="s">
        <v>34</v>
      </c>
      <c r="C342" s="23" t="s">
        <v>605</v>
      </c>
      <c r="D342" s="6" t="s">
        <v>4</v>
      </c>
      <c r="E342" s="22" t="s">
        <v>409</v>
      </c>
      <c r="F342" s="22" t="s">
        <v>924</v>
      </c>
      <c r="G342" s="22" t="s">
        <v>1066</v>
      </c>
      <c r="H342" s="32" t="s">
        <v>79</v>
      </c>
    </row>
    <row r="343" ht="20" customHeight="1" spans="1:8" x14ac:dyDescent="0.25">
      <c r="A343" s="24" t="s">
        <v>48</v>
      </c>
      <c r="B343" s="24" t="s">
        <v>36</v>
      </c>
      <c r="C343" s="25" t="s">
        <v>605</v>
      </c>
      <c r="D343" s="6" t="s">
        <v>4</v>
      </c>
      <c r="E343" s="24" t="s">
        <v>12</v>
      </c>
      <c r="F343" s="24" t="s">
        <v>12</v>
      </c>
      <c r="G343" s="24" t="s">
        <v>12</v>
      </c>
      <c r="H343" s="24" t="s">
        <v>32</v>
      </c>
    </row>
    <row r="344" ht="20" customHeight="1" spans="1:8" x14ac:dyDescent="0.25">
      <c r="A344" s="22" t="s">
        <v>49</v>
      </c>
      <c r="B344" s="22" t="s">
        <v>38</v>
      </c>
      <c r="C344" s="23" t="s">
        <v>605</v>
      </c>
      <c r="D344" s="6" t="s">
        <v>4</v>
      </c>
      <c r="E344" s="22" t="s">
        <v>1067</v>
      </c>
      <c r="F344" s="22" t="s">
        <v>12</v>
      </c>
      <c r="G344" s="22" t="s">
        <v>12</v>
      </c>
      <c r="H344" s="29" t="s">
        <v>869</v>
      </c>
    </row>
    <row r="345" ht="20" customHeight="1" spans="1:8" x14ac:dyDescent="0.25">
      <c r="A345" s="24" t="s">
        <v>50</v>
      </c>
      <c r="B345" s="24" t="s">
        <v>40</v>
      </c>
      <c r="C345" s="25" t="s">
        <v>605</v>
      </c>
      <c r="D345" s="33" t="s">
        <v>86</v>
      </c>
      <c r="E345" s="24" t="s">
        <v>12</v>
      </c>
      <c r="F345" s="24" t="s">
        <v>12</v>
      </c>
      <c r="G345" s="24" t="s">
        <v>12</v>
      </c>
      <c r="H345" s="24" t="s">
        <v>32</v>
      </c>
    </row>
    <row r="346" ht="20" customHeight="1" spans="1:8" x14ac:dyDescent="0.25">
      <c r="A346" s="22" t="s">
        <v>51</v>
      </c>
      <c r="B346" s="22" t="s">
        <v>42</v>
      </c>
      <c r="C346" s="23" t="s">
        <v>605</v>
      </c>
      <c r="D346" s="35" t="s">
        <v>86</v>
      </c>
      <c r="E346" s="22" t="s">
        <v>12</v>
      </c>
      <c r="F346" s="22" t="s">
        <v>12</v>
      </c>
      <c r="G346" s="22" t="s">
        <v>12</v>
      </c>
      <c r="H346" s="22" t="s">
        <v>32</v>
      </c>
    </row>
    <row r="347" ht="20" customHeight="1" spans="1:8" x14ac:dyDescent="0.25">
      <c r="A347" s="24" t="s">
        <v>52</v>
      </c>
      <c r="B347" s="24" t="s">
        <v>45</v>
      </c>
      <c r="C347" s="25" t="s">
        <v>605</v>
      </c>
      <c r="D347" s="6" t="s">
        <v>4</v>
      </c>
      <c r="E347" s="24" t="s">
        <v>12</v>
      </c>
      <c r="F347" s="24" t="s">
        <v>12</v>
      </c>
      <c r="G347" s="24" t="s">
        <v>12</v>
      </c>
      <c r="H347" s="24" t="s">
        <v>32</v>
      </c>
    </row>
    <row r="348" ht="20" customHeight="1" spans="1:8" x14ac:dyDescent="0.25">
      <c r="A348" s="22" t="s">
        <v>53</v>
      </c>
      <c r="B348" s="22" t="s">
        <v>31</v>
      </c>
      <c r="C348" s="23" t="s">
        <v>605</v>
      </c>
      <c r="D348" s="6" t="s">
        <v>4</v>
      </c>
      <c r="E348" s="22" t="s">
        <v>12</v>
      </c>
      <c r="F348" s="22" t="s">
        <v>12</v>
      </c>
      <c r="G348" s="22" t="s">
        <v>12</v>
      </c>
      <c r="H348" s="22" t="s">
        <v>32</v>
      </c>
    </row>
    <row r="349" ht="20" customHeight="1" spans="1:8" x14ac:dyDescent="0.25">
      <c r="A349" s="24" t="s">
        <v>54</v>
      </c>
      <c r="B349" s="24" t="s">
        <v>34</v>
      </c>
      <c r="C349" s="25" t="s">
        <v>605</v>
      </c>
      <c r="D349" s="6" t="s">
        <v>4</v>
      </c>
      <c r="E349" s="24" t="s">
        <v>135</v>
      </c>
      <c r="F349" s="24" t="s">
        <v>12</v>
      </c>
      <c r="G349" s="24" t="s">
        <v>12</v>
      </c>
      <c r="H349" s="30" t="s">
        <v>79</v>
      </c>
    </row>
    <row r="350" ht="20" customHeight="1" spans="1:8" x14ac:dyDescent="0.25">
      <c r="A350" s="22" t="s">
        <v>55</v>
      </c>
      <c r="B350" s="22" t="s">
        <v>36</v>
      </c>
      <c r="C350" s="23" t="s">
        <v>605</v>
      </c>
      <c r="D350" s="6" t="s">
        <v>4</v>
      </c>
      <c r="E350" s="22" t="s">
        <v>639</v>
      </c>
      <c r="F350" s="22" t="s">
        <v>12</v>
      </c>
      <c r="G350" s="22" t="s">
        <v>12</v>
      </c>
      <c r="H350" s="32" t="s">
        <v>79</v>
      </c>
    </row>
    <row r="351" ht="20" customHeight="1" spans="1:8" x14ac:dyDescent="0.25">
      <c r="A351" s="24" t="s">
        <v>56</v>
      </c>
      <c r="B351" s="24" t="s">
        <v>38</v>
      </c>
      <c r="C351" s="25" t="s">
        <v>605</v>
      </c>
      <c r="D351" s="6" t="s">
        <v>4</v>
      </c>
      <c r="E351" s="24" t="s">
        <v>300</v>
      </c>
      <c r="F351" s="24" t="s">
        <v>12</v>
      </c>
      <c r="G351" s="24" t="s">
        <v>12</v>
      </c>
      <c r="H351" s="30" t="s">
        <v>79</v>
      </c>
    </row>
    <row r="352" ht="20" customHeight="1" spans="1:8" x14ac:dyDescent="0.25">
      <c r="A352" s="22" t="s">
        <v>57</v>
      </c>
      <c r="B352" s="22" t="s">
        <v>40</v>
      </c>
      <c r="C352" s="23" t="s">
        <v>605</v>
      </c>
      <c r="D352" s="6" t="s">
        <v>4</v>
      </c>
      <c r="E352" s="22" t="s">
        <v>567</v>
      </c>
      <c r="F352" s="22" t="s">
        <v>348</v>
      </c>
      <c r="G352" s="22" t="s">
        <v>1068</v>
      </c>
      <c r="H352" s="29" t="s">
        <v>1069</v>
      </c>
    </row>
    <row r="353" ht="20" customHeight="1" spans="1:8" x14ac:dyDescent="0.25">
      <c r="A353" s="24" t="s">
        <v>58</v>
      </c>
      <c r="B353" s="24" t="s">
        <v>42</v>
      </c>
      <c r="C353" s="25" t="s">
        <v>605</v>
      </c>
      <c r="D353" s="33" t="s">
        <v>86</v>
      </c>
      <c r="E353" s="24" t="s">
        <v>1070</v>
      </c>
      <c r="F353" s="24" t="s">
        <v>12</v>
      </c>
      <c r="G353" s="24" t="s">
        <v>12</v>
      </c>
      <c r="H353" s="34" t="s">
        <v>1071</v>
      </c>
    </row>
    <row r="354" ht="20" customHeight="1" spans="1:8" x14ac:dyDescent="0.25">
      <c r="A354" s="22" t="s">
        <v>59</v>
      </c>
      <c r="B354" s="22" t="s">
        <v>45</v>
      </c>
      <c r="C354" s="23" t="s">
        <v>605</v>
      </c>
      <c r="D354" s="6" t="s">
        <v>4</v>
      </c>
      <c r="E354" s="22" t="s">
        <v>12</v>
      </c>
      <c r="F354" s="22" t="s">
        <v>12</v>
      </c>
      <c r="G354" s="22" t="s">
        <v>12</v>
      </c>
      <c r="H354" s="22" t="s">
        <v>32</v>
      </c>
    </row>
    <row r="355" ht="20" customHeight="1" spans="1:8" x14ac:dyDescent="0.25">
      <c r="A355" s="24" t="s">
        <v>60</v>
      </c>
      <c r="B355" s="24" t="s">
        <v>31</v>
      </c>
      <c r="C355" s="25" t="s">
        <v>605</v>
      </c>
      <c r="D355" s="6" t="s">
        <v>4</v>
      </c>
      <c r="E355" s="24" t="s">
        <v>12</v>
      </c>
      <c r="F355" s="24" t="s">
        <v>12</v>
      </c>
      <c r="G355" s="24" t="s">
        <v>12</v>
      </c>
      <c r="H355" s="24" t="s">
        <v>32</v>
      </c>
    </row>
    <row r="356" ht="20" customHeight="1" spans="1:8" x14ac:dyDescent="0.25">
      <c r="A356" s="22" t="s">
        <v>61</v>
      </c>
      <c r="B356" s="22" t="s">
        <v>34</v>
      </c>
      <c r="C356" s="23" t="s">
        <v>605</v>
      </c>
      <c r="D356" s="6" t="s">
        <v>4</v>
      </c>
      <c r="E356" s="22" t="s">
        <v>660</v>
      </c>
      <c r="F356" s="22" t="s">
        <v>12</v>
      </c>
      <c r="G356" s="22" t="s">
        <v>12</v>
      </c>
      <c r="H356" s="32" t="s">
        <v>79</v>
      </c>
    </row>
    <row r="357" ht="20" customHeight="1" spans="1:8" x14ac:dyDescent="0.25">
      <c r="A357" s="24" t="s">
        <v>62</v>
      </c>
      <c r="B357" s="24" t="s">
        <v>36</v>
      </c>
      <c r="C357" s="25" t="s">
        <v>605</v>
      </c>
      <c r="D357" s="6" t="s">
        <v>4</v>
      </c>
      <c r="E357" s="24" t="s">
        <v>674</v>
      </c>
      <c r="F357" s="24" t="s">
        <v>12</v>
      </c>
      <c r="G357" s="24" t="s">
        <v>12</v>
      </c>
      <c r="H357" s="30" t="s">
        <v>79</v>
      </c>
    </row>
    <row r="358" ht="20" customHeight="1" spans="1:8" x14ac:dyDescent="0.25">
      <c r="A358" s="22" t="s">
        <v>63</v>
      </c>
      <c r="B358" s="22" t="s">
        <v>38</v>
      </c>
      <c r="C358" s="23" t="s">
        <v>605</v>
      </c>
      <c r="D358" s="6" t="s">
        <v>4</v>
      </c>
      <c r="E358" s="22" t="s">
        <v>620</v>
      </c>
      <c r="F358" s="22" t="s">
        <v>12</v>
      </c>
      <c r="G358" s="22" t="s">
        <v>12</v>
      </c>
      <c r="H358" s="32" t="s">
        <v>79</v>
      </c>
    </row>
    <row r="359" ht="20" customHeight="1" spans="1:8" x14ac:dyDescent="0.25">
      <c r="A359" s="24" t="s">
        <v>64</v>
      </c>
      <c r="B359" s="24" t="s">
        <v>40</v>
      </c>
      <c r="C359" s="25" t="s">
        <v>605</v>
      </c>
      <c r="D359" s="6" t="s">
        <v>4</v>
      </c>
      <c r="E359" s="24" t="s">
        <v>216</v>
      </c>
      <c r="F359" s="24" t="s">
        <v>12</v>
      </c>
      <c r="G359" s="24" t="s">
        <v>12</v>
      </c>
      <c r="H359" s="34" t="s">
        <v>217</v>
      </c>
    </row>
    <row r="360" ht="20" customHeight="1" spans="1:8" x14ac:dyDescent="0.25">
      <c r="A360" s="22" t="s">
        <v>65</v>
      </c>
      <c r="B360" s="22" t="s">
        <v>42</v>
      </c>
      <c r="C360" s="23" t="s">
        <v>605</v>
      </c>
      <c r="D360" s="35" t="s">
        <v>86</v>
      </c>
      <c r="E360" s="22" t="s">
        <v>12</v>
      </c>
      <c r="F360" s="22" t="s">
        <v>12</v>
      </c>
      <c r="G360" s="22" t="s">
        <v>12</v>
      </c>
      <c r="H360" s="22" t="s">
        <v>32</v>
      </c>
    </row>
    <row r="361" ht="20" customHeight="1" spans="1:8" x14ac:dyDescent="0.25">
      <c r="A361" s="24" t="s">
        <v>66</v>
      </c>
      <c r="B361" s="24" t="s">
        <v>45</v>
      </c>
      <c r="C361" s="25" t="s">
        <v>605</v>
      </c>
      <c r="D361" s="6" t="s">
        <v>4</v>
      </c>
      <c r="E361" s="24" t="s">
        <v>297</v>
      </c>
      <c r="F361" s="24" t="s">
        <v>12</v>
      </c>
      <c r="G361" s="24" t="s">
        <v>12</v>
      </c>
      <c r="H361" s="30" t="s">
        <v>79</v>
      </c>
    </row>
    <row r="362" ht="20" customHeight="1" spans="1:8" x14ac:dyDescent="0.25">
      <c r="A362" s="22" t="s">
        <v>67</v>
      </c>
      <c r="B362" s="22" t="s">
        <v>31</v>
      </c>
      <c r="C362" s="23" t="s">
        <v>605</v>
      </c>
      <c r="D362" s="6" t="s">
        <v>4</v>
      </c>
      <c r="E362" s="22" t="s">
        <v>12</v>
      </c>
      <c r="F362" s="22" t="s">
        <v>12</v>
      </c>
      <c r="G362" s="22" t="s">
        <v>12</v>
      </c>
      <c r="H362" s="22" t="s">
        <v>32</v>
      </c>
    </row>
    <row r="363" ht="20" customHeight="1" spans="1:8" x14ac:dyDescent="0.25">
      <c r="A363" s="24" t="s">
        <v>68</v>
      </c>
      <c r="B363" s="24" t="s">
        <v>34</v>
      </c>
      <c r="C363" s="25" t="s">
        <v>605</v>
      </c>
      <c r="D363" s="6" t="s">
        <v>4</v>
      </c>
      <c r="E363" s="24" t="s">
        <v>12</v>
      </c>
      <c r="F363" s="24" t="s">
        <v>12</v>
      </c>
      <c r="G363" s="24" t="s">
        <v>12</v>
      </c>
      <c r="H363" s="24" t="s">
        <v>32</v>
      </c>
    </row>
    <row r="364" ht="22" customHeight="1" spans="1:8" x14ac:dyDescent="0.25">
      <c r="A364" s="26" t="s">
        <v>69</v>
      </c>
      <c r="B364" s="26"/>
      <c r="C364" s="26"/>
      <c r="D364" s="26"/>
      <c r="E364" s="26"/>
      <c r="F364" s="26"/>
      <c r="G364" s="27" t="s">
        <v>1072</v>
      </c>
      <c r="H364" s="28" t="s">
        <v>12</v>
      </c>
    </row>
    <row r="366" ht="26" customHeight="1" spans="1:8" x14ac:dyDescent="0.25">
      <c r="A366" s="20" t="s">
        <v>1073</v>
      </c>
      <c r="B366" s="20"/>
      <c r="C366" s="20"/>
      <c r="D366" s="20"/>
      <c r="E366" s="20"/>
      <c r="F366" s="20"/>
      <c r="G366" s="20"/>
      <c r="H366" s="20"/>
    </row>
    <row r="367" ht="22" customHeight="1" spans="1:8" x14ac:dyDescent="0.25">
      <c r="A367" s="21" t="s">
        <v>22</v>
      </c>
      <c r="B367" s="21" t="s">
        <v>23</v>
      </c>
      <c r="C367" s="21" t="s">
        <v>24</v>
      </c>
      <c r="D367" s="21" t="s">
        <v>25</v>
      </c>
      <c r="E367" s="21" t="s">
        <v>26</v>
      </c>
      <c r="F367" s="21" t="s">
        <v>27</v>
      </c>
      <c r="G367" s="21" t="s">
        <v>28</v>
      </c>
      <c r="H367" s="21" t="s">
        <v>29</v>
      </c>
    </row>
    <row r="368" ht="20" customHeight="1" spans="1:8" x14ac:dyDescent="0.25">
      <c r="A368" s="22" t="s">
        <v>30</v>
      </c>
      <c r="B368" s="22" t="s">
        <v>31</v>
      </c>
      <c r="C368" s="23" t="s">
        <v>71</v>
      </c>
      <c r="D368" s="6" t="s">
        <v>4</v>
      </c>
      <c r="E368" s="22" t="s">
        <v>515</v>
      </c>
      <c r="F368" s="22" t="s">
        <v>961</v>
      </c>
      <c r="G368" s="22" t="s">
        <v>1021</v>
      </c>
      <c r="H368" s="29" t="s">
        <v>517</v>
      </c>
    </row>
    <row r="369" ht="20" customHeight="1" spans="1:8" x14ac:dyDescent="0.25">
      <c r="A369" s="24" t="s">
        <v>33</v>
      </c>
      <c r="B369" s="24" t="s">
        <v>34</v>
      </c>
      <c r="C369" s="25" t="s">
        <v>71</v>
      </c>
      <c r="D369" s="6" t="s">
        <v>4</v>
      </c>
      <c r="E369" s="24" t="s">
        <v>564</v>
      </c>
      <c r="F369" s="24" t="s">
        <v>1074</v>
      </c>
      <c r="G369" s="24" t="s">
        <v>116</v>
      </c>
      <c r="H369" s="30" t="s">
        <v>79</v>
      </c>
    </row>
    <row r="370" ht="20" customHeight="1" spans="1:8" x14ac:dyDescent="0.25">
      <c r="A370" s="22" t="s">
        <v>35</v>
      </c>
      <c r="B370" s="22" t="s">
        <v>36</v>
      </c>
      <c r="C370" s="23" t="s">
        <v>71</v>
      </c>
      <c r="D370" s="6" t="s">
        <v>4</v>
      </c>
      <c r="E370" s="22" t="s">
        <v>639</v>
      </c>
      <c r="F370" s="22" t="s">
        <v>1075</v>
      </c>
      <c r="G370" s="22" t="s">
        <v>925</v>
      </c>
      <c r="H370" s="32" t="s">
        <v>79</v>
      </c>
    </row>
    <row r="371" ht="20" customHeight="1" spans="1:8" x14ac:dyDescent="0.25">
      <c r="A371" s="24" t="s">
        <v>37</v>
      </c>
      <c r="B371" s="24" t="s">
        <v>38</v>
      </c>
      <c r="C371" s="25" t="s">
        <v>71</v>
      </c>
      <c r="D371" s="31" t="s">
        <v>11</v>
      </c>
      <c r="E371" s="24" t="s">
        <v>12</v>
      </c>
      <c r="F371" s="24" t="s">
        <v>12</v>
      </c>
      <c r="G371" s="24" t="s">
        <v>12</v>
      </c>
      <c r="H371" s="24" t="s">
        <v>32</v>
      </c>
    </row>
    <row r="372" ht="20" customHeight="1" spans="1:8" x14ac:dyDescent="0.25">
      <c r="A372" s="22" t="s">
        <v>39</v>
      </c>
      <c r="B372" s="22" t="s">
        <v>40</v>
      </c>
      <c r="C372" s="23" t="s">
        <v>71</v>
      </c>
      <c r="D372" s="6" t="s">
        <v>4</v>
      </c>
      <c r="E372" s="22" t="s">
        <v>239</v>
      </c>
      <c r="F372" s="22" t="s">
        <v>1076</v>
      </c>
      <c r="G372" s="22" t="s">
        <v>1077</v>
      </c>
      <c r="H372" s="29" t="s">
        <v>241</v>
      </c>
    </row>
    <row r="373" ht="20" customHeight="1" spans="1:8" x14ac:dyDescent="0.25">
      <c r="A373" s="24" t="s">
        <v>41</v>
      </c>
      <c r="B373" s="24" t="s">
        <v>42</v>
      </c>
      <c r="C373" s="25" t="s">
        <v>71</v>
      </c>
      <c r="D373" s="33" t="s">
        <v>86</v>
      </c>
      <c r="E373" s="24" t="s">
        <v>12</v>
      </c>
      <c r="F373" s="24" t="s">
        <v>12</v>
      </c>
      <c r="G373" s="24" t="s">
        <v>12</v>
      </c>
      <c r="H373" s="24" t="s">
        <v>32</v>
      </c>
    </row>
    <row r="374" ht="20" customHeight="1" spans="1:8" x14ac:dyDescent="0.25">
      <c r="A374" s="22" t="s">
        <v>44</v>
      </c>
      <c r="B374" s="22" t="s">
        <v>45</v>
      </c>
      <c r="C374" s="23" t="s">
        <v>71</v>
      </c>
      <c r="D374" s="6" t="s">
        <v>4</v>
      </c>
      <c r="E374" s="22" t="s">
        <v>401</v>
      </c>
      <c r="F374" s="22" t="s">
        <v>1078</v>
      </c>
      <c r="G374" s="22" t="s">
        <v>952</v>
      </c>
      <c r="H374" s="32" t="s">
        <v>79</v>
      </c>
    </row>
    <row r="375" ht="20" customHeight="1" spans="1:8" x14ac:dyDescent="0.25">
      <c r="A375" s="24" t="s">
        <v>46</v>
      </c>
      <c r="B375" s="24" t="s">
        <v>31</v>
      </c>
      <c r="C375" s="25" t="s">
        <v>71</v>
      </c>
      <c r="D375" s="6" t="s">
        <v>4</v>
      </c>
      <c r="E375" s="24" t="s">
        <v>377</v>
      </c>
      <c r="F375" s="24" t="s">
        <v>341</v>
      </c>
      <c r="G375" s="24" t="s">
        <v>1079</v>
      </c>
      <c r="H375" s="34" t="s">
        <v>378</v>
      </c>
    </row>
    <row r="376" ht="20" customHeight="1" spans="1:8" x14ac:dyDescent="0.25">
      <c r="A376" s="22" t="s">
        <v>47</v>
      </c>
      <c r="B376" s="22" t="s">
        <v>34</v>
      </c>
      <c r="C376" s="23" t="s">
        <v>71</v>
      </c>
      <c r="D376" s="6" t="s">
        <v>4</v>
      </c>
      <c r="E376" s="22" t="s">
        <v>567</v>
      </c>
      <c r="F376" s="22" t="s">
        <v>1080</v>
      </c>
      <c r="G376" s="22" t="s">
        <v>1081</v>
      </c>
      <c r="H376" s="32" t="s">
        <v>79</v>
      </c>
    </row>
    <row r="377" ht="20" customHeight="1" spans="1:8" x14ac:dyDescent="0.25">
      <c r="A377" s="24" t="s">
        <v>48</v>
      </c>
      <c r="B377" s="24" t="s">
        <v>36</v>
      </c>
      <c r="C377" s="25" t="s">
        <v>71</v>
      </c>
      <c r="D377" s="6" t="s">
        <v>4</v>
      </c>
      <c r="E377" s="24" t="s">
        <v>176</v>
      </c>
      <c r="F377" s="24" t="s">
        <v>458</v>
      </c>
      <c r="G377" s="24" t="s">
        <v>332</v>
      </c>
      <c r="H377" s="34" t="s">
        <v>178</v>
      </c>
    </row>
    <row r="378" ht="20" customHeight="1" spans="1:8" x14ac:dyDescent="0.25">
      <c r="A378" s="22" t="s">
        <v>49</v>
      </c>
      <c r="B378" s="22" t="s">
        <v>38</v>
      </c>
      <c r="C378" s="23" t="s">
        <v>71</v>
      </c>
      <c r="D378" s="6" t="s">
        <v>4</v>
      </c>
      <c r="E378" s="22" t="s">
        <v>230</v>
      </c>
      <c r="F378" s="22" t="s">
        <v>126</v>
      </c>
      <c r="G378" s="22" t="s">
        <v>475</v>
      </c>
      <c r="H378" s="29" t="s">
        <v>233</v>
      </c>
    </row>
    <row r="379" ht="20" customHeight="1" spans="1:8" x14ac:dyDescent="0.25">
      <c r="A379" s="24" t="s">
        <v>50</v>
      </c>
      <c r="B379" s="24" t="s">
        <v>40</v>
      </c>
      <c r="C379" s="25" t="s">
        <v>71</v>
      </c>
      <c r="D379" s="33" t="s">
        <v>86</v>
      </c>
      <c r="E379" s="24" t="s">
        <v>12</v>
      </c>
      <c r="F379" s="24" t="s">
        <v>12</v>
      </c>
      <c r="G379" s="24" t="s">
        <v>12</v>
      </c>
      <c r="H379" s="24" t="s">
        <v>32</v>
      </c>
    </row>
    <row r="380" ht="20" customHeight="1" spans="1:8" x14ac:dyDescent="0.25">
      <c r="A380" s="22" t="s">
        <v>51</v>
      </c>
      <c r="B380" s="22" t="s">
        <v>42</v>
      </c>
      <c r="C380" s="23" t="s">
        <v>71</v>
      </c>
      <c r="D380" s="35" t="s">
        <v>86</v>
      </c>
      <c r="E380" s="22" t="s">
        <v>12</v>
      </c>
      <c r="F380" s="22" t="s">
        <v>12</v>
      </c>
      <c r="G380" s="22" t="s">
        <v>12</v>
      </c>
      <c r="H380" s="22" t="s">
        <v>32</v>
      </c>
    </row>
    <row r="381" ht="20" customHeight="1" spans="1:8" x14ac:dyDescent="0.25">
      <c r="A381" s="24" t="s">
        <v>52</v>
      </c>
      <c r="B381" s="24" t="s">
        <v>45</v>
      </c>
      <c r="C381" s="25" t="s">
        <v>71</v>
      </c>
      <c r="D381" s="6" t="s">
        <v>4</v>
      </c>
      <c r="E381" s="24" t="s">
        <v>878</v>
      </c>
      <c r="F381" s="24" t="s">
        <v>312</v>
      </c>
      <c r="G381" s="24" t="s">
        <v>119</v>
      </c>
      <c r="H381" s="34" t="s">
        <v>879</v>
      </c>
    </row>
    <row r="382" ht="20" customHeight="1" spans="1:8" x14ac:dyDescent="0.25">
      <c r="A382" s="22" t="s">
        <v>53</v>
      </c>
      <c r="B382" s="22" t="s">
        <v>31</v>
      </c>
      <c r="C382" s="23" t="s">
        <v>71</v>
      </c>
      <c r="D382" s="6" t="s">
        <v>4</v>
      </c>
      <c r="E382" s="22" t="s">
        <v>152</v>
      </c>
      <c r="F382" s="22" t="s">
        <v>412</v>
      </c>
      <c r="G382" s="22" t="s">
        <v>726</v>
      </c>
      <c r="H382" s="29" t="s">
        <v>155</v>
      </c>
    </row>
    <row r="383" ht="20" customHeight="1" spans="1:8" x14ac:dyDescent="0.25">
      <c r="A383" s="24" t="s">
        <v>54</v>
      </c>
      <c r="B383" s="24" t="s">
        <v>34</v>
      </c>
      <c r="C383" s="25" t="s">
        <v>71</v>
      </c>
      <c r="D383" s="6" t="s">
        <v>4</v>
      </c>
      <c r="E383" s="24" t="s">
        <v>353</v>
      </c>
      <c r="F383" s="24" t="s">
        <v>772</v>
      </c>
      <c r="G383" s="24" t="s">
        <v>686</v>
      </c>
      <c r="H383" s="34" t="s">
        <v>355</v>
      </c>
    </row>
    <row r="384" ht="20" customHeight="1" spans="1:8" x14ac:dyDescent="0.25">
      <c r="A384" s="22" t="s">
        <v>55</v>
      </c>
      <c r="B384" s="22" t="s">
        <v>36</v>
      </c>
      <c r="C384" s="23" t="s">
        <v>71</v>
      </c>
      <c r="D384" s="6" t="s">
        <v>4</v>
      </c>
      <c r="E384" s="22" t="s">
        <v>228</v>
      </c>
      <c r="F384" s="22" t="s">
        <v>998</v>
      </c>
      <c r="G384" s="22" t="s">
        <v>788</v>
      </c>
      <c r="H384" s="29" t="s">
        <v>229</v>
      </c>
    </row>
    <row r="385" ht="20" customHeight="1" spans="1:8" x14ac:dyDescent="0.25">
      <c r="A385" s="24" t="s">
        <v>56</v>
      </c>
      <c r="B385" s="24" t="s">
        <v>38</v>
      </c>
      <c r="C385" s="25" t="s">
        <v>71</v>
      </c>
      <c r="D385" s="6" t="s">
        <v>4</v>
      </c>
      <c r="E385" s="24" t="s">
        <v>201</v>
      </c>
      <c r="F385" s="24" t="s">
        <v>341</v>
      </c>
      <c r="G385" s="24" t="s">
        <v>578</v>
      </c>
      <c r="H385" s="34" t="s">
        <v>204</v>
      </c>
    </row>
    <row r="386" ht="20" customHeight="1" spans="1:8" x14ac:dyDescent="0.25">
      <c r="A386" s="22" t="s">
        <v>57</v>
      </c>
      <c r="B386" s="22" t="s">
        <v>40</v>
      </c>
      <c r="C386" s="23" t="s">
        <v>71</v>
      </c>
      <c r="D386" s="6" t="s">
        <v>4</v>
      </c>
      <c r="E386" s="22" t="s">
        <v>644</v>
      </c>
      <c r="F386" s="22" t="s">
        <v>312</v>
      </c>
      <c r="G386" s="22" t="s">
        <v>332</v>
      </c>
      <c r="H386" s="29" t="s">
        <v>645</v>
      </c>
    </row>
    <row r="387" ht="20" customHeight="1" spans="1:8" x14ac:dyDescent="0.25">
      <c r="A387" s="24" t="s">
        <v>58</v>
      </c>
      <c r="B387" s="24" t="s">
        <v>42</v>
      </c>
      <c r="C387" s="25" t="s">
        <v>71</v>
      </c>
      <c r="D387" s="33" t="s">
        <v>86</v>
      </c>
      <c r="E387" s="24" t="s">
        <v>12</v>
      </c>
      <c r="F387" s="24" t="s">
        <v>12</v>
      </c>
      <c r="G387" s="24" t="s">
        <v>12</v>
      </c>
      <c r="H387" s="24" t="s">
        <v>32</v>
      </c>
    </row>
    <row r="388" ht="20" customHeight="1" spans="1:8" x14ac:dyDescent="0.25">
      <c r="A388" s="22" t="s">
        <v>59</v>
      </c>
      <c r="B388" s="22" t="s">
        <v>45</v>
      </c>
      <c r="C388" s="23" t="s">
        <v>71</v>
      </c>
      <c r="D388" s="6" t="s">
        <v>4</v>
      </c>
      <c r="E388" s="22" t="s">
        <v>257</v>
      </c>
      <c r="F388" s="22" t="s">
        <v>12</v>
      </c>
      <c r="G388" s="22" t="s">
        <v>12</v>
      </c>
      <c r="H388" s="29" t="s">
        <v>260</v>
      </c>
    </row>
    <row r="389" ht="20" customHeight="1" spans="1:8" x14ac:dyDescent="0.25">
      <c r="A389" s="24" t="s">
        <v>60</v>
      </c>
      <c r="B389" s="24" t="s">
        <v>31</v>
      </c>
      <c r="C389" s="25" t="s">
        <v>71</v>
      </c>
      <c r="D389" s="6" t="s">
        <v>4</v>
      </c>
      <c r="E389" s="24" t="s">
        <v>254</v>
      </c>
      <c r="F389" s="24" t="s">
        <v>1082</v>
      </c>
      <c r="G389" s="24" t="s">
        <v>686</v>
      </c>
      <c r="H389" s="34" t="s">
        <v>256</v>
      </c>
    </row>
    <row r="390" ht="20" customHeight="1" spans="1:8" x14ac:dyDescent="0.25">
      <c r="A390" s="22" t="s">
        <v>61</v>
      </c>
      <c r="B390" s="22" t="s">
        <v>34</v>
      </c>
      <c r="C390" s="23" t="s">
        <v>71</v>
      </c>
      <c r="D390" s="6" t="s">
        <v>4</v>
      </c>
      <c r="E390" s="22" t="s">
        <v>242</v>
      </c>
      <c r="F390" s="22" t="s">
        <v>967</v>
      </c>
      <c r="G390" s="22" t="s">
        <v>652</v>
      </c>
      <c r="H390" s="29" t="s">
        <v>244</v>
      </c>
    </row>
    <row r="391" ht="20" customHeight="1" spans="1:8" x14ac:dyDescent="0.25">
      <c r="A391" s="24" t="s">
        <v>62</v>
      </c>
      <c r="B391" s="24" t="s">
        <v>36</v>
      </c>
      <c r="C391" s="25" t="s">
        <v>71</v>
      </c>
      <c r="D391" s="6" t="s">
        <v>4</v>
      </c>
      <c r="E391" s="24" t="s">
        <v>230</v>
      </c>
      <c r="F391" s="24" t="s">
        <v>751</v>
      </c>
      <c r="G391" s="24" t="s">
        <v>578</v>
      </c>
      <c r="H391" s="34" t="s">
        <v>233</v>
      </c>
    </row>
    <row r="392" ht="20" customHeight="1" spans="1:8" x14ac:dyDescent="0.25">
      <c r="A392" s="22" t="s">
        <v>63</v>
      </c>
      <c r="B392" s="22" t="s">
        <v>38</v>
      </c>
      <c r="C392" s="23" t="s">
        <v>71</v>
      </c>
      <c r="D392" s="6" t="s">
        <v>4</v>
      </c>
      <c r="E392" s="22" t="s">
        <v>239</v>
      </c>
      <c r="F392" s="22" t="s">
        <v>1083</v>
      </c>
      <c r="G392" s="22" t="s">
        <v>763</v>
      </c>
      <c r="H392" s="29" t="s">
        <v>241</v>
      </c>
    </row>
    <row r="393" ht="20" customHeight="1" spans="1:8" x14ac:dyDescent="0.25">
      <c r="A393" s="24" t="s">
        <v>64</v>
      </c>
      <c r="B393" s="24" t="s">
        <v>40</v>
      </c>
      <c r="C393" s="25" t="s">
        <v>71</v>
      </c>
      <c r="D393" s="6" t="s">
        <v>4</v>
      </c>
      <c r="E393" s="24" t="s">
        <v>377</v>
      </c>
      <c r="F393" s="24" t="s">
        <v>370</v>
      </c>
      <c r="G393" s="24" t="s">
        <v>831</v>
      </c>
      <c r="H393" s="34" t="s">
        <v>378</v>
      </c>
    </row>
    <row r="394" ht="20" customHeight="1" spans="1:8" x14ac:dyDescent="0.25">
      <c r="A394" s="22" t="s">
        <v>65</v>
      </c>
      <c r="B394" s="22" t="s">
        <v>42</v>
      </c>
      <c r="C394" s="23" t="s">
        <v>71</v>
      </c>
      <c r="D394" s="35" t="s">
        <v>86</v>
      </c>
      <c r="E394" s="22" t="s">
        <v>12</v>
      </c>
      <c r="F394" s="22" t="s">
        <v>12</v>
      </c>
      <c r="G394" s="22" t="s">
        <v>12</v>
      </c>
      <c r="H394" s="22" t="s">
        <v>32</v>
      </c>
    </row>
    <row r="395" ht="20" customHeight="1" spans="1:8" x14ac:dyDescent="0.25">
      <c r="A395" s="24" t="s">
        <v>66</v>
      </c>
      <c r="B395" s="24" t="s">
        <v>45</v>
      </c>
      <c r="C395" s="25" t="s">
        <v>71</v>
      </c>
      <c r="D395" s="6" t="s">
        <v>4</v>
      </c>
      <c r="E395" s="24" t="s">
        <v>224</v>
      </c>
      <c r="F395" s="24" t="s">
        <v>164</v>
      </c>
      <c r="G395" s="24" t="s">
        <v>259</v>
      </c>
      <c r="H395" s="34" t="s">
        <v>227</v>
      </c>
    </row>
    <row r="396" ht="20" customHeight="1" spans="1:8" x14ac:dyDescent="0.25">
      <c r="A396" s="22" t="s">
        <v>67</v>
      </c>
      <c r="B396" s="22" t="s">
        <v>31</v>
      </c>
      <c r="C396" s="23" t="s">
        <v>71</v>
      </c>
      <c r="D396" s="6" t="s">
        <v>4</v>
      </c>
      <c r="E396" s="22" t="s">
        <v>387</v>
      </c>
      <c r="F396" s="22" t="s">
        <v>962</v>
      </c>
      <c r="G396" s="22" t="s">
        <v>313</v>
      </c>
      <c r="H396" s="32" t="s">
        <v>79</v>
      </c>
    </row>
    <row r="397" ht="20" customHeight="1" spans="1:8" x14ac:dyDescent="0.25">
      <c r="A397" s="24" t="s">
        <v>68</v>
      </c>
      <c r="B397" s="24" t="s">
        <v>34</v>
      </c>
      <c r="C397" s="25" t="s">
        <v>71</v>
      </c>
      <c r="D397" s="6" t="s">
        <v>4</v>
      </c>
      <c r="E397" s="24" t="s">
        <v>644</v>
      </c>
      <c r="F397" s="24" t="s">
        <v>648</v>
      </c>
      <c r="G397" s="24" t="s">
        <v>752</v>
      </c>
      <c r="H397" s="34" t="s">
        <v>645</v>
      </c>
    </row>
    <row r="398" ht="22" customHeight="1" spans="1:8" x14ac:dyDescent="0.25">
      <c r="A398" s="26" t="s">
        <v>69</v>
      </c>
      <c r="B398" s="26"/>
      <c r="C398" s="26"/>
      <c r="D398" s="26"/>
      <c r="E398" s="26"/>
      <c r="F398" s="26"/>
      <c r="G398" s="27" t="s">
        <v>1084</v>
      </c>
      <c r="H398" s="28" t="s">
        <v>12</v>
      </c>
    </row>
    <row r="400" ht="26" customHeight="1" spans="1:8" x14ac:dyDescent="0.25">
      <c r="A400" s="20" t="s">
        <v>1085</v>
      </c>
      <c r="B400" s="20"/>
      <c r="C400" s="20"/>
      <c r="D400" s="20"/>
      <c r="E400" s="20"/>
      <c r="F400" s="20"/>
      <c r="G400" s="20"/>
      <c r="H400" s="20"/>
    </row>
    <row r="401" ht="22" customHeight="1" spans="1:8" x14ac:dyDescent="0.25">
      <c r="A401" s="21" t="s">
        <v>22</v>
      </c>
      <c r="B401" s="21" t="s">
        <v>23</v>
      </c>
      <c r="C401" s="21" t="s">
        <v>24</v>
      </c>
      <c r="D401" s="21" t="s">
        <v>25</v>
      </c>
      <c r="E401" s="21" t="s">
        <v>26</v>
      </c>
      <c r="F401" s="21" t="s">
        <v>27</v>
      </c>
      <c r="G401" s="21" t="s">
        <v>28</v>
      </c>
      <c r="H401" s="21" t="s">
        <v>29</v>
      </c>
    </row>
    <row r="402" ht="20" customHeight="1" spans="1:8" x14ac:dyDescent="0.25">
      <c r="A402" s="22" t="s">
        <v>30</v>
      </c>
      <c r="B402" s="22" t="s">
        <v>31</v>
      </c>
      <c r="C402" s="23" t="s">
        <v>71</v>
      </c>
      <c r="D402" s="6" t="s">
        <v>4</v>
      </c>
      <c r="E402" s="22" t="s">
        <v>125</v>
      </c>
      <c r="F402" s="22" t="s">
        <v>136</v>
      </c>
      <c r="G402" s="22" t="s">
        <v>99</v>
      </c>
      <c r="H402" s="32" t="s">
        <v>79</v>
      </c>
    </row>
    <row r="403" ht="20" customHeight="1" spans="1:8" x14ac:dyDescent="0.25">
      <c r="A403" s="24" t="s">
        <v>33</v>
      </c>
      <c r="B403" s="24" t="s">
        <v>34</v>
      </c>
      <c r="C403" s="25" t="s">
        <v>71</v>
      </c>
      <c r="D403" s="6" t="s">
        <v>4</v>
      </c>
      <c r="E403" s="24" t="s">
        <v>125</v>
      </c>
      <c r="F403" s="24" t="s">
        <v>136</v>
      </c>
      <c r="G403" s="24" t="s">
        <v>99</v>
      </c>
      <c r="H403" s="30" t="s">
        <v>79</v>
      </c>
    </row>
    <row r="404" ht="20" customHeight="1" spans="1:8" x14ac:dyDescent="0.25">
      <c r="A404" s="22" t="s">
        <v>35</v>
      </c>
      <c r="B404" s="22" t="s">
        <v>36</v>
      </c>
      <c r="C404" s="23" t="s">
        <v>71</v>
      </c>
      <c r="D404" s="6" t="s">
        <v>4</v>
      </c>
      <c r="E404" s="22" t="s">
        <v>125</v>
      </c>
      <c r="F404" s="22" t="s">
        <v>136</v>
      </c>
      <c r="G404" s="22" t="s">
        <v>99</v>
      </c>
      <c r="H404" s="32" t="s">
        <v>79</v>
      </c>
    </row>
    <row r="405" ht="20" customHeight="1" spans="1:8" x14ac:dyDescent="0.25">
      <c r="A405" s="24" t="s">
        <v>37</v>
      </c>
      <c r="B405" s="24" t="s">
        <v>38</v>
      </c>
      <c r="C405" s="25" t="s">
        <v>71</v>
      </c>
      <c r="D405" s="31" t="s">
        <v>11</v>
      </c>
      <c r="E405" s="24" t="s">
        <v>12</v>
      </c>
      <c r="F405" s="24" t="s">
        <v>12</v>
      </c>
      <c r="G405" s="24" t="s">
        <v>12</v>
      </c>
      <c r="H405" s="24" t="s">
        <v>32</v>
      </c>
    </row>
    <row r="406" ht="20" customHeight="1" spans="1:8" x14ac:dyDescent="0.25">
      <c r="A406" s="22" t="s">
        <v>39</v>
      </c>
      <c r="B406" s="22" t="s">
        <v>40</v>
      </c>
      <c r="C406" s="23" t="s">
        <v>71</v>
      </c>
      <c r="D406" s="6" t="s">
        <v>4</v>
      </c>
      <c r="E406" s="22" t="s">
        <v>125</v>
      </c>
      <c r="F406" s="22" t="s">
        <v>136</v>
      </c>
      <c r="G406" s="22" t="s">
        <v>99</v>
      </c>
      <c r="H406" s="32" t="s">
        <v>79</v>
      </c>
    </row>
    <row r="407" ht="20" customHeight="1" spans="1:8" x14ac:dyDescent="0.25">
      <c r="A407" s="24" t="s">
        <v>41</v>
      </c>
      <c r="B407" s="24" t="s">
        <v>42</v>
      </c>
      <c r="C407" s="25" t="s">
        <v>71</v>
      </c>
      <c r="D407" s="33" t="s">
        <v>86</v>
      </c>
      <c r="E407" s="24" t="s">
        <v>12</v>
      </c>
      <c r="F407" s="24" t="s">
        <v>12</v>
      </c>
      <c r="G407" s="24" t="s">
        <v>12</v>
      </c>
      <c r="H407" s="24" t="s">
        <v>32</v>
      </c>
    </row>
    <row r="408" ht="20" customHeight="1" spans="1:8" x14ac:dyDescent="0.25">
      <c r="A408" s="22" t="s">
        <v>44</v>
      </c>
      <c r="B408" s="22" t="s">
        <v>45</v>
      </c>
      <c r="C408" s="23" t="s">
        <v>71</v>
      </c>
      <c r="D408" s="6" t="s">
        <v>4</v>
      </c>
      <c r="E408" s="22" t="s">
        <v>125</v>
      </c>
      <c r="F408" s="22" t="s">
        <v>136</v>
      </c>
      <c r="G408" s="22" t="s">
        <v>99</v>
      </c>
      <c r="H408" s="32" t="s">
        <v>79</v>
      </c>
    </row>
    <row r="409" ht="20" customHeight="1" spans="1:8" x14ac:dyDescent="0.25">
      <c r="A409" s="24" t="s">
        <v>46</v>
      </c>
      <c r="B409" s="24" t="s">
        <v>31</v>
      </c>
      <c r="C409" s="25" t="s">
        <v>71</v>
      </c>
      <c r="D409" s="6" t="s">
        <v>4</v>
      </c>
      <c r="E409" s="24" t="s">
        <v>125</v>
      </c>
      <c r="F409" s="24" t="s">
        <v>136</v>
      </c>
      <c r="G409" s="24" t="s">
        <v>99</v>
      </c>
      <c r="H409" s="30" t="s">
        <v>79</v>
      </c>
    </row>
    <row r="410" ht="20" customHeight="1" spans="1:8" x14ac:dyDescent="0.25">
      <c r="A410" s="22" t="s">
        <v>47</v>
      </c>
      <c r="B410" s="22" t="s">
        <v>34</v>
      </c>
      <c r="C410" s="23" t="s">
        <v>71</v>
      </c>
      <c r="D410" s="10" t="s">
        <v>87</v>
      </c>
      <c r="E410" s="22" t="s">
        <v>12</v>
      </c>
      <c r="F410" s="22" t="s">
        <v>12</v>
      </c>
      <c r="G410" s="22" t="s">
        <v>12</v>
      </c>
      <c r="H410" s="22" t="s">
        <v>32</v>
      </c>
    </row>
    <row r="411" ht="20" customHeight="1" spans="1:8" x14ac:dyDescent="0.25">
      <c r="A411" s="24" t="s">
        <v>48</v>
      </c>
      <c r="B411" s="24" t="s">
        <v>36</v>
      </c>
      <c r="C411" s="25" t="s">
        <v>71</v>
      </c>
      <c r="D411" s="6" t="s">
        <v>4</v>
      </c>
      <c r="E411" s="24" t="s">
        <v>125</v>
      </c>
      <c r="F411" s="24" t="s">
        <v>136</v>
      </c>
      <c r="G411" s="24" t="s">
        <v>99</v>
      </c>
      <c r="H411" s="30" t="s">
        <v>79</v>
      </c>
    </row>
    <row r="412" ht="20" customHeight="1" spans="1:8" x14ac:dyDescent="0.25">
      <c r="A412" s="22" t="s">
        <v>49</v>
      </c>
      <c r="B412" s="22" t="s">
        <v>38</v>
      </c>
      <c r="C412" s="23" t="s">
        <v>71</v>
      </c>
      <c r="D412" s="6" t="s">
        <v>4</v>
      </c>
      <c r="E412" s="22" t="s">
        <v>125</v>
      </c>
      <c r="F412" s="22" t="s">
        <v>136</v>
      </c>
      <c r="G412" s="22" t="s">
        <v>99</v>
      </c>
      <c r="H412" s="32" t="s">
        <v>79</v>
      </c>
    </row>
    <row r="413" ht="20" customHeight="1" spans="1:8" x14ac:dyDescent="0.25">
      <c r="A413" s="24" t="s">
        <v>50</v>
      </c>
      <c r="B413" s="24" t="s">
        <v>40</v>
      </c>
      <c r="C413" s="25" t="s">
        <v>71</v>
      </c>
      <c r="D413" s="33" t="s">
        <v>86</v>
      </c>
      <c r="E413" s="24" t="s">
        <v>12</v>
      </c>
      <c r="F413" s="24" t="s">
        <v>12</v>
      </c>
      <c r="G413" s="24" t="s">
        <v>12</v>
      </c>
      <c r="H413" s="24" t="s">
        <v>32</v>
      </c>
    </row>
    <row r="414" ht="20" customHeight="1" spans="1:8" x14ac:dyDescent="0.25">
      <c r="A414" s="22" t="s">
        <v>51</v>
      </c>
      <c r="B414" s="22" t="s">
        <v>42</v>
      </c>
      <c r="C414" s="23" t="s">
        <v>71</v>
      </c>
      <c r="D414" s="35" t="s">
        <v>86</v>
      </c>
      <c r="E414" s="22" t="s">
        <v>12</v>
      </c>
      <c r="F414" s="22" t="s">
        <v>12</v>
      </c>
      <c r="G414" s="22" t="s">
        <v>12</v>
      </c>
      <c r="H414" s="22" t="s">
        <v>32</v>
      </c>
    </row>
    <row r="415" ht="20" customHeight="1" spans="1:8" x14ac:dyDescent="0.25">
      <c r="A415" s="24" t="s">
        <v>52</v>
      </c>
      <c r="B415" s="24" t="s">
        <v>45</v>
      </c>
      <c r="C415" s="25" t="s">
        <v>71</v>
      </c>
      <c r="D415" s="6" t="s">
        <v>4</v>
      </c>
      <c r="E415" s="24" t="s">
        <v>125</v>
      </c>
      <c r="F415" s="24" t="s">
        <v>136</v>
      </c>
      <c r="G415" s="24" t="s">
        <v>99</v>
      </c>
      <c r="H415" s="30" t="s">
        <v>79</v>
      </c>
    </row>
    <row r="416" ht="20" customHeight="1" spans="1:8" x14ac:dyDescent="0.25">
      <c r="A416" s="22" t="s">
        <v>53</v>
      </c>
      <c r="B416" s="22" t="s">
        <v>31</v>
      </c>
      <c r="C416" s="23" t="s">
        <v>71</v>
      </c>
      <c r="D416" s="6" t="s">
        <v>4</v>
      </c>
      <c r="E416" s="22" t="s">
        <v>125</v>
      </c>
      <c r="F416" s="22" t="s">
        <v>136</v>
      </c>
      <c r="G416" s="22" t="s">
        <v>99</v>
      </c>
      <c r="H416" s="32" t="s">
        <v>79</v>
      </c>
    </row>
    <row r="417" ht="20" customHeight="1" spans="1:8" x14ac:dyDescent="0.25">
      <c r="A417" s="24" t="s">
        <v>54</v>
      </c>
      <c r="B417" s="24" t="s">
        <v>34</v>
      </c>
      <c r="C417" s="25" t="s">
        <v>71</v>
      </c>
      <c r="D417" s="6" t="s">
        <v>4</v>
      </c>
      <c r="E417" s="24" t="s">
        <v>125</v>
      </c>
      <c r="F417" s="24" t="s">
        <v>136</v>
      </c>
      <c r="G417" s="24" t="s">
        <v>99</v>
      </c>
      <c r="H417" s="30" t="s">
        <v>79</v>
      </c>
    </row>
    <row r="418" ht="20" customHeight="1" spans="1:8" x14ac:dyDescent="0.25">
      <c r="A418" s="22" t="s">
        <v>55</v>
      </c>
      <c r="B418" s="22" t="s">
        <v>36</v>
      </c>
      <c r="C418" s="23" t="s">
        <v>71</v>
      </c>
      <c r="D418" s="6" t="s">
        <v>4</v>
      </c>
      <c r="E418" s="22" t="s">
        <v>125</v>
      </c>
      <c r="F418" s="22" t="s">
        <v>136</v>
      </c>
      <c r="G418" s="22" t="s">
        <v>99</v>
      </c>
      <c r="H418" s="32" t="s">
        <v>79</v>
      </c>
    </row>
    <row r="419" ht="20" customHeight="1" spans="1:8" x14ac:dyDescent="0.25">
      <c r="A419" s="24" t="s">
        <v>56</v>
      </c>
      <c r="B419" s="24" t="s">
        <v>38</v>
      </c>
      <c r="C419" s="25" t="s">
        <v>71</v>
      </c>
      <c r="D419" s="6" t="s">
        <v>4</v>
      </c>
      <c r="E419" s="24" t="s">
        <v>125</v>
      </c>
      <c r="F419" s="24" t="s">
        <v>136</v>
      </c>
      <c r="G419" s="24" t="s">
        <v>99</v>
      </c>
      <c r="H419" s="30" t="s">
        <v>79</v>
      </c>
    </row>
    <row r="420" ht="20" customHeight="1" spans="1:8" x14ac:dyDescent="0.25">
      <c r="A420" s="22" t="s">
        <v>57</v>
      </c>
      <c r="B420" s="22" t="s">
        <v>40</v>
      </c>
      <c r="C420" s="23" t="s">
        <v>71</v>
      </c>
      <c r="D420" s="6" t="s">
        <v>4</v>
      </c>
      <c r="E420" s="22" t="s">
        <v>125</v>
      </c>
      <c r="F420" s="22" t="s">
        <v>136</v>
      </c>
      <c r="G420" s="22" t="s">
        <v>99</v>
      </c>
      <c r="H420" s="32" t="s">
        <v>79</v>
      </c>
    </row>
    <row r="421" ht="20" customHeight="1" spans="1:8" x14ac:dyDescent="0.25">
      <c r="A421" s="24" t="s">
        <v>58</v>
      </c>
      <c r="B421" s="24" t="s">
        <v>42</v>
      </c>
      <c r="C421" s="25" t="s">
        <v>71</v>
      </c>
      <c r="D421" s="33" t="s">
        <v>86</v>
      </c>
      <c r="E421" s="24" t="s">
        <v>12</v>
      </c>
      <c r="F421" s="24" t="s">
        <v>12</v>
      </c>
      <c r="G421" s="24" t="s">
        <v>12</v>
      </c>
      <c r="H421" s="24" t="s">
        <v>32</v>
      </c>
    </row>
    <row r="422" ht="20" customHeight="1" spans="1:8" x14ac:dyDescent="0.25">
      <c r="A422" s="22" t="s">
        <v>59</v>
      </c>
      <c r="B422" s="22" t="s">
        <v>45</v>
      </c>
      <c r="C422" s="23" t="s">
        <v>71</v>
      </c>
      <c r="D422" s="6" t="s">
        <v>4</v>
      </c>
      <c r="E422" s="22" t="s">
        <v>125</v>
      </c>
      <c r="F422" s="22" t="s">
        <v>136</v>
      </c>
      <c r="G422" s="22" t="s">
        <v>99</v>
      </c>
      <c r="H422" s="32" t="s">
        <v>79</v>
      </c>
    </row>
    <row r="423" ht="20" customHeight="1" spans="1:8" x14ac:dyDescent="0.25">
      <c r="A423" s="24" t="s">
        <v>60</v>
      </c>
      <c r="B423" s="24" t="s">
        <v>31</v>
      </c>
      <c r="C423" s="25" t="s">
        <v>71</v>
      </c>
      <c r="D423" s="6" t="s">
        <v>4</v>
      </c>
      <c r="E423" s="24" t="s">
        <v>125</v>
      </c>
      <c r="F423" s="24" t="s">
        <v>136</v>
      </c>
      <c r="G423" s="24" t="s">
        <v>99</v>
      </c>
      <c r="H423" s="30" t="s">
        <v>79</v>
      </c>
    </row>
    <row r="424" ht="20" customHeight="1" spans="1:8" x14ac:dyDescent="0.25">
      <c r="A424" s="22" t="s">
        <v>61</v>
      </c>
      <c r="B424" s="22" t="s">
        <v>34</v>
      </c>
      <c r="C424" s="23" t="s">
        <v>71</v>
      </c>
      <c r="D424" s="6" t="s">
        <v>4</v>
      </c>
      <c r="E424" s="22" t="s">
        <v>125</v>
      </c>
      <c r="F424" s="22" t="s">
        <v>136</v>
      </c>
      <c r="G424" s="22" t="s">
        <v>99</v>
      </c>
      <c r="H424" s="32" t="s">
        <v>79</v>
      </c>
    </row>
    <row r="425" ht="20" customHeight="1" spans="1:8" x14ac:dyDescent="0.25">
      <c r="A425" s="24" t="s">
        <v>62</v>
      </c>
      <c r="B425" s="24" t="s">
        <v>36</v>
      </c>
      <c r="C425" s="25" t="s">
        <v>71</v>
      </c>
      <c r="D425" s="6" t="s">
        <v>4</v>
      </c>
      <c r="E425" s="24" t="s">
        <v>125</v>
      </c>
      <c r="F425" s="24" t="s">
        <v>136</v>
      </c>
      <c r="G425" s="24" t="s">
        <v>99</v>
      </c>
      <c r="H425" s="30" t="s">
        <v>79</v>
      </c>
    </row>
    <row r="426" ht="20" customHeight="1" spans="1:8" x14ac:dyDescent="0.25">
      <c r="A426" s="22" t="s">
        <v>63</v>
      </c>
      <c r="B426" s="22" t="s">
        <v>38</v>
      </c>
      <c r="C426" s="23" t="s">
        <v>71</v>
      </c>
      <c r="D426" s="6" t="s">
        <v>4</v>
      </c>
      <c r="E426" s="22" t="s">
        <v>125</v>
      </c>
      <c r="F426" s="22" t="s">
        <v>136</v>
      </c>
      <c r="G426" s="22" t="s">
        <v>99</v>
      </c>
      <c r="H426" s="32" t="s">
        <v>79</v>
      </c>
    </row>
    <row r="427" ht="20" customHeight="1" spans="1:8" x14ac:dyDescent="0.25">
      <c r="A427" s="24" t="s">
        <v>64</v>
      </c>
      <c r="B427" s="24" t="s">
        <v>40</v>
      </c>
      <c r="C427" s="25" t="s">
        <v>71</v>
      </c>
      <c r="D427" s="6" t="s">
        <v>4</v>
      </c>
      <c r="E427" s="24" t="s">
        <v>125</v>
      </c>
      <c r="F427" s="24" t="s">
        <v>136</v>
      </c>
      <c r="G427" s="24" t="s">
        <v>99</v>
      </c>
      <c r="H427" s="30" t="s">
        <v>79</v>
      </c>
    </row>
    <row r="428" ht="20" customHeight="1" spans="1:8" x14ac:dyDescent="0.25">
      <c r="A428" s="22" t="s">
        <v>65</v>
      </c>
      <c r="B428" s="22" t="s">
        <v>42</v>
      </c>
      <c r="C428" s="23" t="s">
        <v>71</v>
      </c>
      <c r="D428" s="35" t="s">
        <v>86</v>
      </c>
      <c r="E428" s="22" t="s">
        <v>12</v>
      </c>
      <c r="F428" s="22" t="s">
        <v>12</v>
      </c>
      <c r="G428" s="22" t="s">
        <v>12</v>
      </c>
      <c r="H428" s="22" t="s">
        <v>32</v>
      </c>
    </row>
    <row r="429" ht="20" customHeight="1" spans="1:8" x14ac:dyDescent="0.25">
      <c r="A429" s="24" t="s">
        <v>66</v>
      </c>
      <c r="B429" s="24" t="s">
        <v>45</v>
      </c>
      <c r="C429" s="25" t="s">
        <v>71</v>
      </c>
      <c r="D429" s="6" t="s">
        <v>4</v>
      </c>
      <c r="E429" s="24" t="s">
        <v>125</v>
      </c>
      <c r="F429" s="24" t="s">
        <v>136</v>
      </c>
      <c r="G429" s="24" t="s">
        <v>99</v>
      </c>
      <c r="H429" s="30" t="s">
        <v>79</v>
      </c>
    </row>
    <row r="430" ht="20" customHeight="1" spans="1:8" x14ac:dyDescent="0.25">
      <c r="A430" s="22" t="s">
        <v>67</v>
      </c>
      <c r="B430" s="22" t="s">
        <v>31</v>
      </c>
      <c r="C430" s="23" t="s">
        <v>71</v>
      </c>
      <c r="D430" s="6" t="s">
        <v>4</v>
      </c>
      <c r="E430" s="22" t="s">
        <v>125</v>
      </c>
      <c r="F430" s="22" t="s">
        <v>136</v>
      </c>
      <c r="G430" s="22" t="s">
        <v>99</v>
      </c>
      <c r="H430" s="32" t="s">
        <v>79</v>
      </c>
    </row>
    <row r="431" ht="20" customHeight="1" spans="1:8" x14ac:dyDescent="0.25">
      <c r="A431" s="24" t="s">
        <v>68</v>
      </c>
      <c r="B431" s="24" t="s">
        <v>34</v>
      </c>
      <c r="C431" s="25" t="s">
        <v>71</v>
      </c>
      <c r="D431" s="6" t="s">
        <v>4</v>
      </c>
      <c r="E431" s="24" t="s">
        <v>125</v>
      </c>
      <c r="F431" s="24" t="s">
        <v>136</v>
      </c>
      <c r="G431" s="24" t="s">
        <v>99</v>
      </c>
      <c r="H431" s="30" t="s">
        <v>79</v>
      </c>
    </row>
    <row r="432" ht="22" customHeight="1" spans="1:8" x14ac:dyDescent="0.25">
      <c r="A432" s="26" t="s">
        <v>69</v>
      </c>
      <c r="B432" s="26"/>
      <c r="C432" s="26"/>
      <c r="D432" s="26"/>
      <c r="E432" s="26"/>
      <c r="F432" s="26"/>
      <c r="G432" s="27" t="s">
        <v>1086</v>
      </c>
      <c r="H432" s="28" t="s">
        <v>12</v>
      </c>
    </row>
    <row r="434" ht="26" customHeight="1" spans="1:8" x14ac:dyDescent="0.25">
      <c r="A434" s="20" t="s">
        <v>1087</v>
      </c>
      <c r="B434" s="20"/>
      <c r="C434" s="20"/>
      <c r="D434" s="20"/>
      <c r="E434" s="20"/>
      <c r="F434" s="20"/>
      <c r="G434" s="20"/>
      <c r="H434" s="20"/>
    </row>
    <row r="435" ht="22" customHeight="1" spans="1:8" x14ac:dyDescent="0.25">
      <c r="A435" s="21" t="s">
        <v>22</v>
      </c>
      <c r="B435" s="21" t="s">
        <v>23</v>
      </c>
      <c r="C435" s="21" t="s">
        <v>24</v>
      </c>
      <c r="D435" s="21" t="s">
        <v>25</v>
      </c>
      <c r="E435" s="21" t="s">
        <v>26</v>
      </c>
      <c r="F435" s="21" t="s">
        <v>27</v>
      </c>
      <c r="G435" s="21" t="s">
        <v>28</v>
      </c>
      <c r="H435" s="21" t="s">
        <v>29</v>
      </c>
    </row>
    <row r="436" ht="20" customHeight="1" spans="1:8" x14ac:dyDescent="0.25">
      <c r="A436" s="22" t="s">
        <v>30</v>
      </c>
      <c r="B436" s="22" t="s">
        <v>31</v>
      </c>
      <c r="C436" s="23" t="s">
        <v>71</v>
      </c>
      <c r="D436" s="10" t="s">
        <v>87</v>
      </c>
      <c r="E436" s="22" t="s">
        <v>12</v>
      </c>
      <c r="F436" s="22" t="s">
        <v>12</v>
      </c>
      <c r="G436" s="22" t="s">
        <v>12</v>
      </c>
      <c r="H436" s="22" t="s">
        <v>32</v>
      </c>
    </row>
    <row r="437" ht="20" customHeight="1" spans="1:8" x14ac:dyDescent="0.25">
      <c r="A437" s="24" t="s">
        <v>33</v>
      </c>
      <c r="B437" s="24" t="s">
        <v>34</v>
      </c>
      <c r="C437" s="25" t="s">
        <v>71</v>
      </c>
      <c r="D437" s="10" t="s">
        <v>87</v>
      </c>
      <c r="E437" s="24" t="s">
        <v>12</v>
      </c>
      <c r="F437" s="24" t="s">
        <v>12</v>
      </c>
      <c r="G437" s="24" t="s">
        <v>12</v>
      </c>
      <c r="H437" s="24" t="s">
        <v>32</v>
      </c>
    </row>
    <row r="438" ht="20" customHeight="1" spans="1:8" x14ac:dyDescent="0.25">
      <c r="A438" s="22" t="s">
        <v>35</v>
      </c>
      <c r="B438" s="22" t="s">
        <v>36</v>
      </c>
      <c r="C438" s="23" t="s">
        <v>71</v>
      </c>
      <c r="D438" s="10" t="s">
        <v>87</v>
      </c>
      <c r="E438" s="22" t="s">
        <v>12</v>
      </c>
      <c r="F438" s="22" t="s">
        <v>12</v>
      </c>
      <c r="G438" s="22" t="s">
        <v>12</v>
      </c>
      <c r="H438" s="22" t="s">
        <v>32</v>
      </c>
    </row>
    <row r="439" ht="20" customHeight="1" spans="1:8" x14ac:dyDescent="0.25">
      <c r="A439" s="24" t="s">
        <v>37</v>
      </c>
      <c r="B439" s="24" t="s">
        <v>38</v>
      </c>
      <c r="C439" s="25" t="s">
        <v>71</v>
      </c>
      <c r="D439" s="10" t="s">
        <v>87</v>
      </c>
      <c r="E439" s="24" t="s">
        <v>12</v>
      </c>
      <c r="F439" s="24" t="s">
        <v>12</v>
      </c>
      <c r="G439" s="24" t="s">
        <v>12</v>
      </c>
      <c r="H439" s="24" t="s">
        <v>32</v>
      </c>
    </row>
    <row r="440" ht="20" customHeight="1" spans="1:8" x14ac:dyDescent="0.25">
      <c r="A440" s="22" t="s">
        <v>39</v>
      </c>
      <c r="B440" s="22" t="s">
        <v>40</v>
      </c>
      <c r="C440" s="23" t="s">
        <v>71</v>
      </c>
      <c r="D440" s="10" t="s">
        <v>87</v>
      </c>
      <c r="E440" s="22" t="s">
        <v>12</v>
      </c>
      <c r="F440" s="22" t="s">
        <v>12</v>
      </c>
      <c r="G440" s="22" t="s">
        <v>12</v>
      </c>
      <c r="H440" s="22" t="s">
        <v>32</v>
      </c>
    </row>
    <row r="441" ht="20" customHeight="1" spans="1:8" x14ac:dyDescent="0.25">
      <c r="A441" s="24" t="s">
        <v>41</v>
      </c>
      <c r="B441" s="24" t="s">
        <v>42</v>
      </c>
      <c r="C441" s="25" t="s">
        <v>71</v>
      </c>
      <c r="D441" s="33" t="s">
        <v>86</v>
      </c>
      <c r="E441" s="24" t="s">
        <v>12</v>
      </c>
      <c r="F441" s="24" t="s">
        <v>12</v>
      </c>
      <c r="G441" s="24" t="s">
        <v>12</v>
      </c>
      <c r="H441" s="24" t="s">
        <v>32</v>
      </c>
    </row>
    <row r="442" ht="20" customHeight="1" spans="1:8" x14ac:dyDescent="0.25">
      <c r="A442" s="22" t="s">
        <v>44</v>
      </c>
      <c r="B442" s="22" t="s">
        <v>45</v>
      </c>
      <c r="C442" s="23" t="s">
        <v>71</v>
      </c>
      <c r="D442" s="6" t="s">
        <v>4</v>
      </c>
      <c r="E442" s="22" t="s">
        <v>364</v>
      </c>
      <c r="F442" s="22" t="s">
        <v>354</v>
      </c>
      <c r="G442" s="22" t="s">
        <v>259</v>
      </c>
      <c r="H442" s="32" t="s">
        <v>79</v>
      </c>
    </row>
    <row r="443" ht="20" customHeight="1" spans="1:8" x14ac:dyDescent="0.25">
      <c r="A443" s="24" t="s">
        <v>46</v>
      </c>
      <c r="B443" s="24" t="s">
        <v>31</v>
      </c>
      <c r="C443" s="25" t="s">
        <v>71</v>
      </c>
      <c r="D443" s="6" t="s">
        <v>4</v>
      </c>
      <c r="E443" s="24" t="s">
        <v>311</v>
      </c>
      <c r="F443" s="24" t="s">
        <v>384</v>
      </c>
      <c r="G443" s="24" t="s">
        <v>259</v>
      </c>
      <c r="H443" s="30" t="s">
        <v>79</v>
      </c>
    </row>
    <row r="444" ht="20" customHeight="1" spans="1:8" x14ac:dyDescent="0.25">
      <c r="A444" s="22" t="s">
        <v>47</v>
      </c>
      <c r="B444" s="22" t="s">
        <v>34</v>
      </c>
      <c r="C444" s="23" t="s">
        <v>71</v>
      </c>
      <c r="D444" s="6" t="s">
        <v>4</v>
      </c>
      <c r="E444" s="22" t="s">
        <v>635</v>
      </c>
      <c r="F444" s="22" t="s">
        <v>126</v>
      </c>
      <c r="G444" s="22" t="s">
        <v>299</v>
      </c>
      <c r="H444" s="32" t="s">
        <v>79</v>
      </c>
    </row>
    <row r="445" ht="20" customHeight="1" spans="1:8" x14ac:dyDescent="0.25">
      <c r="A445" s="24" t="s">
        <v>48</v>
      </c>
      <c r="B445" s="24" t="s">
        <v>36</v>
      </c>
      <c r="C445" s="25" t="s">
        <v>71</v>
      </c>
      <c r="D445" s="6" t="s">
        <v>4</v>
      </c>
      <c r="E445" s="24" t="s">
        <v>356</v>
      </c>
      <c r="F445" s="24" t="s">
        <v>373</v>
      </c>
      <c r="G445" s="24" t="s">
        <v>165</v>
      </c>
      <c r="H445" s="34" t="s">
        <v>357</v>
      </c>
    </row>
    <row r="446" ht="20" customHeight="1" spans="1:8" x14ac:dyDescent="0.25">
      <c r="A446" s="22" t="s">
        <v>49</v>
      </c>
      <c r="B446" s="22" t="s">
        <v>38</v>
      </c>
      <c r="C446" s="23" t="s">
        <v>71</v>
      </c>
      <c r="D446" s="6" t="s">
        <v>4</v>
      </c>
      <c r="E446" s="22" t="s">
        <v>397</v>
      </c>
      <c r="F446" s="22" t="s">
        <v>384</v>
      </c>
      <c r="G446" s="22" t="s">
        <v>147</v>
      </c>
      <c r="H446" s="32" t="s">
        <v>79</v>
      </c>
    </row>
    <row r="447" ht="20" customHeight="1" spans="1:8" x14ac:dyDescent="0.25">
      <c r="A447" s="24" t="s">
        <v>50</v>
      </c>
      <c r="B447" s="24" t="s">
        <v>40</v>
      </c>
      <c r="C447" s="25" t="s">
        <v>71</v>
      </c>
      <c r="D447" s="6" t="s">
        <v>4</v>
      </c>
      <c r="E447" s="24" t="s">
        <v>409</v>
      </c>
      <c r="F447" s="24" t="s">
        <v>252</v>
      </c>
      <c r="G447" s="24" t="s">
        <v>478</v>
      </c>
      <c r="H447" s="30" t="s">
        <v>79</v>
      </c>
    </row>
    <row r="448" ht="20" customHeight="1" spans="1:8" x14ac:dyDescent="0.25">
      <c r="A448" s="22" t="s">
        <v>51</v>
      </c>
      <c r="B448" s="22" t="s">
        <v>42</v>
      </c>
      <c r="C448" s="23" t="s">
        <v>71</v>
      </c>
      <c r="D448" s="35" t="s">
        <v>86</v>
      </c>
      <c r="E448" s="22" t="s">
        <v>12</v>
      </c>
      <c r="F448" s="22" t="s">
        <v>12</v>
      </c>
      <c r="G448" s="22" t="s">
        <v>12</v>
      </c>
      <c r="H448" s="22" t="s">
        <v>32</v>
      </c>
    </row>
    <row r="449" ht="20" customHeight="1" spans="1:8" x14ac:dyDescent="0.25">
      <c r="A449" s="24" t="s">
        <v>52</v>
      </c>
      <c r="B449" s="24" t="s">
        <v>45</v>
      </c>
      <c r="C449" s="25" t="s">
        <v>71</v>
      </c>
      <c r="D449" s="6" t="s">
        <v>4</v>
      </c>
      <c r="E449" s="24" t="s">
        <v>1088</v>
      </c>
      <c r="F449" s="24" t="s">
        <v>750</v>
      </c>
      <c r="G449" s="24" t="s">
        <v>187</v>
      </c>
      <c r="H449" s="34" t="s">
        <v>1089</v>
      </c>
    </row>
    <row r="450" ht="20" customHeight="1" spans="1:8" x14ac:dyDescent="0.25">
      <c r="A450" s="22" t="s">
        <v>53</v>
      </c>
      <c r="B450" s="22" t="s">
        <v>31</v>
      </c>
      <c r="C450" s="23" t="s">
        <v>71</v>
      </c>
      <c r="D450" s="6" t="s">
        <v>4</v>
      </c>
      <c r="E450" s="22" t="s">
        <v>364</v>
      </c>
      <c r="F450" s="22" t="s">
        <v>373</v>
      </c>
      <c r="G450" s="22" t="s">
        <v>99</v>
      </c>
      <c r="H450" s="32" t="s">
        <v>79</v>
      </c>
    </row>
    <row r="451" ht="20" customHeight="1" spans="1:8" x14ac:dyDescent="0.25">
      <c r="A451" s="24" t="s">
        <v>54</v>
      </c>
      <c r="B451" s="24" t="s">
        <v>34</v>
      </c>
      <c r="C451" s="25" t="s">
        <v>71</v>
      </c>
      <c r="D451" s="6" t="s">
        <v>4</v>
      </c>
      <c r="E451" s="24" t="s">
        <v>392</v>
      </c>
      <c r="F451" s="24" t="s">
        <v>373</v>
      </c>
      <c r="G451" s="24" t="s">
        <v>614</v>
      </c>
      <c r="H451" s="34" t="s">
        <v>394</v>
      </c>
    </row>
    <row r="452" ht="20" customHeight="1" spans="1:8" x14ac:dyDescent="0.25">
      <c r="A452" s="22" t="s">
        <v>55</v>
      </c>
      <c r="B452" s="22" t="s">
        <v>36</v>
      </c>
      <c r="C452" s="23" t="s">
        <v>71</v>
      </c>
      <c r="D452" s="6" t="s">
        <v>4</v>
      </c>
      <c r="E452" s="22" t="s">
        <v>364</v>
      </c>
      <c r="F452" s="22" t="s">
        <v>373</v>
      </c>
      <c r="G452" s="22" t="s">
        <v>99</v>
      </c>
      <c r="H452" s="32" t="s">
        <v>79</v>
      </c>
    </row>
    <row r="453" ht="20" customHeight="1" spans="1:8" x14ac:dyDescent="0.25">
      <c r="A453" s="24" t="s">
        <v>56</v>
      </c>
      <c r="B453" s="24" t="s">
        <v>38</v>
      </c>
      <c r="C453" s="25" t="s">
        <v>71</v>
      </c>
      <c r="D453" s="6" t="s">
        <v>4</v>
      </c>
      <c r="E453" s="24" t="s">
        <v>1090</v>
      </c>
      <c r="F453" s="24" t="s">
        <v>940</v>
      </c>
      <c r="G453" s="24" t="s">
        <v>165</v>
      </c>
      <c r="H453" s="34" t="s">
        <v>1091</v>
      </c>
    </row>
    <row r="454" ht="20" customHeight="1" spans="1:8" x14ac:dyDescent="0.25">
      <c r="A454" s="22" t="s">
        <v>57</v>
      </c>
      <c r="B454" s="22" t="s">
        <v>40</v>
      </c>
      <c r="C454" s="23" t="s">
        <v>71</v>
      </c>
      <c r="D454" s="6" t="s">
        <v>4</v>
      </c>
      <c r="E454" s="22" t="s">
        <v>353</v>
      </c>
      <c r="F454" s="22" t="s">
        <v>751</v>
      </c>
      <c r="G454" s="22" t="s">
        <v>1092</v>
      </c>
      <c r="H454" s="29" t="s">
        <v>355</v>
      </c>
    </row>
    <row r="455" ht="20" customHeight="1" spans="1:8" x14ac:dyDescent="0.25">
      <c r="A455" s="24" t="s">
        <v>58</v>
      </c>
      <c r="B455" s="24" t="s">
        <v>42</v>
      </c>
      <c r="C455" s="25" t="s">
        <v>71</v>
      </c>
      <c r="D455" s="33" t="s">
        <v>86</v>
      </c>
      <c r="E455" s="24" t="s">
        <v>12</v>
      </c>
      <c r="F455" s="24" t="s">
        <v>12</v>
      </c>
      <c r="G455" s="24" t="s">
        <v>12</v>
      </c>
      <c r="H455" s="24" t="s">
        <v>32</v>
      </c>
    </row>
    <row r="456" ht="20" customHeight="1" spans="1:8" x14ac:dyDescent="0.25">
      <c r="A456" s="22" t="s">
        <v>59</v>
      </c>
      <c r="B456" s="22" t="s">
        <v>45</v>
      </c>
      <c r="C456" s="23" t="s">
        <v>71</v>
      </c>
      <c r="D456" s="6" t="s">
        <v>4</v>
      </c>
      <c r="E456" s="22" t="s">
        <v>564</v>
      </c>
      <c r="F456" s="22" t="s">
        <v>1093</v>
      </c>
      <c r="G456" s="22" t="s">
        <v>1014</v>
      </c>
      <c r="H456" s="32" t="s">
        <v>79</v>
      </c>
    </row>
    <row r="457" ht="20" customHeight="1" spans="1:8" x14ac:dyDescent="0.25">
      <c r="A457" s="24" t="s">
        <v>60</v>
      </c>
      <c r="B457" s="24" t="s">
        <v>31</v>
      </c>
      <c r="C457" s="25" t="s">
        <v>71</v>
      </c>
      <c r="D457" s="6" t="s">
        <v>4</v>
      </c>
      <c r="E457" s="24" t="s">
        <v>383</v>
      </c>
      <c r="F457" s="24" t="s">
        <v>384</v>
      </c>
      <c r="G457" s="24" t="s">
        <v>99</v>
      </c>
      <c r="H457" s="30" t="s">
        <v>79</v>
      </c>
    </row>
    <row r="458" ht="20" customHeight="1" spans="1:8" x14ac:dyDescent="0.25">
      <c r="A458" s="22" t="s">
        <v>61</v>
      </c>
      <c r="B458" s="22" t="s">
        <v>34</v>
      </c>
      <c r="C458" s="23" t="s">
        <v>71</v>
      </c>
      <c r="D458" s="10" t="s">
        <v>87</v>
      </c>
      <c r="E458" s="22" t="s">
        <v>12</v>
      </c>
      <c r="F458" s="22" t="s">
        <v>12</v>
      </c>
      <c r="G458" s="22" t="s">
        <v>12</v>
      </c>
      <c r="H458" s="22" t="s">
        <v>32</v>
      </c>
    </row>
    <row r="459" ht="20" customHeight="1" spans="1:8" x14ac:dyDescent="0.25">
      <c r="A459" s="24" t="s">
        <v>62</v>
      </c>
      <c r="B459" s="24" t="s">
        <v>36</v>
      </c>
      <c r="C459" s="25" t="s">
        <v>71</v>
      </c>
      <c r="D459" s="6" t="s">
        <v>4</v>
      </c>
      <c r="E459" s="24" t="s">
        <v>515</v>
      </c>
      <c r="F459" s="24" t="s">
        <v>373</v>
      </c>
      <c r="G459" s="24" t="s">
        <v>577</v>
      </c>
      <c r="H459" s="34" t="s">
        <v>517</v>
      </c>
    </row>
    <row r="460" ht="20" customHeight="1" spans="1:8" x14ac:dyDescent="0.25">
      <c r="A460" s="22" t="s">
        <v>63</v>
      </c>
      <c r="B460" s="22" t="s">
        <v>38</v>
      </c>
      <c r="C460" s="23" t="s">
        <v>71</v>
      </c>
      <c r="D460" s="6" t="s">
        <v>4</v>
      </c>
      <c r="E460" s="22" t="s">
        <v>639</v>
      </c>
      <c r="F460" s="22" t="s">
        <v>389</v>
      </c>
      <c r="G460" s="22" t="s">
        <v>261</v>
      </c>
      <c r="H460" s="32" t="s">
        <v>79</v>
      </c>
    </row>
    <row r="461" ht="20" customHeight="1" spans="1:8" x14ac:dyDescent="0.25">
      <c r="A461" s="24" t="s">
        <v>64</v>
      </c>
      <c r="B461" s="24" t="s">
        <v>40</v>
      </c>
      <c r="C461" s="25" t="s">
        <v>71</v>
      </c>
      <c r="D461" s="6" t="s">
        <v>4</v>
      </c>
      <c r="E461" s="24" t="s">
        <v>228</v>
      </c>
      <c r="F461" s="24" t="s">
        <v>376</v>
      </c>
      <c r="G461" s="24" t="s">
        <v>579</v>
      </c>
      <c r="H461" s="34" t="s">
        <v>229</v>
      </c>
    </row>
    <row r="462" ht="20" customHeight="1" spans="1:8" x14ac:dyDescent="0.25">
      <c r="A462" s="22" t="s">
        <v>65</v>
      </c>
      <c r="B462" s="22" t="s">
        <v>42</v>
      </c>
      <c r="C462" s="23" t="s">
        <v>71</v>
      </c>
      <c r="D462" s="35" t="s">
        <v>86</v>
      </c>
      <c r="E462" s="22" t="s">
        <v>12</v>
      </c>
      <c r="F462" s="22" t="s">
        <v>12</v>
      </c>
      <c r="G462" s="22" t="s">
        <v>12</v>
      </c>
      <c r="H462" s="22" t="s">
        <v>32</v>
      </c>
    </row>
    <row r="463" ht="20" customHeight="1" spans="1:8" x14ac:dyDescent="0.25">
      <c r="A463" s="24" t="s">
        <v>66</v>
      </c>
      <c r="B463" s="24" t="s">
        <v>45</v>
      </c>
      <c r="C463" s="25" t="s">
        <v>71</v>
      </c>
      <c r="D463" s="6" t="s">
        <v>4</v>
      </c>
      <c r="E463" s="24" t="s">
        <v>1094</v>
      </c>
      <c r="F463" s="24" t="s">
        <v>1094</v>
      </c>
      <c r="G463" s="24" t="s">
        <v>1038</v>
      </c>
      <c r="H463" s="34" t="s">
        <v>1095</v>
      </c>
    </row>
    <row r="464" ht="20" customHeight="1" spans="1:8" x14ac:dyDescent="0.25">
      <c r="A464" s="22" t="s">
        <v>67</v>
      </c>
      <c r="B464" s="22" t="s">
        <v>31</v>
      </c>
      <c r="C464" s="23" t="s">
        <v>71</v>
      </c>
      <c r="D464" s="6" t="s">
        <v>4</v>
      </c>
      <c r="E464" s="22" t="s">
        <v>362</v>
      </c>
      <c r="F464" s="22" t="s">
        <v>321</v>
      </c>
      <c r="G464" s="22" t="s">
        <v>174</v>
      </c>
      <c r="H464" s="32" t="s">
        <v>79</v>
      </c>
    </row>
    <row r="465" ht="20" customHeight="1" spans="1:8" x14ac:dyDescent="0.25">
      <c r="A465" s="24" t="s">
        <v>68</v>
      </c>
      <c r="B465" s="24" t="s">
        <v>34</v>
      </c>
      <c r="C465" s="25" t="s">
        <v>71</v>
      </c>
      <c r="D465" s="6" t="s">
        <v>4</v>
      </c>
      <c r="E465" s="24" t="s">
        <v>284</v>
      </c>
      <c r="F465" s="24" t="s">
        <v>373</v>
      </c>
      <c r="G465" s="24" t="s">
        <v>563</v>
      </c>
      <c r="H465" s="30" t="s">
        <v>79</v>
      </c>
    </row>
    <row r="466" ht="22" customHeight="1" spans="1:8" x14ac:dyDescent="0.25">
      <c r="A466" s="26" t="s">
        <v>69</v>
      </c>
      <c r="B466" s="26"/>
      <c r="C466" s="26"/>
      <c r="D466" s="26"/>
      <c r="E466" s="26"/>
      <c r="F466" s="26"/>
      <c r="G466" s="27" t="s">
        <v>1096</v>
      </c>
      <c r="H466" s="28" t="s">
        <v>12</v>
      </c>
    </row>
    <row r="468" ht="26" customHeight="1" spans="1:8" x14ac:dyDescent="0.25">
      <c r="A468" s="20" t="s">
        <v>1097</v>
      </c>
      <c r="B468" s="20"/>
      <c r="C468" s="20"/>
      <c r="D468" s="20"/>
      <c r="E468" s="20"/>
      <c r="F468" s="20"/>
      <c r="G468" s="20"/>
      <c r="H468" s="20"/>
    </row>
    <row r="469" ht="22" customHeight="1" spans="1:8" x14ac:dyDescent="0.25">
      <c r="A469" s="21" t="s">
        <v>22</v>
      </c>
      <c r="B469" s="21" t="s">
        <v>23</v>
      </c>
      <c r="C469" s="21" t="s">
        <v>24</v>
      </c>
      <c r="D469" s="21" t="s">
        <v>25</v>
      </c>
      <c r="E469" s="21" t="s">
        <v>26</v>
      </c>
      <c r="F469" s="21" t="s">
        <v>27</v>
      </c>
      <c r="G469" s="21" t="s">
        <v>28</v>
      </c>
      <c r="H469" s="21" t="s">
        <v>29</v>
      </c>
    </row>
    <row r="470" ht="20" customHeight="1" spans="1:8" x14ac:dyDescent="0.25">
      <c r="A470" s="22" t="s">
        <v>30</v>
      </c>
      <c r="B470" s="22" t="s">
        <v>31</v>
      </c>
      <c r="C470" s="23" t="s">
        <v>71</v>
      </c>
      <c r="D470" s="10" t="s">
        <v>87</v>
      </c>
      <c r="E470" s="22" t="s">
        <v>12</v>
      </c>
      <c r="F470" s="22" t="s">
        <v>12</v>
      </c>
      <c r="G470" s="22" t="s">
        <v>12</v>
      </c>
      <c r="H470" s="22" t="s">
        <v>32</v>
      </c>
    </row>
    <row r="471" ht="20" customHeight="1" spans="1:8" x14ac:dyDescent="0.25">
      <c r="A471" s="24" t="s">
        <v>33</v>
      </c>
      <c r="B471" s="24" t="s">
        <v>34</v>
      </c>
      <c r="C471" s="25" t="s">
        <v>71</v>
      </c>
      <c r="D471" s="10" t="s">
        <v>87</v>
      </c>
      <c r="E471" s="24" t="s">
        <v>12</v>
      </c>
      <c r="F471" s="24" t="s">
        <v>12</v>
      </c>
      <c r="G471" s="24" t="s">
        <v>12</v>
      </c>
      <c r="H471" s="24" t="s">
        <v>32</v>
      </c>
    </row>
    <row r="472" ht="20" customHeight="1" spans="1:8" x14ac:dyDescent="0.25">
      <c r="A472" s="22" t="s">
        <v>35</v>
      </c>
      <c r="B472" s="22" t="s">
        <v>36</v>
      </c>
      <c r="C472" s="23" t="s">
        <v>71</v>
      </c>
      <c r="D472" s="10" t="s">
        <v>87</v>
      </c>
      <c r="E472" s="22" t="s">
        <v>12</v>
      </c>
      <c r="F472" s="22" t="s">
        <v>12</v>
      </c>
      <c r="G472" s="22" t="s">
        <v>12</v>
      </c>
      <c r="H472" s="22" t="s">
        <v>32</v>
      </c>
    </row>
    <row r="473" ht="20" customHeight="1" spans="1:8" x14ac:dyDescent="0.25">
      <c r="A473" s="24" t="s">
        <v>37</v>
      </c>
      <c r="B473" s="24" t="s">
        <v>38</v>
      </c>
      <c r="C473" s="25" t="s">
        <v>71</v>
      </c>
      <c r="D473" s="31" t="s">
        <v>11</v>
      </c>
      <c r="E473" s="24" t="s">
        <v>12</v>
      </c>
      <c r="F473" s="24" t="s">
        <v>12</v>
      </c>
      <c r="G473" s="24" t="s">
        <v>12</v>
      </c>
      <c r="H473" s="24" t="s">
        <v>32</v>
      </c>
    </row>
    <row r="474" ht="20" customHeight="1" spans="1:8" x14ac:dyDescent="0.25">
      <c r="A474" s="22" t="s">
        <v>39</v>
      </c>
      <c r="B474" s="22" t="s">
        <v>40</v>
      </c>
      <c r="C474" s="23" t="s">
        <v>71</v>
      </c>
      <c r="D474" s="6" t="s">
        <v>4</v>
      </c>
      <c r="E474" s="22" t="s">
        <v>289</v>
      </c>
      <c r="F474" s="22" t="s">
        <v>12</v>
      </c>
      <c r="G474" s="22" t="s">
        <v>516</v>
      </c>
      <c r="H474" s="32" t="s">
        <v>79</v>
      </c>
    </row>
    <row r="475" ht="20" customHeight="1" spans="1:8" x14ac:dyDescent="0.25">
      <c r="A475" s="24" t="s">
        <v>41</v>
      </c>
      <c r="B475" s="24" t="s">
        <v>42</v>
      </c>
      <c r="C475" s="25" t="s">
        <v>71</v>
      </c>
      <c r="D475" s="33" t="s">
        <v>86</v>
      </c>
      <c r="E475" s="24" t="s">
        <v>12</v>
      </c>
      <c r="F475" s="24" t="s">
        <v>12</v>
      </c>
      <c r="G475" s="24" t="s">
        <v>12</v>
      </c>
      <c r="H475" s="24" t="s">
        <v>32</v>
      </c>
    </row>
    <row r="476" ht="20" customHeight="1" spans="1:8" x14ac:dyDescent="0.25">
      <c r="A476" s="22" t="s">
        <v>44</v>
      </c>
      <c r="B476" s="22" t="s">
        <v>45</v>
      </c>
      <c r="C476" s="23" t="s">
        <v>71</v>
      </c>
      <c r="D476" s="6" t="s">
        <v>4</v>
      </c>
      <c r="E476" s="22" t="s">
        <v>1067</v>
      </c>
      <c r="F476" s="22" t="s">
        <v>1098</v>
      </c>
      <c r="G476" s="22" t="s">
        <v>575</v>
      </c>
      <c r="H476" s="29" t="s">
        <v>869</v>
      </c>
    </row>
    <row r="477" ht="20" customHeight="1" spans="1:8" x14ac:dyDescent="0.25">
      <c r="A477" s="24" t="s">
        <v>46</v>
      </c>
      <c r="B477" s="24" t="s">
        <v>31</v>
      </c>
      <c r="C477" s="25" t="s">
        <v>71</v>
      </c>
      <c r="D477" s="6" t="s">
        <v>4</v>
      </c>
      <c r="E477" s="24" t="s">
        <v>391</v>
      </c>
      <c r="F477" s="24" t="s">
        <v>12</v>
      </c>
      <c r="G477" s="24" t="s">
        <v>516</v>
      </c>
      <c r="H477" s="30" t="s">
        <v>79</v>
      </c>
    </row>
    <row r="478" ht="20" customHeight="1" spans="1:8" x14ac:dyDescent="0.25">
      <c r="A478" s="22" t="s">
        <v>47</v>
      </c>
      <c r="B478" s="22" t="s">
        <v>34</v>
      </c>
      <c r="C478" s="23" t="s">
        <v>71</v>
      </c>
      <c r="D478" s="6" t="s">
        <v>4</v>
      </c>
      <c r="E478" s="22" t="s">
        <v>446</v>
      </c>
      <c r="F478" s="22" t="s">
        <v>1099</v>
      </c>
      <c r="G478" s="22" t="s">
        <v>1100</v>
      </c>
      <c r="H478" s="32" t="s">
        <v>79</v>
      </c>
    </row>
    <row r="479" ht="20" customHeight="1" spans="1:8" x14ac:dyDescent="0.25">
      <c r="A479" s="24" t="s">
        <v>48</v>
      </c>
      <c r="B479" s="24" t="s">
        <v>36</v>
      </c>
      <c r="C479" s="25" t="s">
        <v>71</v>
      </c>
      <c r="D479" s="6" t="s">
        <v>4</v>
      </c>
      <c r="E479" s="24" t="s">
        <v>284</v>
      </c>
      <c r="F479" s="24" t="s">
        <v>1101</v>
      </c>
      <c r="G479" s="24" t="s">
        <v>1102</v>
      </c>
      <c r="H479" s="30" t="s">
        <v>79</v>
      </c>
    </row>
    <row r="480" ht="20" customHeight="1" spans="1:8" x14ac:dyDescent="0.25">
      <c r="A480" s="22" t="s">
        <v>49</v>
      </c>
      <c r="B480" s="22" t="s">
        <v>38</v>
      </c>
      <c r="C480" s="23" t="s">
        <v>71</v>
      </c>
      <c r="D480" s="6" t="s">
        <v>4</v>
      </c>
      <c r="E480" s="22" t="s">
        <v>300</v>
      </c>
      <c r="F480" s="22" t="s">
        <v>520</v>
      </c>
      <c r="G480" s="22" t="s">
        <v>1103</v>
      </c>
      <c r="H480" s="32" t="s">
        <v>79</v>
      </c>
    </row>
    <row r="481" ht="20" customHeight="1" spans="1:8" x14ac:dyDescent="0.25">
      <c r="A481" s="24" t="s">
        <v>50</v>
      </c>
      <c r="B481" s="24" t="s">
        <v>40</v>
      </c>
      <c r="C481" s="25" t="s">
        <v>71</v>
      </c>
      <c r="D481" s="6" t="s">
        <v>4</v>
      </c>
      <c r="E481" s="24" t="s">
        <v>503</v>
      </c>
      <c r="F481" s="24" t="s">
        <v>160</v>
      </c>
      <c r="G481" s="24" t="s">
        <v>805</v>
      </c>
      <c r="H481" s="30" t="s">
        <v>79</v>
      </c>
    </row>
    <row r="482" ht="20" customHeight="1" spans="1:8" x14ac:dyDescent="0.25">
      <c r="A482" s="22" t="s">
        <v>51</v>
      </c>
      <c r="B482" s="22" t="s">
        <v>42</v>
      </c>
      <c r="C482" s="23" t="s">
        <v>71</v>
      </c>
      <c r="D482" s="35" t="s">
        <v>86</v>
      </c>
      <c r="E482" s="22" t="s">
        <v>12</v>
      </c>
      <c r="F482" s="22" t="s">
        <v>12</v>
      </c>
      <c r="G482" s="22" t="s">
        <v>12</v>
      </c>
      <c r="H482" s="22" t="s">
        <v>32</v>
      </c>
    </row>
    <row r="483" ht="20" customHeight="1" spans="1:8" x14ac:dyDescent="0.25">
      <c r="A483" s="24" t="s">
        <v>52</v>
      </c>
      <c r="B483" s="24" t="s">
        <v>45</v>
      </c>
      <c r="C483" s="25" t="s">
        <v>71</v>
      </c>
      <c r="D483" s="6" t="s">
        <v>4</v>
      </c>
      <c r="E483" s="24" t="s">
        <v>503</v>
      </c>
      <c r="F483" s="24" t="s">
        <v>458</v>
      </c>
      <c r="G483" s="24" t="s">
        <v>1104</v>
      </c>
      <c r="H483" s="30" t="s">
        <v>79</v>
      </c>
    </row>
    <row r="484" ht="20" customHeight="1" spans="1:8" x14ac:dyDescent="0.25">
      <c r="A484" s="22" t="s">
        <v>53</v>
      </c>
      <c r="B484" s="22" t="s">
        <v>31</v>
      </c>
      <c r="C484" s="23" t="s">
        <v>71</v>
      </c>
      <c r="D484" s="6" t="s">
        <v>4</v>
      </c>
      <c r="E484" s="22" t="s">
        <v>437</v>
      </c>
      <c r="F484" s="22" t="s">
        <v>1098</v>
      </c>
      <c r="G484" s="22" t="s">
        <v>1103</v>
      </c>
      <c r="H484" s="32" t="s">
        <v>79</v>
      </c>
    </row>
    <row r="485" ht="20" customHeight="1" spans="1:8" x14ac:dyDescent="0.25">
      <c r="A485" s="24" t="s">
        <v>54</v>
      </c>
      <c r="B485" s="24" t="s">
        <v>34</v>
      </c>
      <c r="C485" s="25" t="s">
        <v>71</v>
      </c>
      <c r="D485" s="6" t="s">
        <v>4</v>
      </c>
      <c r="E485" s="24" t="s">
        <v>300</v>
      </c>
      <c r="F485" s="24" t="s">
        <v>12</v>
      </c>
      <c r="G485" s="24" t="s">
        <v>516</v>
      </c>
      <c r="H485" s="30" t="s">
        <v>79</v>
      </c>
    </row>
    <row r="486" ht="20" customHeight="1" spans="1:8" x14ac:dyDescent="0.25">
      <c r="A486" s="22" t="s">
        <v>55</v>
      </c>
      <c r="B486" s="22" t="s">
        <v>36</v>
      </c>
      <c r="C486" s="23" t="s">
        <v>71</v>
      </c>
      <c r="D486" s="10" t="s">
        <v>87</v>
      </c>
      <c r="E486" s="22" t="s">
        <v>12</v>
      </c>
      <c r="F486" s="22" t="s">
        <v>12</v>
      </c>
      <c r="G486" s="22" t="s">
        <v>12</v>
      </c>
      <c r="H486" s="22" t="s">
        <v>32</v>
      </c>
    </row>
    <row r="487" ht="20" customHeight="1" spans="1:8" x14ac:dyDescent="0.25">
      <c r="A487" s="24" t="s">
        <v>56</v>
      </c>
      <c r="B487" s="24" t="s">
        <v>38</v>
      </c>
      <c r="C487" s="25" t="s">
        <v>71</v>
      </c>
      <c r="D487" s="10" t="s">
        <v>87</v>
      </c>
      <c r="E487" s="24" t="s">
        <v>12</v>
      </c>
      <c r="F487" s="24" t="s">
        <v>12</v>
      </c>
      <c r="G487" s="24" t="s">
        <v>12</v>
      </c>
      <c r="H487" s="24" t="s">
        <v>32</v>
      </c>
    </row>
    <row r="488" ht="20" customHeight="1" spans="1:8" x14ac:dyDescent="0.25">
      <c r="A488" s="22" t="s">
        <v>57</v>
      </c>
      <c r="B488" s="22" t="s">
        <v>40</v>
      </c>
      <c r="C488" s="23" t="s">
        <v>71</v>
      </c>
      <c r="D488" s="10" t="s">
        <v>87</v>
      </c>
      <c r="E488" s="22" t="s">
        <v>12</v>
      </c>
      <c r="F488" s="22" t="s">
        <v>12</v>
      </c>
      <c r="G488" s="22" t="s">
        <v>12</v>
      </c>
      <c r="H488" s="22" t="s">
        <v>32</v>
      </c>
    </row>
    <row r="489" ht="20" customHeight="1" spans="1:8" x14ac:dyDescent="0.25">
      <c r="A489" s="24" t="s">
        <v>58</v>
      </c>
      <c r="B489" s="24" t="s">
        <v>42</v>
      </c>
      <c r="C489" s="25" t="s">
        <v>71</v>
      </c>
      <c r="D489" s="33" t="s">
        <v>86</v>
      </c>
      <c r="E489" s="24" t="s">
        <v>12</v>
      </c>
      <c r="F489" s="24" t="s">
        <v>12</v>
      </c>
      <c r="G489" s="24" t="s">
        <v>12</v>
      </c>
      <c r="H489" s="24" t="s">
        <v>32</v>
      </c>
    </row>
    <row r="490" ht="20" customHeight="1" spans="1:8" x14ac:dyDescent="0.25">
      <c r="A490" s="22" t="s">
        <v>59</v>
      </c>
      <c r="B490" s="22" t="s">
        <v>45</v>
      </c>
      <c r="C490" s="23" t="s">
        <v>71</v>
      </c>
      <c r="D490" s="6" t="s">
        <v>4</v>
      </c>
      <c r="E490" s="22" t="s">
        <v>774</v>
      </c>
      <c r="F490" s="22" t="s">
        <v>12</v>
      </c>
      <c r="G490" s="22" t="s">
        <v>516</v>
      </c>
      <c r="H490" s="32" t="s">
        <v>79</v>
      </c>
    </row>
    <row r="491" ht="20" customHeight="1" spans="1:8" x14ac:dyDescent="0.25">
      <c r="A491" s="24" t="s">
        <v>60</v>
      </c>
      <c r="B491" s="24" t="s">
        <v>31</v>
      </c>
      <c r="C491" s="25" t="s">
        <v>71</v>
      </c>
      <c r="D491" s="6" t="s">
        <v>4</v>
      </c>
      <c r="E491" s="24" t="s">
        <v>503</v>
      </c>
      <c r="F491" s="24" t="s">
        <v>1105</v>
      </c>
      <c r="G491" s="24" t="s">
        <v>1106</v>
      </c>
      <c r="H491" s="30" t="s">
        <v>79</v>
      </c>
    </row>
    <row r="492" ht="20" customHeight="1" spans="1:8" x14ac:dyDescent="0.25">
      <c r="A492" s="22" t="s">
        <v>61</v>
      </c>
      <c r="B492" s="22" t="s">
        <v>34</v>
      </c>
      <c r="C492" s="23" t="s">
        <v>71</v>
      </c>
      <c r="D492" s="6" t="s">
        <v>4</v>
      </c>
      <c r="E492" s="22" t="s">
        <v>401</v>
      </c>
      <c r="F492" s="22" t="s">
        <v>1078</v>
      </c>
      <c r="G492" s="22" t="s">
        <v>1107</v>
      </c>
      <c r="H492" s="32" t="s">
        <v>79</v>
      </c>
    </row>
    <row r="493" ht="20" customHeight="1" spans="1:8" x14ac:dyDescent="0.25">
      <c r="A493" s="24" t="s">
        <v>62</v>
      </c>
      <c r="B493" s="24" t="s">
        <v>36</v>
      </c>
      <c r="C493" s="25" t="s">
        <v>71</v>
      </c>
      <c r="D493" s="6" t="s">
        <v>4</v>
      </c>
      <c r="E493" s="24" t="s">
        <v>446</v>
      </c>
      <c r="F493" s="24" t="s">
        <v>499</v>
      </c>
      <c r="G493" s="24" t="s">
        <v>1014</v>
      </c>
      <c r="H493" s="30" t="s">
        <v>79</v>
      </c>
    </row>
    <row r="494" ht="20" customHeight="1" spans="1:8" x14ac:dyDescent="0.25">
      <c r="A494" s="22" t="s">
        <v>63</v>
      </c>
      <c r="B494" s="22" t="s">
        <v>38</v>
      </c>
      <c r="C494" s="23" t="s">
        <v>71</v>
      </c>
      <c r="D494" s="6" t="s">
        <v>4</v>
      </c>
      <c r="E494" s="22" t="s">
        <v>446</v>
      </c>
      <c r="F494" s="22" t="s">
        <v>1108</v>
      </c>
      <c r="G494" s="22" t="s">
        <v>1109</v>
      </c>
      <c r="H494" s="32" t="s">
        <v>79</v>
      </c>
    </row>
    <row r="495" ht="20" customHeight="1" spans="1:8" x14ac:dyDescent="0.25">
      <c r="A495" s="24" t="s">
        <v>64</v>
      </c>
      <c r="B495" s="24" t="s">
        <v>40</v>
      </c>
      <c r="C495" s="25" t="s">
        <v>71</v>
      </c>
      <c r="D495" s="6" t="s">
        <v>4</v>
      </c>
      <c r="E495" s="24" t="s">
        <v>391</v>
      </c>
      <c r="F495" s="24" t="s">
        <v>1108</v>
      </c>
      <c r="G495" s="24" t="s">
        <v>1110</v>
      </c>
      <c r="H495" s="30" t="s">
        <v>79</v>
      </c>
    </row>
    <row r="496" ht="20" customHeight="1" spans="1:8" x14ac:dyDescent="0.25">
      <c r="A496" s="22" t="s">
        <v>65</v>
      </c>
      <c r="B496" s="22" t="s">
        <v>42</v>
      </c>
      <c r="C496" s="23" t="s">
        <v>71</v>
      </c>
      <c r="D496" s="35" t="s">
        <v>86</v>
      </c>
      <c r="E496" s="22" t="s">
        <v>12</v>
      </c>
      <c r="F496" s="22" t="s">
        <v>12</v>
      </c>
      <c r="G496" s="22" t="s">
        <v>12</v>
      </c>
      <c r="H496" s="22" t="s">
        <v>32</v>
      </c>
    </row>
    <row r="497" ht="20" customHeight="1" spans="1:8" x14ac:dyDescent="0.25">
      <c r="A497" s="24" t="s">
        <v>66</v>
      </c>
      <c r="B497" s="24" t="s">
        <v>45</v>
      </c>
      <c r="C497" s="25" t="s">
        <v>71</v>
      </c>
      <c r="D497" s="6" t="s">
        <v>4</v>
      </c>
      <c r="E497" s="24" t="s">
        <v>434</v>
      </c>
      <c r="F497" s="24" t="s">
        <v>136</v>
      </c>
      <c r="G497" s="24" t="s">
        <v>194</v>
      </c>
      <c r="H497" s="30" t="s">
        <v>79</v>
      </c>
    </row>
    <row r="498" ht="20" customHeight="1" spans="1:8" x14ac:dyDescent="0.25">
      <c r="A498" s="22" t="s">
        <v>67</v>
      </c>
      <c r="B498" s="22" t="s">
        <v>31</v>
      </c>
      <c r="C498" s="23" t="s">
        <v>71</v>
      </c>
      <c r="D498" s="6" t="s">
        <v>4</v>
      </c>
      <c r="E498" s="22" t="s">
        <v>774</v>
      </c>
      <c r="F498" s="22" t="s">
        <v>1111</v>
      </c>
      <c r="G498" s="22" t="s">
        <v>1112</v>
      </c>
      <c r="H498" s="32" t="s">
        <v>79</v>
      </c>
    </row>
    <row r="499" ht="20" customHeight="1" spans="1:8" x14ac:dyDescent="0.25">
      <c r="A499" s="24" t="s">
        <v>68</v>
      </c>
      <c r="B499" s="24" t="s">
        <v>34</v>
      </c>
      <c r="C499" s="25" t="s">
        <v>71</v>
      </c>
      <c r="D499" s="6" t="s">
        <v>4</v>
      </c>
      <c r="E499" s="24" t="s">
        <v>300</v>
      </c>
      <c r="F499" s="24" t="s">
        <v>136</v>
      </c>
      <c r="G499" s="24" t="s">
        <v>206</v>
      </c>
      <c r="H499" s="30" t="s">
        <v>79</v>
      </c>
    </row>
    <row r="500" ht="22" customHeight="1" spans="1:8" x14ac:dyDescent="0.25">
      <c r="A500" s="26" t="s">
        <v>69</v>
      </c>
      <c r="B500" s="26"/>
      <c r="C500" s="26"/>
      <c r="D500" s="26"/>
      <c r="E500" s="26"/>
      <c r="F500" s="26"/>
      <c r="G500" s="27" t="s">
        <v>1113</v>
      </c>
      <c r="H500" s="28" t="s">
        <v>12</v>
      </c>
    </row>
    <row r="502" ht="26" customHeight="1" spans="1:8" x14ac:dyDescent="0.25">
      <c r="A502" s="20" t="s">
        <v>1114</v>
      </c>
      <c r="B502" s="20"/>
      <c r="C502" s="20"/>
      <c r="D502" s="20"/>
      <c r="E502" s="20"/>
      <c r="F502" s="20"/>
      <c r="G502" s="20"/>
      <c r="H502" s="20"/>
    </row>
    <row r="503" ht="22" customHeight="1" spans="1:8" x14ac:dyDescent="0.25">
      <c r="A503" s="21" t="s">
        <v>22</v>
      </c>
      <c r="B503" s="21" t="s">
        <v>23</v>
      </c>
      <c r="C503" s="21" t="s">
        <v>24</v>
      </c>
      <c r="D503" s="21" t="s">
        <v>25</v>
      </c>
      <c r="E503" s="21" t="s">
        <v>26</v>
      </c>
      <c r="F503" s="21" t="s">
        <v>27</v>
      </c>
      <c r="G503" s="21" t="s">
        <v>28</v>
      </c>
      <c r="H503" s="21" t="s">
        <v>29</v>
      </c>
    </row>
    <row r="504" ht="20" customHeight="1" spans="1:8" x14ac:dyDescent="0.25">
      <c r="A504" s="22" t="s">
        <v>30</v>
      </c>
      <c r="B504" s="22" t="s">
        <v>31</v>
      </c>
      <c r="C504" s="23" t="s">
        <v>71</v>
      </c>
      <c r="D504" s="6" t="s">
        <v>4</v>
      </c>
      <c r="E504" s="22" t="s">
        <v>377</v>
      </c>
      <c r="F504" s="22" t="s">
        <v>338</v>
      </c>
      <c r="G504" s="22" t="s">
        <v>329</v>
      </c>
      <c r="H504" s="29" t="s">
        <v>378</v>
      </c>
    </row>
    <row r="505" ht="20" customHeight="1" spans="1:8" x14ac:dyDescent="0.25">
      <c r="A505" s="24" t="s">
        <v>33</v>
      </c>
      <c r="B505" s="24" t="s">
        <v>34</v>
      </c>
      <c r="C505" s="25" t="s">
        <v>71</v>
      </c>
      <c r="D505" s="6" t="s">
        <v>4</v>
      </c>
      <c r="E505" s="24" t="s">
        <v>201</v>
      </c>
      <c r="F505" s="24" t="s">
        <v>562</v>
      </c>
      <c r="G505" s="24" t="s">
        <v>194</v>
      </c>
      <c r="H505" s="34" t="s">
        <v>204</v>
      </c>
    </row>
    <row r="506" ht="20" customHeight="1" spans="1:8" x14ac:dyDescent="0.25">
      <c r="A506" s="22" t="s">
        <v>35</v>
      </c>
      <c r="B506" s="22" t="s">
        <v>36</v>
      </c>
      <c r="C506" s="23" t="s">
        <v>71</v>
      </c>
      <c r="D506" s="36" t="s">
        <v>218</v>
      </c>
      <c r="E506" s="22" t="s">
        <v>224</v>
      </c>
      <c r="F506" s="22" t="s">
        <v>1094</v>
      </c>
      <c r="G506" s="22" t="s">
        <v>1115</v>
      </c>
      <c r="H506" s="29" t="s">
        <v>1116</v>
      </c>
    </row>
    <row r="507" ht="20" customHeight="1" spans="1:8" x14ac:dyDescent="0.25">
      <c r="A507" s="24" t="s">
        <v>37</v>
      </c>
      <c r="B507" s="24" t="s">
        <v>38</v>
      </c>
      <c r="C507" s="25" t="s">
        <v>71</v>
      </c>
      <c r="D507" s="31" t="s">
        <v>11</v>
      </c>
      <c r="E507" s="24" t="s">
        <v>12</v>
      </c>
      <c r="F507" s="24" t="s">
        <v>12</v>
      </c>
      <c r="G507" s="24" t="s">
        <v>12</v>
      </c>
      <c r="H507" s="24" t="s">
        <v>32</v>
      </c>
    </row>
    <row r="508" ht="20" customHeight="1" spans="1:8" x14ac:dyDescent="0.25">
      <c r="A508" s="22" t="s">
        <v>39</v>
      </c>
      <c r="B508" s="22" t="s">
        <v>40</v>
      </c>
      <c r="C508" s="23" t="s">
        <v>71</v>
      </c>
      <c r="D508" s="10" t="s">
        <v>87</v>
      </c>
      <c r="E508" s="22" t="s">
        <v>12</v>
      </c>
      <c r="F508" s="22" t="s">
        <v>12</v>
      </c>
      <c r="G508" s="22" t="s">
        <v>12</v>
      </c>
      <c r="H508" s="22" t="s">
        <v>32</v>
      </c>
    </row>
    <row r="509" ht="20" customHeight="1" spans="1:8" x14ac:dyDescent="0.25">
      <c r="A509" s="24" t="s">
        <v>41</v>
      </c>
      <c r="B509" s="24" t="s">
        <v>42</v>
      </c>
      <c r="C509" s="25" t="s">
        <v>71</v>
      </c>
      <c r="D509" s="16" t="s">
        <v>43</v>
      </c>
      <c r="E509" s="24" t="s">
        <v>12</v>
      </c>
      <c r="F509" s="24" t="s">
        <v>12</v>
      </c>
      <c r="G509" s="24" t="s">
        <v>12</v>
      </c>
      <c r="H509" s="24" t="s">
        <v>32</v>
      </c>
    </row>
    <row r="510" ht="20" customHeight="1" spans="1:8" x14ac:dyDescent="0.25">
      <c r="A510" s="22" t="s">
        <v>44</v>
      </c>
      <c r="B510" s="22" t="s">
        <v>45</v>
      </c>
      <c r="C510" s="23" t="s">
        <v>71</v>
      </c>
      <c r="D510" s="10" t="s">
        <v>87</v>
      </c>
      <c r="E510" s="22" t="s">
        <v>12</v>
      </c>
      <c r="F510" s="22" t="s">
        <v>12</v>
      </c>
      <c r="G510" s="22" t="s">
        <v>12</v>
      </c>
      <c r="H510" s="22" t="s">
        <v>32</v>
      </c>
    </row>
    <row r="511" ht="20" customHeight="1" spans="1:8" x14ac:dyDescent="0.25">
      <c r="A511" s="24" t="s">
        <v>46</v>
      </c>
      <c r="B511" s="24" t="s">
        <v>31</v>
      </c>
      <c r="C511" s="25" t="s">
        <v>71</v>
      </c>
      <c r="D511" s="6" t="s">
        <v>4</v>
      </c>
      <c r="E511" s="24" t="s">
        <v>326</v>
      </c>
      <c r="F511" s="24" t="s">
        <v>182</v>
      </c>
      <c r="G511" s="24" t="s">
        <v>573</v>
      </c>
      <c r="H511" s="34" t="s">
        <v>327</v>
      </c>
    </row>
    <row r="512" ht="20" customHeight="1" spans="1:8" x14ac:dyDescent="0.25">
      <c r="A512" s="22" t="s">
        <v>47</v>
      </c>
      <c r="B512" s="22" t="s">
        <v>34</v>
      </c>
      <c r="C512" s="23" t="s">
        <v>71</v>
      </c>
      <c r="D512" s="6" t="s">
        <v>4</v>
      </c>
      <c r="E512" s="22" t="s">
        <v>216</v>
      </c>
      <c r="F512" s="22" t="s">
        <v>636</v>
      </c>
      <c r="G512" s="22" t="s">
        <v>187</v>
      </c>
      <c r="H512" s="29" t="s">
        <v>217</v>
      </c>
    </row>
    <row r="513" ht="20" customHeight="1" spans="1:8" x14ac:dyDescent="0.25">
      <c r="A513" s="24" t="s">
        <v>48</v>
      </c>
      <c r="B513" s="24" t="s">
        <v>36</v>
      </c>
      <c r="C513" s="25" t="s">
        <v>71</v>
      </c>
      <c r="D513" s="6" t="s">
        <v>4</v>
      </c>
      <c r="E513" s="24" t="s">
        <v>169</v>
      </c>
      <c r="F513" s="24" t="s">
        <v>153</v>
      </c>
      <c r="G513" s="24" t="s">
        <v>263</v>
      </c>
      <c r="H513" s="34" t="s">
        <v>172</v>
      </c>
    </row>
    <row r="514" ht="20" customHeight="1" spans="1:8" x14ac:dyDescent="0.25">
      <c r="A514" s="22" t="s">
        <v>49</v>
      </c>
      <c r="B514" s="22" t="s">
        <v>38</v>
      </c>
      <c r="C514" s="23" t="s">
        <v>71</v>
      </c>
      <c r="D514" s="36" t="s">
        <v>764</v>
      </c>
      <c r="E514" s="22" t="s">
        <v>1117</v>
      </c>
      <c r="F514" s="22" t="s">
        <v>560</v>
      </c>
      <c r="G514" s="22" t="s">
        <v>1118</v>
      </c>
      <c r="H514" s="29" t="s">
        <v>850</v>
      </c>
    </row>
    <row r="515" ht="20" customHeight="1" spans="1:8" x14ac:dyDescent="0.25">
      <c r="A515" s="24" t="s">
        <v>50</v>
      </c>
      <c r="B515" s="24" t="s">
        <v>40</v>
      </c>
      <c r="C515" s="25" t="s">
        <v>71</v>
      </c>
      <c r="D515" s="33" t="s">
        <v>86</v>
      </c>
      <c r="E515" s="24" t="s">
        <v>12</v>
      </c>
      <c r="F515" s="24" t="s">
        <v>12</v>
      </c>
      <c r="G515" s="24" t="s">
        <v>12</v>
      </c>
      <c r="H515" s="24" t="s">
        <v>32</v>
      </c>
    </row>
    <row r="516" ht="20" customHeight="1" spans="1:8" x14ac:dyDescent="0.25">
      <c r="A516" s="22" t="s">
        <v>51</v>
      </c>
      <c r="B516" s="22" t="s">
        <v>42</v>
      </c>
      <c r="C516" s="23" t="s">
        <v>71</v>
      </c>
      <c r="D516" s="35" t="s">
        <v>86</v>
      </c>
      <c r="E516" s="22" t="s">
        <v>12</v>
      </c>
      <c r="F516" s="22" t="s">
        <v>12</v>
      </c>
      <c r="G516" s="22" t="s">
        <v>12</v>
      </c>
      <c r="H516" s="22" t="s">
        <v>32</v>
      </c>
    </row>
    <row r="517" ht="20" customHeight="1" spans="1:8" x14ac:dyDescent="0.25">
      <c r="A517" s="24" t="s">
        <v>52</v>
      </c>
      <c r="B517" s="24" t="s">
        <v>45</v>
      </c>
      <c r="C517" s="25" t="s">
        <v>71</v>
      </c>
      <c r="D517" s="10" t="s">
        <v>87</v>
      </c>
      <c r="E517" s="24" t="s">
        <v>12</v>
      </c>
      <c r="F517" s="24" t="s">
        <v>12</v>
      </c>
      <c r="G517" s="24" t="s">
        <v>12</v>
      </c>
      <c r="H517" s="24" t="s">
        <v>32</v>
      </c>
    </row>
    <row r="518" ht="20" customHeight="1" spans="1:8" x14ac:dyDescent="0.25">
      <c r="A518" s="22" t="s">
        <v>53</v>
      </c>
      <c r="B518" s="22" t="s">
        <v>31</v>
      </c>
      <c r="C518" s="23" t="s">
        <v>71</v>
      </c>
      <c r="D518" s="6" t="s">
        <v>4</v>
      </c>
      <c r="E518" s="22" t="s">
        <v>234</v>
      </c>
      <c r="F518" s="22" t="s">
        <v>235</v>
      </c>
      <c r="G518" s="22" t="s">
        <v>259</v>
      </c>
      <c r="H518" s="29" t="s">
        <v>236</v>
      </c>
    </row>
    <row r="519" ht="20" customHeight="1" spans="1:8" x14ac:dyDescent="0.25">
      <c r="A519" s="24" t="s">
        <v>54</v>
      </c>
      <c r="B519" s="24" t="s">
        <v>34</v>
      </c>
      <c r="C519" s="25" t="s">
        <v>71</v>
      </c>
      <c r="D519" s="6" t="s">
        <v>4</v>
      </c>
      <c r="E519" s="24" t="s">
        <v>208</v>
      </c>
      <c r="F519" s="24" t="s">
        <v>213</v>
      </c>
      <c r="G519" s="24" t="s">
        <v>646</v>
      </c>
      <c r="H519" s="34" t="s">
        <v>210</v>
      </c>
    </row>
    <row r="520" ht="20" customHeight="1" spans="1:8" x14ac:dyDescent="0.25">
      <c r="A520" s="22" t="s">
        <v>55</v>
      </c>
      <c r="B520" s="22" t="s">
        <v>36</v>
      </c>
      <c r="C520" s="23" t="s">
        <v>71</v>
      </c>
      <c r="D520" s="6" t="s">
        <v>4</v>
      </c>
      <c r="E520" s="22" t="s">
        <v>1119</v>
      </c>
      <c r="F520" s="22" t="s">
        <v>772</v>
      </c>
      <c r="G520" s="22" t="s">
        <v>232</v>
      </c>
      <c r="H520" s="29" t="s">
        <v>1120</v>
      </c>
    </row>
    <row r="521" ht="20" customHeight="1" spans="1:8" x14ac:dyDescent="0.25">
      <c r="A521" s="24" t="s">
        <v>56</v>
      </c>
      <c r="B521" s="24" t="s">
        <v>38</v>
      </c>
      <c r="C521" s="25" t="s">
        <v>71</v>
      </c>
      <c r="D521" s="6" t="s">
        <v>4</v>
      </c>
      <c r="E521" s="24" t="s">
        <v>359</v>
      </c>
      <c r="F521" s="24" t="s">
        <v>1121</v>
      </c>
      <c r="G521" s="24" t="s">
        <v>407</v>
      </c>
      <c r="H521" s="34" t="s">
        <v>360</v>
      </c>
    </row>
    <row r="522" ht="20" customHeight="1" spans="1:8" x14ac:dyDescent="0.25">
      <c r="A522" s="22" t="s">
        <v>57</v>
      </c>
      <c r="B522" s="22" t="s">
        <v>40</v>
      </c>
      <c r="C522" s="23" t="s">
        <v>71</v>
      </c>
      <c r="D522" s="6" t="s">
        <v>4</v>
      </c>
      <c r="E522" s="22" t="s">
        <v>330</v>
      </c>
      <c r="F522" s="22" t="s">
        <v>202</v>
      </c>
      <c r="G522" s="22" t="s">
        <v>180</v>
      </c>
      <c r="H522" s="29" t="s">
        <v>333</v>
      </c>
    </row>
    <row r="523" ht="20" customHeight="1" spans="1:8" x14ac:dyDescent="0.25">
      <c r="A523" s="24" t="s">
        <v>58</v>
      </c>
      <c r="B523" s="24" t="s">
        <v>42</v>
      </c>
      <c r="C523" s="25" t="s">
        <v>71</v>
      </c>
      <c r="D523" s="33" t="s">
        <v>86</v>
      </c>
      <c r="E523" s="24" t="s">
        <v>12</v>
      </c>
      <c r="F523" s="24" t="s">
        <v>12</v>
      </c>
      <c r="G523" s="24" t="s">
        <v>12</v>
      </c>
      <c r="H523" s="24" t="s">
        <v>32</v>
      </c>
    </row>
    <row r="524" ht="20" customHeight="1" spans="1:8" x14ac:dyDescent="0.25">
      <c r="A524" s="22" t="s">
        <v>59</v>
      </c>
      <c r="B524" s="22" t="s">
        <v>45</v>
      </c>
      <c r="C524" s="23" t="s">
        <v>71</v>
      </c>
      <c r="D524" s="6" t="s">
        <v>4</v>
      </c>
      <c r="E524" s="22" t="s">
        <v>480</v>
      </c>
      <c r="F524" s="22" t="s">
        <v>998</v>
      </c>
      <c r="G524" s="22" t="s">
        <v>285</v>
      </c>
      <c r="H524" s="29" t="s">
        <v>482</v>
      </c>
    </row>
    <row r="525" ht="20" customHeight="1" spans="1:8" x14ac:dyDescent="0.25">
      <c r="A525" s="24" t="s">
        <v>60</v>
      </c>
      <c r="B525" s="24" t="s">
        <v>31</v>
      </c>
      <c r="C525" s="25" t="s">
        <v>71</v>
      </c>
      <c r="D525" s="10" t="s">
        <v>87</v>
      </c>
      <c r="E525" s="24" t="s">
        <v>12</v>
      </c>
      <c r="F525" s="24" t="s">
        <v>12</v>
      </c>
      <c r="G525" s="24" t="s">
        <v>12</v>
      </c>
      <c r="H525" s="24" t="s">
        <v>32</v>
      </c>
    </row>
    <row r="526" ht="20" customHeight="1" spans="1:8" x14ac:dyDescent="0.25">
      <c r="A526" s="22" t="s">
        <v>61</v>
      </c>
      <c r="B526" s="22" t="s">
        <v>34</v>
      </c>
      <c r="C526" s="23" t="s">
        <v>71</v>
      </c>
      <c r="D526" s="6" t="s">
        <v>4</v>
      </c>
      <c r="E526" s="22" t="s">
        <v>254</v>
      </c>
      <c r="F526" s="22" t="s">
        <v>470</v>
      </c>
      <c r="G526" s="22" t="s">
        <v>440</v>
      </c>
      <c r="H526" s="29" t="s">
        <v>256</v>
      </c>
    </row>
    <row r="527" ht="20" customHeight="1" spans="1:8" x14ac:dyDescent="0.25">
      <c r="A527" s="24" t="s">
        <v>62</v>
      </c>
      <c r="B527" s="24" t="s">
        <v>36</v>
      </c>
      <c r="C527" s="25" t="s">
        <v>71</v>
      </c>
      <c r="D527" s="6" t="s">
        <v>4</v>
      </c>
      <c r="E527" s="24" t="s">
        <v>330</v>
      </c>
      <c r="F527" s="24" t="s">
        <v>96</v>
      </c>
      <c r="G527" s="24" t="s">
        <v>614</v>
      </c>
      <c r="H527" s="34" t="s">
        <v>333</v>
      </c>
    </row>
    <row r="528" ht="20" customHeight="1" spans="1:8" x14ac:dyDescent="0.25">
      <c r="A528" s="22" t="s">
        <v>63</v>
      </c>
      <c r="B528" s="22" t="s">
        <v>38</v>
      </c>
      <c r="C528" s="23" t="s">
        <v>71</v>
      </c>
      <c r="D528" s="6" t="s">
        <v>4</v>
      </c>
      <c r="E528" s="22" t="s">
        <v>189</v>
      </c>
      <c r="F528" s="22" t="s">
        <v>370</v>
      </c>
      <c r="G528" s="22" t="s">
        <v>762</v>
      </c>
      <c r="H528" s="29" t="s">
        <v>191</v>
      </c>
    </row>
    <row r="529" ht="20" customHeight="1" spans="1:8" x14ac:dyDescent="0.25">
      <c r="A529" s="24" t="s">
        <v>64</v>
      </c>
      <c r="B529" s="24" t="s">
        <v>40</v>
      </c>
      <c r="C529" s="25" t="s">
        <v>71</v>
      </c>
      <c r="D529" s="6" t="s">
        <v>4</v>
      </c>
      <c r="E529" s="24" t="s">
        <v>192</v>
      </c>
      <c r="F529" s="24" t="s">
        <v>957</v>
      </c>
      <c r="G529" s="24" t="s">
        <v>481</v>
      </c>
      <c r="H529" s="34" t="s">
        <v>195</v>
      </c>
    </row>
    <row r="530" ht="20" customHeight="1" spans="1:8" x14ac:dyDescent="0.25">
      <c r="A530" s="22" t="s">
        <v>65</v>
      </c>
      <c r="B530" s="22" t="s">
        <v>42</v>
      </c>
      <c r="C530" s="23" t="s">
        <v>71</v>
      </c>
      <c r="D530" s="35" t="s">
        <v>86</v>
      </c>
      <c r="E530" s="22" t="s">
        <v>12</v>
      </c>
      <c r="F530" s="22" t="s">
        <v>12</v>
      </c>
      <c r="G530" s="22" t="s">
        <v>12</v>
      </c>
      <c r="H530" s="22" t="s">
        <v>32</v>
      </c>
    </row>
    <row r="531" ht="20" customHeight="1" spans="1:8" x14ac:dyDescent="0.25">
      <c r="A531" s="24" t="s">
        <v>66</v>
      </c>
      <c r="B531" s="24" t="s">
        <v>45</v>
      </c>
      <c r="C531" s="25" t="s">
        <v>71</v>
      </c>
      <c r="D531" s="16" t="s">
        <v>43</v>
      </c>
      <c r="E531" s="24" t="s">
        <v>12</v>
      </c>
      <c r="F531" s="24" t="s">
        <v>12</v>
      </c>
      <c r="G531" s="24" t="s">
        <v>12</v>
      </c>
      <c r="H531" s="24" t="s">
        <v>32</v>
      </c>
    </row>
    <row r="532" ht="20" customHeight="1" spans="1:8" x14ac:dyDescent="0.25">
      <c r="A532" s="22" t="s">
        <v>67</v>
      </c>
      <c r="B532" s="22" t="s">
        <v>31</v>
      </c>
      <c r="C532" s="23" t="s">
        <v>71</v>
      </c>
      <c r="D532" s="6" t="s">
        <v>4</v>
      </c>
      <c r="E532" s="22" t="s">
        <v>152</v>
      </c>
      <c r="F532" s="22" t="s">
        <v>748</v>
      </c>
      <c r="G532" s="22" t="s">
        <v>206</v>
      </c>
      <c r="H532" s="29" t="s">
        <v>155</v>
      </c>
    </row>
    <row r="533" ht="20" customHeight="1" spans="1:8" x14ac:dyDescent="0.25">
      <c r="A533" s="24" t="s">
        <v>68</v>
      </c>
      <c r="B533" s="24" t="s">
        <v>34</v>
      </c>
      <c r="C533" s="25" t="s">
        <v>71</v>
      </c>
      <c r="D533" s="6" t="s">
        <v>4</v>
      </c>
      <c r="E533" s="24" t="s">
        <v>369</v>
      </c>
      <c r="F533" s="24" t="s">
        <v>757</v>
      </c>
      <c r="G533" s="24" t="s">
        <v>393</v>
      </c>
      <c r="H533" s="34" t="s">
        <v>371</v>
      </c>
    </row>
    <row r="534" ht="22" customHeight="1" spans="1:8" x14ac:dyDescent="0.25">
      <c r="A534" s="26" t="s">
        <v>69</v>
      </c>
      <c r="B534" s="26"/>
      <c r="C534" s="26"/>
      <c r="D534" s="26"/>
      <c r="E534" s="26"/>
      <c r="F534" s="26"/>
      <c r="G534" s="27" t="s">
        <v>1122</v>
      </c>
      <c r="H534" s="28" t="s">
        <v>12</v>
      </c>
    </row>
    <row r="536" ht="26" customHeight="1" spans="1:8" x14ac:dyDescent="0.25">
      <c r="A536" s="20" t="s">
        <v>1123</v>
      </c>
      <c r="B536" s="20"/>
      <c r="C536" s="20"/>
      <c r="D536" s="20"/>
      <c r="E536" s="20"/>
      <c r="F536" s="20"/>
      <c r="G536" s="20"/>
      <c r="H536" s="20"/>
    </row>
    <row r="537" ht="22" customHeight="1" spans="1:8" x14ac:dyDescent="0.25">
      <c r="A537" s="21" t="s">
        <v>22</v>
      </c>
      <c r="B537" s="21" t="s">
        <v>23</v>
      </c>
      <c r="C537" s="21" t="s">
        <v>24</v>
      </c>
      <c r="D537" s="21" t="s">
        <v>25</v>
      </c>
      <c r="E537" s="21" t="s">
        <v>26</v>
      </c>
      <c r="F537" s="21" t="s">
        <v>27</v>
      </c>
      <c r="G537" s="21" t="s">
        <v>28</v>
      </c>
      <c r="H537" s="21" t="s">
        <v>29</v>
      </c>
    </row>
    <row r="538" ht="20" customHeight="1" spans="1:8" x14ac:dyDescent="0.25">
      <c r="A538" s="22" t="s">
        <v>30</v>
      </c>
      <c r="B538" s="22" t="s">
        <v>31</v>
      </c>
      <c r="C538" s="23" t="s">
        <v>1010</v>
      </c>
      <c r="D538" s="6" t="s">
        <v>4</v>
      </c>
      <c r="E538" s="22" t="s">
        <v>345</v>
      </c>
      <c r="F538" s="22" t="s">
        <v>1124</v>
      </c>
      <c r="G538" s="22" t="s">
        <v>981</v>
      </c>
      <c r="H538" s="29" t="s">
        <v>1125</v>
      </c>
    </row>
    <row r="539" ht="20" customHeight="1" spans="1:8" x14ac:dyDescent="0.25">
      <c r="A539" s="24" t="s">
        <v>33</v>
      </c>
      <c r="B539" s="24" t="s">
        <v>34</v>
      </c>
      <c r="C539" s="25" t="s">
        <v>1010</v>
      </c>
      <c r="D539" s="6" t="s">
        <v>4</v>
      </c>
      <c r="E539" s="24" t="s">
        <v>258</v>
      </c>
      <c r="F539" s="24" t="s">
        <v>1126</v>
      </c>
      <c r="G539" s="24" t="s">
        <v>889</v>
      </c>
      <c r="H539" s="34" t="s">
        <v>1019</v>
      </c>
    </row>
    <row r="540" ht="20" customHeight="1" spans="1:8" x14ac:dyDescent="0.25">
      <c r="A540" s="22" t="s">
        <v>35</v>
      </c>
      <c r="B540" s="22" t="s">
        <v>36</v>
      </c>
      <c r="C540" s="23" t="s">
        <v>1010</v>
      </c>
      <c r="D540" s="6" t="s">
        <v>4</v>
      </c>
      <c r="E540" s="22" t="s">
        <v>761</v>
      </c>
      <c r="F540" s="22" t="s">
        <v>1126</v>
      </c>
      <c r="G540" s="22" t="s">
        <v>889</v>
      </c>
      <c r="H540" s="29" t="s">
        <v>1127</v>
      </c>
    </row>
    <row r="541" ht="20" customHeight="1" spans="1:8" x14ac:dyDescent="0.25">
      <c r="A541" s="24" t="s">
        <v>37</v>
      </c>
      <c r="B541" s="24" t="s">
        <v>38</v>
      </c>
      <c r="C541" s="25" t="s">
        <v>1010</v>
      </c>
      <c r="D541" s="6" t="s">
        <v>4</v>
      </c>
      <c r="E541" s="24" t="s">
        <v>213</v>
      </c>
      <c r="F541" s="24" t="s">
        <v>854</v>
      </c>
      <c r="G541" s="24" t="s">
        <v>889</v>
      </c>
      <c r="H541" s="34" t="s">
        <v>1128</v>
      </c>
    </row>
    <row r="542" ht="20" customHeight="1" spans="1:8" x14ac:dyDescent="0.25">
      <c r="A542" s="22" t="s">
        <v>39</v>
      </c>
      <c r="B542" s="22" t="s">
        <v>40</v>
      </c>
      <c r="C542" s="23" t="s">
        <v>1010</v>
      </c>
      <c r="D542" s="6" t="s">
        <v>4</v>
      </c>
      <c r="E542" s="22" t="s">
        <v>757</v>
      </c>
      <c r="F542" s="22" t="s">
        <v>1129</v>
      </c>
      <c r="G542" s="22" t="s">
        <v>889</v>
      </c>
      <c r="H542" s="29" t="s">
        <v>1130</v>
      </c>
    </row>
    <row r="543" ht="20" customHeight="1" spans="1:8" x14ac:dyDescent="0.25">
      <c r="A543" s="24" t="s">
        <v>41</v>
      </c>
      <c r="B543" s="24" t="s">
        <v>42</v>
      </c>
      <c r="C543" s="25" t="s">
        <v>1010</v>
      </c>
      <c r="D543" s="33" t="s">
        <v>86</v>
      </c>
      <c r="E543" s="24" t="s">
        <v>12</v>
      </c>
      <c r="F543" s="24" t="s">
        <v>12</v>
      </c>
      <c r="G543" s="24" t="s">
        <v>12</v>
      </c>
      <c r="H543" s="24" t="s">
        <v>32</v>
      </c>
    </row>
    <row r="544" ht="20" customHeight="1" spans="1:8" x14ac:dyDescent="0.25">
      <c r="A544" s="22" t="s">
        <v>44</v>
      </c>
      <c r="B544" s="22" t="s">
        <v>45</v>
      </c>
      <c r="C544" s="23" t="s">
        <v>1010</v>
      </c>
      <c r="D544" s="6" t="s">
        <v>4</v>
      </c>
      <c r="E544" s="22" t="s">
        <v>96</v>
      </c>
      <c r="F544" s="22" t="s">
        <v>1131</v>
      </c>
      <c r="G544" s="22" t="s">
        <v>686</v>
      </c>
      <c r="H544" s="29" t="s">
        <v>1132</v>
      </c>
    </row>
    <row r="545" ht="20" customHeight="1" spans="1:8" x14ac:dyDescent="0.25">
      <c r="A545" s="24" t="s">
        <v>46</v>
      </c>
      <c r="B545" s="24" t="s">
        <v>31</v>
      </c>
      <c r="C545" s="25" t="s">
        <v>1010</v>
      </c>
      <c r="D545" s="6" t="s">
        <v>4</v>
      </c>
      <c r="E545" s="24" t="s">
        <v>343</v>
      </c>
      <c r="F545" s="24" t="s">
        <v>1133</v>
      </c>
      <c r="G545" s="24" t="s">
        <v>108</v>
      </c>
      <c r="H545" s="34" t="s">
        <v>1134</v>
      </c>
    </row>
    <row r="546" ht="20" customHeight="1" spans="1:8" x14ac:dyDescent="0.25">
      <c r="A546" s="22" t="s">
        <v>47</v>
      </c>
      <c r="B546" s="22" t="s">
        <v>34</v>
      </c>
      <c r="C546" s="23" t="s">
        <v>1010</v>
      </c>
      <c r="D546" s="6" t="s">
        <v>4</v>
      </c>
      <c r="E546" s="22" t="s">
        <v>366</v>
      </c>
      <c r="F546" s="22" t="s">
        <v>1135</v>
      </c>
      <c r="G546" s="22" t="s">
        <v>1136</v>
      </c>
      <c r="H546" s="29" t="s">
        <v>1137</v>
      </c>
    </row>
    <row r="547" ht="20" customHeight="1" spans="1:8" x14ac:dyDescent="0.25">
      <c r="A547" s="24" t="s">
        <v>48</v>
      </c>
      <c r="B547" s="24" t="s">
        <v>36</v>
      </c>
      <c r="C547" s="25" t="s">
        <v>1010</v>
      </c>
      <c r="D547" s="6" t="s">
        <v>4</v>
      </c>
      <c r="E547" s="24" t="s">
        <v>519</v>
      </c>
      <c r="F547" s="24" t="s">
        <v>1138</v>
      </c>
      <c r="G547" s="24" t="s">
        <v>285</v>
      </c>
      <c r="H547" s="34" t="s">
        <v>1139</v>
      </c>
    </row>
    <row r="548" ht="20" customHeight="1" spans="1:8" x14ac:dyDescent="0.25">
      <c r="A548" s="22" t="s">
        <v>49</v>
      </c>
      <c r="B548" s="22" t="s">
        <v>38</v>
      </c>
      <c r="C548" s="23" t="s">
        <v>1010</v>
      </c>
      <c r="D548" s="6" t="s">
        <v>4</v>
      </c>
      <c r="E548" s="22" t="s">
        <v>213</v>
      </c>
      <c r="F548" s="22" t="s">
        <v>1140</v>
      </c>
      <c r="G548" s="22" t="s">
        <v>889</v>
      </c>
      <c r="H548" s="29" t="s">
        <v>1128</v>
      </c>
    </row>
    <row r="549" ht="20" customHeight="1" spans="1:8" x14ac:dyDescent="0.25">
      <c r="A549" s="24" t="s">
        <v>50</v>
      </c>
      <c r="B549" s="24" t="s">
        <v>40</v>
      </c>
      <c r="C549" s="25" t="s">
        <v>1010</v>
      </c>
      <c r="D549" s="33" t="s">
        <v>86</v>
      </c>
      <c r="E549" s="24" t="s">
        <v>12</v>
      </c>
      <c r="F549" s="24" t="s">
        <v>12</v>
      </c>
      <c r="G549" s="24" t="s">
        <v>12</v>
      </c>
      <c r="H549" s="24" t="s">
        <v>32</v>
      </c>
    </row>
    <row r="550" ht="20" customHeight="1" spans="1:8" x14ac:dyDescent="0.25">
      <c r="A550" s="22" t="s">
        <v>51</v>
      </c>
      <c r="B550" s="22" t="s">
        <v>42</v>
      </c>
      <c r="C550" s="23" t="s">
        <v>1010</v>
      </c>
      <c r="D550" s="35" t="s">
        <v>86</v>
      </c>
      <c r="E550" s="22" t="s">
        <v>12</v>
      </c>
      <c r="F550" s="22" t="s">
        <v>12</v>
      </c>
      <c r="G550" s="22" t="s">
        <v>12</v>
      </c>
      <c r="H550" s="22" t="s">
        <v>32</v>
      </c>
    </row>
    <row r="551" ht="20" customHeight="1" spans="1:8" x14ac:dyDescent="0.25">
      <c r="A551" s="24" t="s">
        <v>52</v>
      </c>
      <c r="B551" s="24" t="s">
        <v>45</v>
      </c>
      <c r="C551" s="25" t="s">
        <v>1010</v>
      </c>
      <c r="D551" s="6" t="s">
        <v>4</v>
      </c>
      <c r="E551" s="24" t="s">
        <v>636</v>
      </c>
      <c r="F551" s="24" t="s">
        <v>849</v>
      </c>
      <c r="G551" s="24" t="s">
        <v>1141</v>
      </c>
      <c r="H551" s="34" t="s">
        <v>1142</v>
      </c>
    </row>
    <row r="552" ht="20" customHeight="1" spans="1:8" x14ac:dyDescent="0.25">
      <c r="A552" s="22" t="s">
        <v>53</v>
      </c>
      <c r="B552" s="22" t="s">
        <v>31</v>
      </c>
      <c r="C552" s="23" t="s">
        <v>1010</v>
      </c>
      <c r="D552" s="6" t="s">
        <v>4</v>
      </c>
      <c r="E552" s="22" t="s">
        <v>761</v>
      </c>
      <c r="F552" s="22" t="s">
        <v>1140</v>
      </c>
      <c r="G552" s="22" t="s">
        <v>194</v>
      </c>
      <c r="H552" s="29" t="s">
        <v>1143</v>
      </c>
    </row>
    <row r="553" ht="20" customHeight="1" spans="1:8" x14ac:dyDescent="0.25">
      <c r="A553" s="24" t="s">
        <v>54</v>
      </c>
      <c r="B553" s="24" t="s">
        <v>34</v>
      </c>
      <c r="C553" s="25" t="s">
        <v>1010</v>
      </c>
      <c r="D553" s="6" t="s">
        <v>4</v>
      </c>
      <c r="E553" s="24" t="s">
        <v>186</v>
      </c>
      <c r="F553" s="24" t="s">
        <v>1144</v>
      </c>
      <c r="G553" s="24" t="s">
        <v>177</v>
      </c>
      <c r="H553" s="34" t="s">
        <v>1145</v>
      </c>
    </row>
    <row r="554" ht="20" customHeight="1" spans="1:8" x14ac:dyDescent="0.25">
      <c r="A554" s="22" t="s">
        <v>55</v>
      </c>
      <c r="B554" s="22" t="s">
        <v>36</v>
      </c>
      <c r="C554" s="23" t="s">
        <v>1010</v>
      </c>
      <c r="D554" s="6" t="s">
        <v>4</v>
      </c>
      <c r="E554" s="22" t="s">
        <v>761</v>
      </c>
      <c r="F554" s="22" t="s">
        <v>1146</v>
      </c>
      <c r="G554" s="22" t="s">
        <v>989</v>
      </c>
      <c r="H554" s="29" t="s">
        <v>1147</v>
      </c>
    </row>
    <row r="555" ht="20" customHeight="1" spans="1:8" x14ac:dyDescent="0.25">
      <c r="A555" s="24" t="s">
        <v>56</v>
      </c>
      <c r="B555" s="24" t="s">
        <v>38</v>
      </c>
      <c r="C555" s="25" t="s">
        <v>1010</v>
      </c>
      <c r="D555" s="6" t="s">
        <v>4</v>
      </c>
      <c r="E555" s="24" t="s">
        <v>363</v>
      </c>
      <c r="F555" s="24" t="s">
        <v>1148</v>
      </c>
      <c r="G555" s="24" t="s">
        <v>1063</v>
      </c>
      <c r="H555" s="34" t="s">
        <v>1032</v>
      </c>
    </row>
    <row r="556" ht="20" customHeight="1" spans="1:8" x14ac:dyDescent="0.25">
      <c r="A556" s="22" t="s">
        <v>57</v>
      </c>
      <c r="B556" s="22" t="s">
        <v>40</v>
      </c>
      <c r="C556" s="23" t="s">
        <v>1010</v>
      </c>
      <c r="D556" s="6" t="s">
        <v>4</v>
      </c>
      <c r="E556" s="22" t="s">
        <v>363</v>
      </c>
      <c r="F556" s="22" t="s">
        <v>1149</v>
      </c>
      <c r="G556" s="22" t="s">
        <v>1092</v>
      </c>
      <c r="H556" s="29" t="s">
        <v>1150</v>
      </c>
    </row>
    <row r="557" ht="20" customHeight="1" spans="1:8" x14ac:dyDescent="0.25">
      <c r="A557" s="24" t="s">
        <v>58</v>
      </c>
      <c r="B557" s="24" t="s">
        <v>42</v>
      </c>
      <c r="C557" s="25" t="s">
        <v>1010</v>
      </c>
      <c r="D557" s="33" t="s">
        <v>86</v>
      </c>
      <c r="E557" s="24" t="s">
        <v>12</v>
      </c>
      <c r="F557" s="24" t="s">
        <v>12</v>
      </c>
      <c r="G557" s="24" t="s">
        <v>12</v>
      </c>
      <c r="H557" s="24" t="s">
        <v>32</v>
      </c>
    </row>
    <row r="558" ht="20" customHeight="1" spans="1:8" x14ac:dyDescent="0.25">
      <c r="A558" s="22" t="s">
        <v>59</v>
      </c>
      <c r="B558" s="22" t="s">
        <v>45</v>
      </c>
      <c r="C558" s="23" t="s">
        <v>1010</v>
      </c>
      <c r="D558" s="6" t="s">
        <v>4</v>
      </c>
      <c r="E558" s="22" t="s">
        <v>235</v>
      </c>
      <c r="F558" s="22" t="s">
        <v>1151</v>
      </c>
      <c r="G558" s="22" t="s">
        <v>1152</v>
      </c>
      <c r="H558" s="29" t="s">
        <v>1153</v>
      </c>
    </row>
    <row r="559" ht="20" customHeight="1" spans="1:8" x14ac:dyDescent="0.25">
      <c r="A559" s="24" t="s">
        <v>60</v>
      </c>
      <c r="B559" s="24" t="s">
        <v>31</v>
      </c>
      <c r="C559" s="25" t="s">
        <v>1010</v>
      </c>
      <c r="D559" s="6" t="s">
        <v>4</v>
      </c>
      <c r="E559" s="24" t="s">
        <v>235</v>
      </c>
      <c r="F559" s="24" t="s">
        <v>1154</v>
      </c>
      <c r="G559" s="24" t="s">
        <v>831</v>
      </c>
      <c r="H559" s="34" t="s">
        <v>1155</v>
      </c>
    </row>
    <row r="560" ht="20" customHeight="1" spans="1:8" x14ac:dyDescent="0.25">
      <c r="A560" s="22" t="s">
        <v>61</v>
      </c>
      <c r="B560" s="22" t="s">
        <v>34</v>
      </c>
      <c r="C560" s="23" t="s">
        <v>1010</v>
      </c>
      <c r="D560" s="6" t="s">
        <v>4</v>
      </c>
      <c r="E560" s="22" t="s">
        <v>245</v>
      </c>
      <c r="F560" s="22" t="s">
        <v>1156</v>
      </c>
      <c r="G560" s="22" t="s">
        <v>1157</v>
      </c>
      <c r="H560" s="29" t="s">
        <v>1158</v>
      </c>
    </row>
    <row r="561" ht="20" customHeight="1" spans="1:8" x14ac:dyDescent="0.25">
      <c r="A561" s="24" t="s">
        <v>62</v>
      </c>
      <c r="B561" s="24" t="s">
        <v>36</v>
      </c>
      <c r="C561" s="25" t="s">
        <v>1010</v>
      </c>
      <c r="D561" s="6" t="s">
        <v>4</v>
      </c>
      <c r="E561" s="24" t="s">
        <v>245</v>
      </c>
      <c r="F561" s="24" t="s">
        <v>1159</v>
      </c>
      <c r="G561" s="24" t="s">
        <v>590</v>
      </c>
      <c r="H561" s="34" t="s">
        <v>1160</v>
      </c>
    </row>
    <row r="562" ht="20" customHeight="1" spans="1:8" x14ac:dyDescent="0.25">
      <c r="A562" s="22" t="s">
        <v>63</v>
      </c>
      <c r="B562" s="22" t="s">
        <v>38</v>
      </c>
      <c r="C562" s="23" t="s">
        <v>1010</v>
      </c>
      <c r="D562" s="6" t="s">
        <v>4</v>
      </c>
      <c r="E562" s="22" t="s">
        <v>560</v>
      </c>
      <c r="F562" s="22" t="s">
        <v>1025</v>
      </c>
      <c r="G562" s="22" t="s">
        <v>946</v>
      </c>
      <c r="H562" s="29" t="s">
        <v>1161</v>
      </c>
    </row>
    <row r="563" ht="20" customHeight="1" spans="1:8" x14ac:dyDescent="0.25">
      <c r="A563" s="24" t="s">
        <v>64</v>
      </c>
      <c r="B563" s="24" t="s">
        <v>40</v>
      </c>
      <c r="C563" s="25" t="s">
        <v>1010</v>
      </c>
      <c r="D563" s="6" t="s">
        <v>4</v>
      </c>
      <c r="E563" s="24" t="s">
        <v>761</v>
      </c>
      <c r="F563" s="24" t="s">
        <v>1162</v>
      </c>
      <c r="G563" s="24" t="s">
        <v>1021</v>
      </c>
      <c r="H563" s="34" t="s">
        <v>1163</v>
      </c>
    </row>
    <row r="564" ht="20" customHeight="1" spans="1:8" x14ac:dyDescent="0.25">
      <c r="A564" s="22" t="s">
        <v>65</v>
      </c>
      <c r="B564" s="22" t="s">
        <v>42</v>
      </c>
      <c r="C564" s="23" t="s">
        <v>1010</v>
      </c>
      <c r="D564" s="35" t="s">
        <v>86</v>
      </c>
      <c r="E564" s="22" t="s">
        <v>12</v>
      </c>
      <c r="F564" s="22" t="s">
        <v>12</v>
      </c>
      <c r="G564" s="22" t="s">
        <v>12</v>
      </c>
      <c r="H564" s="22" t="s">
        <v>32</v>
      </c>
    </row>
    <row r="565" ht="20" customHeight="1" spans="1:8" x14ac:dyDescent="0.25">
      <c r="A565" s="24" t="s">
        <v>66</v>
      </c>
      <c r="B565" s="24" t="s">
        <v>45</v>
      </c>
      <c r="C565" s="25" t="s">
        <v>1010</v>
      </c>
      <c r="D565" s="10" t="s">
        <v>87</v>
      </c>
      <c r="E565" s="24" t="s">
        <v>12</v>
      </c>
      <c r="F565" s="24" t="s">
        <v>12</v>
      </c>
      <c r="G565" s="24" t="s">
        <v>12</v>
      </c>
      <c r="H565" s="24" t="s">
        <v>32</v>
      </c>
    </row>
    <row r="566" ht="20" customHeight="1" spans="1:8" x14ac:dyDescent="0.25">
      <c r="A566" s="22" t="s">
        <v>67</v>
      </c>
      <c r="B566" s="22" t="s">
        <v>31</v>
      </c>
      <c r="C566" s="23" t="s">
        <v>1010</v>
      </c>
      <c r="D566" s="6" t="s">
        <v>4</v>
      </c>
      <c r="E566" s="22" t="s">
        <v>363</v>
      </c>
      <c r="F566" s="22" t="s">
        <v>1164</v>
      </c>
      <c r="G566" s="22" t="s">
        <v>1165</v>
      </c>
      <c r="H566" s="29" t="s">
        <v>1032</v>
      </c>
    </row>
    <row r="567" ht="20" customHeight="1" spans="1:8" x14ac:dyDescent="0.25">
      <c r="A567" s="24" t="s">
        <v>68</v>
      </c>
      <c r="B567" s="24" t="s">
        <v>34</v>
      </c>
      <c r="C567" s="25" t="s">
        <v>1010</v>
      </c>
      <c r="D567" s="6" t="s">
        <v>4</v>
      </c>
      <c r="E567" s="24" t="s">
        <v>444</v>
      </c>
      <c r="F567" s="24" t="s">
        <v>1166</v>
      </c>
      <c r="G567" s="24" t="s">
        <v>1167</v>
      </c>
      <c r="H567" s="34" t="s">
        <v>1168</v>
      </c>
    </row>
    <row r="568" ht="22" customHeight="1" spans="1:8" x14ac:dyDescent="0.25">
      <c r="A568" s="26" t="s">
        <v>69</v>
      </c>
      <c r="B568" s="26"/>
      <c r="C568" s="26"/>
      <c r="D568" s="26"/>
      <c r="E568" s="26"/>
      <c r="F568" s="26"/>
      <c r="G568" s="27" t="s">
        <v>1169</v>
      </c>
      <c r="H568" s="28" t="s">
        <v>12</v>
      </c>
    </row>
    <row r="570" ht="26" customHeight="1" spans="1:8" x14ac:dyDescent="0.25">
      <c r="A570" s="20" t="s">
        <v>1170</v>
      </c>
      <c r="B570" s="20"/>
      <c r="C570" s="20"/>
      <c r="D570" s="20"/>
      <c r="E570" s="20"/>
      <c r="F570" s="20"/>
      <c r="G570" s="20"/>
      <c r="H570" s="20"/>
    </row>
    <row r="571" ht="22" customHeight="1" spans="1:8" x14ac:dyDescent="0.25">
      <c r="A571" s="21" t="s">
        <v>22</v>
      </c>
      <c r="B571" s="21" t="s">
        <v>23</v>
      </c>
      <c r="C571" s="21" t="s">
        <v>24</v>
      </c>
      <c r="D571" s="21" t="s">
        <v>25</v>
      </c>
      <c r="E571" s="21" t="s">
        <v>26</v>
      </c>
      <c r="F571" s="21" t="s">
        <v>27</v>
      </c>
      <c r="G571" s="21" t="s">
        <v>28</v>
      </c>
      <c r="H571" s="21" t="s">
        <v>29</v>
      </c>
    </row>
    <row r="572" ht="20" customHeight="1" spans="1:8" x14ac:dyDescent="0.25">
      <c r="A572" s="22" t="s">
        <v>30</v>
      </c>
      <c r="B572" s="22" t="s">
        <v>31</v>
      </c>
      <c r="C572" s="23" t="s">
        <v>71</v>
      </c>
      <c r="D572" s="6" t="s">
        <v>4</v>
      </c>
      <c r="E572" s="22" t="s">
        <v>246</v>
      </c>
      <c r="F572" s="22" t="s">
        <v>1171</v>
      </c>
      <c r="G572" s="22" t="s">
        <v>1172</v>
      </c>
      <c r="H572" s="29" t="s">
        <v>1173</v>
      </c>
    </row>
    <row r="573" ht="20" customHeight="1" spans="1:8" x14ac:dyDescent="0.25">
      <c r="A573" s="24" t="s">
        <v>33</v>
      </c>
      <c r="B573" s="24" t="s">
        <v>34</v>
      </c>
      <c r="C573" s="25" t="s">
        <v>71</v>
      </c>
      <c r="D573" s="6" t="s">
        <v>4</v>
      </c>
      <c r="E573" s="24" t="s">
        <v>1174</v>
      </c>
      <c r="F573" s="24" t="s">
        <v>1175</v>
      </c>
      <c r="G573" s="24" t="s">
        <v>137</v>
      </c>
      <c r="H573" s="34" t="s">
        <v>1176</v>
      </c>
    </row>
    <row r="574" ht="20" customHeight="1" spans="1:8" x14ac:dyDescent="0.25">
      <c r="A574" s="22" t="s">
        <v>35</v>
      </c>
      <c r="B574" s="22" t="s">
        <v>36</v>
      </c>
      <c r="C574" s="23" t="s">
        <v>71</v>
      </c>
      <c r="D574" s="6" t="s">
        <v>4</v>
      </c>
      <c r="E574" s="22" t="s">
        <v>965</v>
      </c>
      <c r="F574" s="22" t="s">
        <v>1177</v>
      </c>
      <c r="G574" s="22" t="s">
        <v>116</v>
      </c>
      <c r="H574" s="29" t="s">
        <v>966</v>
      </c>
    </row>
    <row r="575" ht="20" customHeight="1" spans="1:8" x14ac:dyDescent="0.25">
      <c r="A575" s="24" t="s">
        <v>37</v>
      </c>
      <c r="B575" s="24" t="s">
        <v>38</v>
      </c>
      <c r="C575" s="25" t="s">
        <v>71</v>
      </c>
      <c r="D575" s="31" t="s">
        <v>11</v>
      </c>
      <c r="E575" s="24" t="s">
        <v>12</v>
      </c>
      <c r="F575" s="24" t="s">
        <v>12</v>
      </c>
      <c r="G575" s="24" t="s">
        <v>12</v>
      </c>
      <c r="H575" s="24" t="s">
        <v>32</v>
      </c>
    </row>
    <row r="576" ht="20" customHeight="1" spans="1:8" x14ac:dyDescent="0.25">
      <c r="A576" s="22" t="s">
        <v>39</v>
      </c>
      <c r="B576" s="22" t="s">
        <v>40</v>
      </c>
      <c r="C576" s="23" t="s">
        <v>71</v>
      </c>
      <c r="D576" s="6" t="s">
        <v>4</v>
      </c>
      <c r="E576" s="22" t="s">
        <v>1178</v>
      </c>
      <c r="F576" s="22" t="s">
        <v>1179</v>
      </c>
      <c r="G576" s="22" t="s">
        <v>190</v>
      </c>
      <c r="H576" s="29" t="s">
        <v>1180</v>
      </c>
    </row>
    <row r="577" ht="20" customHeight="1" spans="1:8" x14ac:dyDescent="0.25">
      <c r="A577" s="24" t="s">
        <v>41</v>
      </c>
      <c r="B577" s="24" t="s">
        <v>42</v>
      </c>
      <c r="C577" s="25" t="s">
        <v>71</v>
      </c>
      <c r="D577" s="33" t="s">
        <v>86</v>
      </c>
      <c r="E577" s="24" t="s">
        <v>12</v>
      </c>
      <c r="F577" s="24" t="s">
        <v>12</v>
      </c>
      <c r="G577" s="24" t="s">
        <v>12</v>
      </c>
      <c r="H577" s="24" t="s">
        <v>32</v>
      </c>
    </row>
    <row r="578" ht="20" customHeight="1" spans="1:8" x14ac:dyDescent="0.25">
      <c r="A578" s="22" t="s">
        <v>44</v>
      </c>
      <c r="B578" s="22" t="s">
        <v>45</v>
      </c>
      <c r="C578" s="23" t="s">
        <v>71</v>
      </c>
      <c r="D578" s="6" t="s">
        <v>4</v>
      </c>
      <c r="E578" s="22" t="s">
        <v>216</v>
      </c>
      <c r="F578" s="22" t="s">
        <v>1181</v>
      </c>
      <c r="G578" s="22" t="s">
        <v>782</v>
      </c>
      <c r="H578" s="29" t="s">
        <v>217</v>
      </c>
    </row>
    <row r="579" ht="20" customHeight="1" spans="1:8" x14ac:dyDescent="0.25">
      <c r="A579" s="24" t="s">
        <v>46</v>
      </c>
      <c r="B579" s="24" t="s">
        <v>31</v>
      </c>
      <c r="C579" s="25" t="s">
        <v>71</v>
      </c>
      <c r="D579" s="6" t="s">
        <v>4</v>
      </c>
      <c r="E579" s="24" t="s">
        <v>185</v>
      </c>
      <c r="F579" s="24" t="s">
        <v>1182</v>
      </c>
      <c r="G579" s="24" t="s">
        <v>1183</v>
      </c>
      <c r="H579" s="34" t="s">
        <v>188</v>
      </c>
    </row>
    <row r="580" ht="20" customHeight="1" spans="1:8" x14ac:dyDescent="0.25">
      <c r="A580" s="22" t="s">
        <v>47</v>
      </c>
      <c r="B580" s="22" t="s">
        <v>34</v>
      </c>
      <c r="C580" s="23" t="s">
        <v>71</v>
      </c>
      <c r="D580" s="6" t="s">
        <v>4</v>
      </c>
      <c r="E580" s="22" t="s">
        <v>205</v>
      </c>
      <c r="F580" s="22" t="s">
        <v>1184</v>
      </c>
      <c r="G580" s="22" t="s">
        <v>981</v>
      </c>
      <c r="H580" s="29" t="s">
        <v>207</v>
      </c>
    </row>
    <row r="581" ht="20" customHeight="1" spans="1:8" x14ac:dyDescent="0.25">
      <c r="A581" s="24" t="s">
        <v>48</v>
      </c>
      <c r="B581" s="24" t="s">
        <v>36</v>
      </c>
      <c r="C581" s="25" t="s">
        <v>71</v>
      </c>
      <c r="D581" s="6" t="s">
        <v>4</v>
      </c>
      <c r="E581" s="24" t="s">
        <v>1185</v>
      </c>
      <c r="F581" s="24" t="s">
        <v>1186</v>
      </c>
      <c r="G581" s="24" t="s">
        <v>937</v>
      </c>
      <c r="H581" s="34" t="s">
        <v>1187</v>
      </c>
    </row>
    <row r="582" ht="20" customHeight="1" spans="1:8" x14ac:dyDescent="0.25">
      <c r="A582" s="22" t="s">
        <v>49</v>
      </c>
      <c r="B582" s="22" t="s">
        <v>38</v>
      </c>
      <c r="C582" s="23" t="s">
        <v>71</v>
      </c>
      <c r="D582" s="6" t="s">
        <v>4</v>
      </c>
      <c r="E582" s="22" t="s">
        <v>334</v>
      </c>
      <c r="F582" s="22" t="s">
        <v>1188</v>
      </c>
      <c r="G582" s="22" t="s">
        <v>1189</v>
      </c>
      <c r="H582" s="29" t="s">
        <v>337</v>
      </c>
    </row>
    <row r="583" ht="20" customHeight="1" spans="1:8" x14ac:dyDescent="0.25">
      <c r="A583" s="24" t="s">
        <v>50</v>
      </c>
      <c r="B583" s="24" t="s">
        <v>40</v>
      </c>
      <c r="C583" s="25" t="s">
        <v>71</v>
      </c>
      <c r="D583" s="6" t="s">
        <v>4</v>
      </c>
      <c r="E583" s="24" t="s">
        <v>1190</v>
      </c>
      <c r="F583" s="24" t="s">
        <v>1191</v>
      </c>
      <c r="G583" s="24" t="s">
        <v>760</v>
      </c>
      <c r="H583" s="34" t="s">
        <v>1192</v>
      </c>
    </row>
    <row r="584" ht="20" customHeight="1" spans="1:8" x14ac:dyDescent="0.25">
      <c r="A584" s="22" t="s">
        <v>51</v>
      </c>
      <c r="B584" s="22" t="s">
        <v>42</v>
      </c>
      <c r="C584" s="23" t="s">
        <v>71</v>
      </c>
      <c r="D584" s="35" t="s">
        <v>86</v>
      </c>
      <c r="E584" s="22" t="s">
        <v>12</v>
      </c>
      <c r="F584" s="22" t="s">
        <v>12</v>
      </c>
      <c r="G584" s="22" t="s">
        <v>12</v>
      </c>
      <c r="H584" s="22" t="s">
        <v>32</v>
      </c>
    </row>
    <row r="585" ht="20" customHeight="1" spans="1:8" x14ac:dyDescent="0.25">
      <c r="A585" s="24" t="s">
        <v>52</v>
      </c>
      <c r="B585" s="24" t="s">
        <v>45</v>
      </c>
      <c r="C585" s="25" t="s">
        <v>71</v>
      </c>
      <c r="D585" s="6" t="s">
        <v>4</v>
      </c>
      <c r="E585" s="24" t="s">
        <v>1193</v>
      </c>
      <c r="F585" s="24" t="s">
        <v>993</v>
      </c>
      <c r="G585" s="24" t="s">
        <v>1079</v>
      </c>
      <c r="H585" s="34" t="s">
        <v>1194</v>
      </c>
    </row>
    <row r="586" ht="20" customHeight="1" spans="1:8" x14ac:dyDescent="0.25">
      <c r="A586" s="22" t="s">
        <v>53</v>
      </c>
      <c r="B586" s="22" t="s">
        <v>31</v>
      </c>
      <c r="C586" s="23" t="s">
        <v>71</v>
      </c>
      <c r="D586" s="6" t="s">
        <v>4</v>
      </c>
      <c r="E586" s="22" t="s">
        <v>1195</v>
      </c>
      <c r="F586" s="22" t="s">
        <v>1196</v>
      </c>
      <c r="G586" s="22" t="s">
        <v>1136</v>
      </c>
      <c r="H586" s="29" t="s">
        <v>1197</v>
      </c>
    </row>
    <row r="587" ht="20" customHeight="1" spans="1:8" x14ac:dyDescent="0.25">
      <c r="A587" s="24" t="s">
        <v>54</v>
      </c>
      <c r="B587" s="24" t="s">
        <v>34</v>
      </c>
      <c r="C587" s="25" t="s">
        <v>71</v>
      </c>
      <c r="D587" s="6" t="s">
        <v>4</v>
      </c>
      <c r="E587" s="24" t="s">
        <v>903</v>
      </c>
      <c r="F587" s="24" t="s">
        <v>1198</v>
      </c>
      <c r="G587" s="24" t="s">
        <v>1106</v>
      </c>
      <c r="H587" s="30" t="s">
        <v>79</v>
      </c>
    </row>
    <row r="588" ht="20" customHeight="1" spans="1:8" x14ac:dyDescent="0.25">
      <c r="A588" s="22" t="s">
        <v>55</v>
      </c>
      <c r="B588" s="22" t="s">
        <v>36</v>
      </c>
      <c r="C588" s="23" t="s">
        <v>71</v>
      </c>
      <c r="D588" s="6" t="s">
        <v>4</v>
      </c>
      <c r="E588" s="22" t="s">
        <v>983</v>
      </c>
      <c r="F588" s="22" t="s">
        <v>893</v>
      </c>
      <c r="G588" s="22" t="s">
        <v>1199</v>
      </c>
      <c r="H588" s="29" t="s">
        <v>985</v>
      </c>
    </row>
    <row r="589" ht="20" customHeight="1" spans="1:8" x14ac:dyDescent="0.25">
      <c r="A589" s="24" t="s">
        <v>56</v>
      </c>
      <c r="B589" s="24" t="s">
        <v>38</v>
      </c>
      <c r="C589" s="25" t="s">
        <v>71</v>
      </c>
      <c r="D589" s="6" t="s">
        <v>4</v>
      </c>
      <c r="E589" s="24" t="s">
        <v>466</v>
      </c>
      <c r="F589" s="24" t="s">
        <v>1184</v>
      </c>
      <c r="G589" s="24" t="s">
        <v>1107</v>
      </c>
      <c r="H589" s="34" t="s">
        <v>468</v>
      </c>
    </row>
    <row r="590" ht="20" customHeight="1" spans="1:8" x14ac:dyDescent="0.25">
      <c r="A590" s="22" t="s">
        <v>57</v>
      </c>
      <c r="B590" s="22" t="s">
        <v>40</v>
      </c>
      <c r="C590" s="23" t="s">
        <v>71</v>
      </c>
      <c r="D590" s="6" t="s">
        <v>4</v>
      </c>
      <c r="E590" s="22" t="s">
        <v>1200</v>
      </c>
      <c r="F590" s="22" t="s">
        <v>1201</v>
      </c>
      <c r="G590" s="22" t="s">
        <v>20</v>
      </c>
      <c r="H590" s="29" t="s">
        <v>1202</v>
      </c>
    </row>
    <row r="591" ht="20" customHeight="1" spans="1:8" x14ac:dyDescent="0.25">
      <c r="A591" s="24" t="s">
        <v>58</v>
      </c>
      <c r="B591" s="24" t="s">
        <v>42</v>
      </c>
      <c r="C591" s="25" t="s">
        <v>71</v>
      </c>
      <c r="D591" s="33" t="s">
        <v>86</v>
      </c>
      <c r="E591" s="24" t="s">
        <v>12</v>
      </c>
      <c r="F591" s="24" t="s">
        <v>12</v>
      </c>
      <c r="G591" s="24" t="s">
        <v>12</v>
      </c>
      <c r="H591" s="24" t="s">
        <v>32</v>
      </c>
    </row>
    <row r="592" ht="20" customHeight="1" spans="1:8" x14ac:dyDescent="0.25">
      <c r="A592" s="22" t="s">
        <v>59</v>
      </c>
      <c r="B592" s="22" t="s">
        <v>45</v>
      </c>
      <c r="C592" s="23" t="s">
        <v>71</v>
      </c>
      <c r="D592" s="6" t="s">
        <v>4</v>
      </c>
      <c r="E592" s="22" t="s">
        <v>1203</v>
      </c>
      <c r="F592" s="22" t="s">
        <v>1204</v>
      </c>
      <c r="G592" s="22" t="s">
        <v>74</v>
      </c>
      <c r="H592" s="29" t="s">
        <v>1205</v>
      </c>
    </row>
    <row r="593" ht="20" customHeight="1" spans="1:8" x14ac:dyDescent="0.25">
      <c r="A593" s="24" t="s">
        <v>60</v>
      </c>
      <c r="B593" s="24" t="s">
        <v>31</v>
      </c>
      <c r="C593" s="25" t="s">
        <v>71</v>
      </c>
      <c r="D593" s="6" t="s">
        <v>4</v>
      </c>
      <c r="E593" s="24" t="s">
        <v>1206</v>
      </c>
      <c r="F593" s="24" t="s">
        <v>1198</v>
      </c>
      <c r="G593" s="24" t="s">
        <v>742</v>
      </c>
      <c r="H593" s="34" t="s">
        <v>1207</v>
      </c>
    </row>
    <row r="594" ht="20" customHeight="1" spans="1:8" x14ac:dyDescent="0.25">
      <c r="A594" s="22" t="s">
        <v>61</v>
      </c>
      <c r="B594" s="22" t="s">
        <v>34</v>
      </c>
      <c r="C594" s="23" t="s">
        <v>71</v>
      </c>
      <c r="D594" s="6" t="s">
        <v>4</v>
      </c>
      <c r="E594" s="22" t="s">
        <v>1208</v>
      </c>
      <c r="F594" s="22" t="s">
        <v>1184</v>
      </c>
      <c r="G594" s="22" t="s">
        <v>1014</v>
      </c>
      <c r="H594" s="29" t="s">
        <v>1209</v>
      </c>
    </row>
    <row r="595" ht="20" customHeight="1" spans="1:8" x14ac:dyDescent="0.25">
      <c r="A595" s="24" t="s">
        <v>62</v>
      </c>
      <c r="B595" s="24" t="s">
        <v>36</v>
      </c>
      <c r="C595" s="25" t="s">
        <v>71</v>
      </c>
      <c r="D595" s="6" t="s">
        <v>4</v>
      </c>
      <c r="E595" s="24" t="s">
        <v>1210</v>
      </c>
      <c r="F595" s="24" t="s">
        <v>1211</v>
      </c>
      <c r="G595" s="24" t="s">
        <v>108</v>
      </c>
      <c r="H595" s="34" t="s">
        <v>1212</v>
      </c>
    </row>
    <row r="596" ht="20" customHeight="1" spans="1:8" x14ac:dyDescent="0.25">
      <c r="A596" s="22" t="s">
        <v>63</v>
      </c>
      <c r="B596" s="22" t="s">
        <v>38</v>
      </c>
      <c r="C596" s="23" t="s">
        <v>71</v>
      </c>
      <c r="D596" s="6" t="s">
        <v>4</v>
      </c>
      <c r="E596" s="22" t="s">
        <v>899</v>
      </c>
      <c r="F596" s="22" t="s">
        <v>1204</v>
      </c>
      <c r="G596" s="22" t="s">
        <v>130</v>
      </c>
      <c r="H596" s="29" t="s">
        <v>1043</v>
      </c>
    </row>
    <row r="597" ht="20" customHeight="1" spans="1:8" x14ac:dyDescent="0.25">
      <c r="A597" s="24" t="s">
        <v>64</v>
      </c>
      <c r="B597" s="24" t="s">
        <v>40</v>
      </c>
      <c r="C597" s="25" t="s">
        <v>71</v>
      </c>
      <c r="D597" s="6" t="s">
        <v>4</v>
      </c>
      <c r="E597" s="24" t="s">
        <v>1213</v>
      </c>
      <c r="F597" s="24" t="s">
        <v>896</v>
      </c>
      <c r="G597" s="24" t="s">
        <v>296</v>
      </c>
      <c r="H597" s="34" t="s">
        <v>1214</v>
      </c>
    </row>
    <row r="598" ht="20" customHeight="1" spans="1:8" x14ac:dyDescent="0.25">
      <c r="A598" s="22" t="s">
        <v>65</v>
      </c>
      <c r="B598" s="22" t="s">
        <v>42</v>
      </c>
      <c r="C598" s="23" t="s">
        <v>71</v>
      </c>
      <c r="D598" s="35" t="s">
        <v>86</v>
      </c>
      <c r="E598" s="22" t="s">
        <v>12</v>
      </c>
      <c r="F598" s="22" t="s">
        <v>12</v>
      </c>
      <c r="G598" s="22" t="s">
        <v>12</v>
      </c>
      <c r="H598" s="22" t="s">
        <v>32</v>
      </c>
    </row>
    <row r="599" ht="20" customHeight="1" spans="1:8" x14ac:dyDescent="0.25">
      <c r="A599" s="24" t="s">
        <v>66</v>
      </c>
      <c r="B599" s="24" t="s">
        <v>45</v>
      </c>
      <c r="C599" s="25" t="s">
        <v>71</v>
      </c>
      <c r="D599" s="6" t="s">
        <v>4</v>
      </c>
      <c r="E599" s="24" t="s">
        <v>392</v>
      </c>
      <c r="F599" s="24" t="s">
        <v>1108</v>
      </c>
      <c r="G599" s="24" t="s">
        <v>822</v>
      </c>
      <c r="H599" s="34" t="s">
        <v>394</v>
      </c>
    </row>
    <row r="600" ht="20" customHeight="1" spans="1:8" x14ac:dyDescent="0.25">
      <c r="A600" s="22" t="s">
        <v>67</v>
      </c>
      <c r="B600" s="22" t="s">
        <v>31</v>
      </c>
      <c r="C600" s="23" t="s">
        <v>71</v>
      </c>
      <c r="D600" s="6" t="s">
        <v>4</v>
      </c>
      <c r="E600" s="22" t="s">
        <v>1215</v>
      </c>
      <c r="F600" s="22" t="s">
        <v>1216</v>
      </c>
      <c r="G600" s="22" t="s">
        <v>971</v>
      </c>
      <c r="H600" s="29" t="s">
        <v>1217</v>
      </c>
    </row>
    <row r="601" ht="20" customHeight="1" spans="1:8" x14ac:dyDescent="0.25">
      <c r="A601" s="24" t="s">
        <v>68</v>
      </c>
      <c r="B601" s="24" t="s">
        <v>34</v>
      </c>
      <c r="C601" s="25" t="s">
        <v>71</v>
      </c>
      <c r="D601" s="6" t="s">
        <v>4</v>
      </c>
      <c r="E601" s="24" t="s">
        <v>1218</v>
      </c>
      <c r="F601" s="24" t="s">
        <v>12</v>
      </c>
      <c r="G601" s="24" t="s">
        <v>12</v>
      </c>
      <c r="H601" s="34" t="s">
        <v>1219</v>
      </c>
    </row>
    <row r="602" ht="22" customHeight="1" spans="1:8" x14ac:dyDescent="0.25">
      <c r="A602" s="26" t="s">
        <v>69</v>
      </c>
      <c r="B602" s="26"/>
      <c r="C602" s="26"/>
      <c r="D602" s="26"/>
      <c r="E602" s="26"/>
      <c r="F602" s="26"/>
      <c r="G602" s="27" t="s">
        <v>1220</v>
      </c>
      <c r="H602" s="28" t="s">
        <v>12</v>
      </c>
    </row>
    <row r="604" ht="26" customHeight="1" spans="1:8" x14ac:dyDescent="0.25">
      <c r="A604" s="20" t="s">
        <v>1221</v>
      </c>
      <c r="B604" s="20"/>
      <c r="C604" s="20"/>
      <c r="D604" s="20"/>
      <c r="E604" s="20"/>
      <c r="F604" s="20"/>
      <c r="G604" s="20"/>
      <c r="H604" s="20"/>
    </row>
    <row r="605" ht="22" customHeight="1" spans="1:8" x14ac:dyDescent="0.25">
      <c r="A605" s="21" t="s">
        <v>22</v>
      </c>
      <c r="B605" s="21" t="s">
        <v>23</v>
      </c>
      <c r="C605" s="21" t="s">
        <v>24</v>
      </c>
      <c r="D605" s="21" t="s">
        <v>25</v>
      </c>
      <c r="E605" s="21" t="s">
        <v>26</v>
      </c>
      <c r="F605" s="21" t="s">
        <v>27</v>
      </c>
      <c r="G605" s="21" t="s">
        <v>28</v>
      </c>
      <c r="H605" s="21" t="s">
        <v>29</v>
      </c>
    </row>
    <row r="606" ht="20" customHeight="1" spans="1:8" x14ac:dyDescent="0.25">
      <c r="A606" s="22" t="s">
        <v>30</v>
      </c>
      <c r="B606" s="22" t="s">
        <v>31</v>
      </c>
      <c r="C606" s="23" t="s">
        <v>71</v>
      </c>
      <c r="D606" s="6" t="s">
        <v>4</v>
      </c>
      <c r="E606" s="22" t="s">
        <v>163</v>
      </c>
      <c r="F606" s="22" t="s">
        <v>1222</v>
      </c>
      <c r="G606" s="22" t="s">
        <v>1223</v>
      </c>
      <c r="H606" s="29" t="s">
        <v>166</v>
      </c>
    </row>
    <row r="607" ht="20" customHeight="1" spans="1:8" x14ac:dyDescent="0.25">
      <c r="A607" s="24" t="s">
        <v>33</v>
      </c>
      <c r="B607" s="24" t="s">
        <v>34</v>
      </c>
      <c r="C607" s="25" t="s">
        <v>71</v>
      </c>
      <c r="D607" s="6" t="s">
        <v>4</v>
      </c>
      <c r="E607" s="24" t="s">
        <v>391</v>
      </c>
      <c r="F607" s="24" t="s">
        <v>1224</v>
      </c>
      <c r="G607" s="24" t="s">
        <v>1225</v>
      </c>
      <c r="H607" s="30" t="s">
        <v>79</v>
      </c>
    </row>
    <row r="608" ht="20" customHeight="1" spans="1:8" x14ac:dyDescent="0.25">
      <c r="A608" s="22" t="s">
        <v>35</v>
      </c>
      <c r="B608" s="22" t="s">
        <v>36</v>
      </c>
      <c r="C608" s="23" t="s">
        <v>71</v>
      </c>
      <c r="D608" s="6" t="s">
        <v>4</v>
      </c>
      <c r="E608" s="22" t="s">
        <v>289</v>
      </c>
      <c r="F608" s="22" t="s">
        <v>1226</v>
      </c>
      <c r="G608" s="22" t="s">
        <v>516</v>
      </c>
      <c r="H608" s="32" t="s">
        <v>79</v>
      </c>
    </row>
    <row r="609" ht="20" customHeight="1" spans="1:8" x14ac:dyDescent="0.25">
      <c r="A609" s="24" t="s">
        <v>37</v>
      </c>
      <c r="B609" s="24" t="s">
        <v>38</v>
      </c>
      <c r="C609" s="25" t="s">
        <v>71</v>
      </c>
      <c r="D609" s="6" t="s">
        <v>4</v>
      </c>
      <c r="E609" s="24" t="s">
        <v>561</v>
      </c>
      <c r="F609" s="24" t="s">
        <v>12</v>
      </c>
      <c r="G609" s="24" t="s">
        <v>12</v>
      </c>
      <c r="H609" s="30" t="s">
        <v>79</v>
      </c>
    </row>
    <row r="610" ht="20" customHeight="1" spans="1:8" x14ac:dyDescent="0.25">
      <c r="A610" s="22" t="s">
        <v>39</v>
      </c>
      <c r="B610" s="22" t="s">
        <v>40</v>
      </c>
      <c r="C610" s="23" t="s">
        <v>71</v>
      </c>
      <c r="D610" s="6" t="s">
        <v>4</v>
      </c>
      <c r="E610" s="22" t="s">
        <v>167</v>
      </c>
      <c r="F610" s="22" t="s">
        <v>1224</v>
      </c>
      <c r="G610" s="22" t="s">
        <v>1227</v>
      </c>
      <c r="H610" s="29" t="s">
        <v>168</v>
      </c>
    </row>
    <row r="611" ht="20" customHeight="1" spans="1:8" x14ac:dyDescent="0.25">
      <c r="A611" s="24" t="s">
        <v>41</v>
      </c>
      <c r="B611" s="24" t="s">
        <v>42</v>
      </c>
      <c r="C611" s="25" t="s">
        <v>71</v>
      </c>
      <c r="D611" s="6" t="s">
        <v>4</v>
      </c>
      <c r="E611" s="24" t="s">
        <v>125</v>
      </c>
      <c r="F611" s="24" t="s">
        <v>386</v>
      </c>
      <c r="G611" s="24" t="s">
        <v>516</v>
      </c>
      <c r="H611" s="30" t="s">
        <v>79</v>
      </c>
    </row>
    <row r="612" ht="20" customHeight="1" spans="1:8" x14ac:dyDescent="0.25">
      <c r="A612" s="22" t="s">
        <v>44</v>
      </c>
      <c r="B612" s="22" t="s">
        <v>45</v>
      </c>
      <c r="C612" s="23" t="s">
        <v>71</v>
      </c>
      <c r="D612" s="6" t="s">
        <v>4</v>
      </c>
      <c r="E612" s="22" t="s">
        <v>383</v>
      </c>
      <c r="F612" s="22" t="s">
        <v>1224</v>
      </c>
      <c r="G612" s="22" t="s">
        <v>1107</v>
      </c>
      <c r="H612" s="32" t="s">
        <v>79</v>
      </c>
    </row>
    <row r="613" ht="20" customHeight="1" spans="1:8" x14ac:dyDescent="0.25">
      <c r="A613" s="24" t="s">
        <v>46</v>
      </c>
      <c r="B613" s="24" t="s">
        <v>31</v>
      </c>
      <c r="C613" s="25" t="s">
        <v>71</v>
      </c>
      <c r="D613" s="6" t="s">
        <v>4</v>
      </c>
      <c r="E613" s="24" t="s">
        <v>409</v>
      </c>
      <c r="F613" s="24" t="s">
        <v>12</v>
      </c>
      <c r="G613" s="24" t="s">
        <v>12</v>
      </c>
      <c r="H613" s="30" t="s">
        <v>79</v>
      </c>
    </row>
    <row r="614" ht="20" customHeight="1" spans="1:8" x14ac:dyDescent="0.25">
      <c r="A614" s="22" t="s">
        <v>47</v>
      </c>
      <c r="B614" s="22" t="s">
        <v>34</v>
      </c>
      <c r="C614" s="23" t="s">
        <v>71</v>
      </c>
      <c r="D614" s="6" t="s">
        <v>4</v>
      </c>
      <c r="E614" s="22" t="s">
        <v>307</v>
      </c>
      <c r="F614" s="22" t="s">
        <v>12</v>
      </c>
      <c r="G614" s="22" t="s">
        <v>12</v>
      </c>
      <c r="H614" s="32" t="s">
        <v>79</v>
      </c>
    </row>
    <row r="615" ht="20" customHeight="1" spans="1:8" x14ac:dyDescent="0.25">
      <c r="A615" s="24" t="s">
        <v>48</v>
      </c>
      <c r="B615" s="24" t="s">
        <v>36</v>
      </c>
      <c r="C615" s="25" t="s">
        <v>71</v>
      </c>
      <c r="D615" s="6" t="s">
        <v>4</v>
      </c>
      <c r="E615" s="24" t="s">
        <v>125</v>
      </c>
      <c r="F615" s="24" t="s">
        <v>1228</v>
      </c>
      <c r="G615" s="24" t="s">
        <v>1110</v>
      </c>
      <c r="H615" s="30" t="s">
        <v>79</v>
      </c>
    </row>
    <row r="616" ht="20" customHeight="1" spans="1:8" x14ac:dyDescent="0.25">
      <c r="A616" s="22" t="s">
        <v>49</v>
      </c>
      <c r="B616" s="22" t="s">
        <v>38</v>
      </c>
      <c r="C616" s="23" t="s">
        <v>71</v>
      </c>
      <c r="D616" s="6" t="s">
        <v>4</v>
      </c>
      <c r="E616" s="22" t="s">
        <v>434</v>
      </c>
      <c r="F616" s="22" t="s">
        <v>12</v>
      </c>
      <c r="G616" s="22" t="s">
        <v>12</v>
      </c>
      <c r="H616" s="32" t="s">
        <v>79</v>
      </c>
    </row>
    <row r="617" ht="20" customHeight="1" spans="1:8" x14ac:dyDescent="0.25">
      <c r="A617" s="24" t="s">
        <v>50</v>
      </c>
      <c r="B617" s="24" t="s">
        <v>40</v>
      </c>
      <c r="C617" s="25" t="s">
        <v>71</v>
      </c>
      <c r="D617" s="6" t="s">
        <v>4</v>
      </c>
      <c r="E617" s="24" t="s">
        <v>503</v>
      </c>
      <c r="F617" s="24" t="s">
        <v>1229</v>
      </c>
      <c r="G617" s="24" t="s">
        <v>1065</v>
      </c>
      <c r="H617" s="30" t="s">
        <v>79</v>
      </c>
    </row>
    <row r="618" ht="20" customHeight="1" spans="1:8" x14ac:dyDescent="0.25">
      <c r="A618" s="22" t="s">
        <v>51</v>
      </c>
      <c r="B618" s="22" t="s">
        <v>42</v>
      </c>
      <c r="C618" s="23" t="s">
        <v>71</v>
      </c>
      <c r="D618" s="35" t="s">
        <v>86</v>
      </c>
      <c r="E618" s="22" t="s">
        <v>12</v>
      </c>
      <c r="F618" s="22" t="s">
        <v>12</v>
      </c>
      <c r="G618" s="22" t="s">
        <v>12</v>
      </c>
      <c r="H618" s="22" t="s">
        <v>32</v>
      </c>
    </row>
    <row r="619" ht="20" customHeight="1" spans="1:8" x14ac:dyDescent="0.25">
      <c r="A619" s="24" t="s">
        <v>52</v>
      </c>
      <c r="B619" s="24" t="s">
        <v>45</v>
      </c>
      <c r="C619" s="25" t="s">
        <v>71</v>
      </c>
      <c r="D619" s="6" t="s">
        <v>4</v>
      </c>
      <c r="E619" s="24" t="s">
        <v>320</v>
      </c>
      <c r="F619" s="24" t="s">
        <v>12</v>
      </c>
      <c r="G619" s="24" t="s">
        <v>12</v>
      </c>
      <c r="H619" s="30" t="s">
        <v>79</v>
      </c>
    </row>
    <row r="620" ht="20" customHeight="1" spans="1:8" x14ac:dyDescent="0.25">
      <c r="A620" s="22" t="s">
        <v>53</v>
      </c>
      <c r="B620" s="22" t="s">
        <v>31</v>
      </c>
      <c r="C620" s="23" t="s">
        <v>71</v>
      </c>
      <c r="D620" s="6" t="s">
        <v>4</v>
      </c>
      <c r="E620" s="22" t="s">
        <v>503</v>
      </c>
      <c r="F620" s="22" t="s">
        <v>1230</v>
      </c>
      <c r="G620" s="22" t="s">
        <v>1231</v>
      </c>
      <c r="H620" s="32" t="s">
        <v>79</v>
      </c>
    </row>
    <row r="621" ht="20" customHeight="1" spans="1:8" x14ac:dyDescent="0.25">
      <c r="A621" s="24" t="s">
        <v>54</v>
      </c>
      <c r="B621" s="24" t="s">
        <v>34</v>
      </c>
      <c r="C621" s="25" t="s">
        <v>71</v>
      </c>
      <c r="D621" s="6" t="s">
        <v>4</v>
      </c>
      <c r="E621" s="24" t="s">
        <v>320</v>
      </c>
      <c r="F621" s="24" t="s">
        <v>1232</v>
      </c>
      <c r="G621" s="24" t="s">
        <v>1233</v>
      </c>
      <c r="H621" s="30" t="s">
        <v>79</v>
      </c>
    </row>
    <row r="622" ht="20" customHeight="1" spans="1:8" x14ac:dyDescent="0.25">
      <c r="A622" s="22" t="s">
        <v>55</v>
      </c>
      <c r="B622" s="22" t="s">
        <v>36</v>
      </c>
      <c r="C622" s="23" t="s">
        <v>71</v>
      </c>
      <c r="D622" s="6" t="s">
        <v>4</v>
      </c>
      <c r="E622" s="22" t="s">
        <v>387</v>
      </c>
      <c r="F622" s="22" t="s">
        <v>1074</v>
      </c>
      <c r="G622" s="22" t="s">
        <v>1234</v>
      </c>
      <c r="H622" s="32" t="s">
        <v>79</v>
      </c>
    </row>
    <row r="623" ht="20" customHeight="1" spans="1:8" x14ac:dyDescent="0.25">
      <c r="A623" s="24" t="s">
        <v>56</v>
      </c>
      <c r="B623" s="24" t="s">
        <v>38</v>
      </c>
      <c r="C623" s="25" t="s">
        <v>71</v>
      </c>
      <c r="D623" s="6" t="s">
        <v>4</v>
      </c>
      <c r="E623" s="24" t="s">
        <v>216</v>
      </c>
      <c r="F623" s="24" t="s">
        <v>1228</v>
      </c>
      <c r="G623" s="24" t="s">
        <v>822</v>
      </c>
      <c r="H623" s="34" t="s">
        <v>217</v>
      </c>
    </row>
    <row r="624" ht="20" customHeight="1" spans="1:8" x14ac:dyDescent="0.25">
      <c r="A624" s="22" t="s">
        <v>57</v>
      </c>
      <c r="B624" s="22" t="s">
        <v>40</v>
      </c>
      <c r="C624" s="23" t="s">
        <v>71</v>
      </c>
      <c r="D624" s="6" t="s">
        <v>4</v>
      </c>
      <c r="E624" s="22" t="s">
        <v>965</v>
      </c>
      <c r="F624" s="22" t="s">
        <v>1229</v>
      </c>
      <c r="G624" s="22" t="s">
        <v>108</v>
      </c>
      <c r="H624" s="29" t="s">
        <v>966</v>
      </c>
    </row>
    <row r="625" ht="20" customHeight="1" spans="1:8" x14ac:dyDescent="0.25">
      <c r="A625" s="24" t="s">
        <v>58</v>
      </c>
      <c r="B625" s="24" t="s">
        <v>42</v>
      </c>
      <c r="C625" s="25" t="s">
        <v>71</v>
      </c>
      <c r="D625" s="33" t="s">
        <v>86</v>
      </c>
      <c r="E625" s="24" t="s">
        <v>1235</v>
      </c>
      <c r="F625" s="24" t="s">
        <v>12</v>
      </c>
      <c r="G625" s="24" t="s">
        <v>12</v>
      </c>
      <c r="H625" s="34" t="s">
        <v>1236</v>
      </c>
    </row>
    <row r="626" ht="20" customHeight="1" spans="1:8" x14ac:dyDescent="0.25">
      <c r="A626" s="22" t="s">
        <v>59</v>
      </c>
      <c r="B626" s="22" t="s">
        <v>45</v>
      </c>
      <c r="C626" s="23" t="s">
        <v>71</v>
      </c>
      <c r="D626" s="6" t="s">
        <v>4</v>
      </c>
      <c r="E626" s="22" t="s">
        <v>397</v>
      </c>
      <c r="F626" s="22" t="s">
        <v>1237</v>
      </c>
      <c r="G626" s="22" t="s">
        <v>1066</v>
      </c>
      <c r="H626" s="32" t="s">
        <v>79</v>
      </c>
    </row>
    <row r="627" ht="20" customHeight="1" spans="1:8" x14ac:dyDescent="0.25">
      <c r="A627" s="24" t="s">
        <v>60</v>
      </c>
      <c r="B627" s="24" t="s">
        <v>31</v>
      </c>
      <c r="C627" s="25" t="s">
        <v>71</v>
      </c>
      <c r="D627" s="6" t="s">
        <v>4</v>
      </c>
      <c r="E627" s="24" t="s">
        <v>387</v>
      </c>
      <c r="F627" s="24" t="s">
        <v>936</v>
      </c>
      <c r="G627" s="24" t="s">
        <v>782</v>
      </c>
      <c r="H627" s="30" t="s">
        <v>79</v>
      </c>
    </row>
    <row r="628" ht="20" customHeight="1" spans="1:8" x14ac:dyDescent="0.25">
      <c r="A628" s="22" t="s">
        <v>61</v>
      </c>
      <c r="B628" s="22" t="s">
        <v>34</v>
      </c>
      <c r="C628" s="23" t="s">
        <v>71</v>
      </c>
      <c r="D628" s="6" t="s">
        <v>4</v>
      </c>
      <c r="E628" s="22" t="s">
        <v>322</v>
      </c>
      <c r="F628" s="22" t="s">
        <v>335</v>
      </c>
      <c r="G628" s="22" t="s">
        <v>1225</v>
      </c>
      <c r="H628" s="29" t="s">
        <v>323</v>
      </c>
    </row>
    <row r="629" ht="20" customHeight="1" spans="1:8" x14ac:dyDescent="0.25">
      <c r="A629" s="24" t="s">
        <v>62</v>
      </c>
      <c r="B629" s="24" t="s">
        <v>36</v>
      </c>
      <c r="C629" s="25" t="s">
        <v>71</v>
      </c>
      <c r="D629" s="6" t="s">
        <v>4</v>
      </c>
      <c r="E629" s="24" t="s">
        <v>405</v>
      </c>
      <c r="F629" s="24" t="s">
        <v>12</v>
      </c>
      <c r="G629" s="24" t="s">
        <v>12</v>
      </c>
      <c r="H629" s="30" t="s">
        <v>79</v>
      </c>
    </row>
    <row r="630" ht="20" customHeight="1" spans="1:8" x14ac:dyDescent="0.25">
      <c r="A630" s="22" t="s">
        <v>63</v>
      </c>
      <c r="B630" s="22" t="s">
        <v>38</v>
      </c>
      <c r="C630" s="23" t="s">
        <v>71</v>
      </c>
      <c r="D630" s="6" t="s">
        <v>4</v>
      </c>
      <c r="E630" s="22" t="s">
        <v>125</v>
      </c>
      <c r="F630" s="22" t="s">
        <v>1108</v>
      </c>
      <c r="G630" s="22" t="s">
        <v>1238</v>
      </c>
      <c r="H630" s="32" t="s">
        <v>79</v>
      </c>
    </row>
    <row r="631" ht="20" customHeight="1" spans="1:8" x14ac:dyDescent="0.25">
      <c r="A631" s="24" t="s">
        <v>64</v>
      </c>
      <c r="B631" s="24" t="s">
        <v>40</v>
      </c>
      <c r="C631" s="25" t="s">
        <v>71</v>
      </c>
      <c r="D631" s="6" t="s">
        <v>4</v>
      </c>
      <c r="E631" s="24" t="s">
        <v>939</v>
      </c>
      <c r="F631" s="24" t="s">
        <v>1239</v>
      </c>
      <c r="G631" s="24" t="s">
        <v>831</v>
      </c>
      <c r="H631" s="34" t="s">
        <v>941</v>
      </c>
    </row>
    <row r="632" ht="20" customHeight="1" spans="1:8" x14ac:dyDescent="0.25">
      <c r="A632" s="22" t="s">
        <v>65</v>
      </c>
      <c r="B632" s="22" t="s">
        <v>42</v>
      </c>
      <c r="C632" s="23" t="s">
        <v>71</v>
      </c>
      <c r="D632" s="35" t="s">
        <v>86</v>
      </c>
      <c r="E632" s="22" t="s">
        <v>362</v>
      </c>
      <c r="F632" s="22" t="s">
        <v>12</v>
      </c>
      <c r="G632" s="22" t="s">
        <v>12</v>
      </c>
      <c r="H632" s="32" t="s">
        <v>79</v>
      </c>
    </row>
    <row r="633" ht="20" customHeight="1" spans="1:8" x14ac:dyDescent="0.25">
      <c r="A633" s="24" t="s">
        <v>66</v>
      </c>
      <c r="B633" s="24" t="s">
        <v>45</v>
      </c>
      <c r="C633" s="25" t="s">
        <v>71</v>
      </c>
      <c r="D633" s="6" t="s">
        <v>4</v>
      </c>
      <c r="E633" s="24" t="s">
        <v>1240</v>
      </c>
      <c r="F633" s="24" t="s">
        <v>931</v>
      </c>
      <c r="G633" s="24" t="s">
        <v>831</v>
      </c>
      <c r="H633" s="34" t="s">
        <v>1241</v>
      </c>
    </row>
    <row r="634" ht="20" customHeight="1" spans="1:8" x14ac:dyDescent="0.25">
      <c r="A634" s="22" t="s">
        <v>67</v>
      </c>
      <c r="B634" s="22" t="s">
        <v>31</v>
      </c>
      <c r="C634" s="23" t="s">
        <v>71</v>
      </c>
      <c r="D634" s="6" t="s">
        <v>4</v>
      </c>
      <c r="E634" s="22" t="s">
        <v>379</v>
      </c>
      <c r="F634" s="22" t="s">
        <v>12</v>
      </c>
      <c r="G634" s="22" t="s">
        <v>12</v>
      </c>
      <c r="H634" s="29" t="s">
        <v>380</v>
      </c>
    </row>
    <row r="635" ht="20" customHeight="1" spans="1:8" x14ac:dyDescent="0.25">
      <c r="A635" s="24" t="s">
        <v>68</v>
      </c>
      <c r="B635" s="24" t="s">
        <v>34</v>
      </c>
      <c r="C635" s="25" t="s">
        <v>71</v>
      </c>
      <c r="D635" s="6" t="s">
        <v>4</v>
      </c>
      <c r="E635" s="24" t="s">
        <v>503</v>
      </c>
      <c r="F635" s="24" t="s">
        <v>12</v>
      </c>
      <c r="G635" s="24" t="s">
        <v>12</v>
      </c>
      <c r="H635" s="30" t="s">
        <v>79</v>
      </c>
    </row>
    <row r="636" ht="22" customHeight="1" spans="1:8" x14ac:dyDescent="0.25">
      <c r="A636" s="26" t="s">
        <v>69</v>
      </c>
      <c r="B636" s="26"/>
      <c r="C636" s="26"/>
      <c r="D636" s="26"/>
      <c r="E636" s="26"/>
      <c r="F636" s="26"/>
      <c r="G636" s="27" t="s">
        <v>1242</v>
      </c>
      <c r="H636" s="28" t="s">
        <v>12</v>
      </c>
    </row>
    <row r="638" ht="26" customHeight="1" spans="1:8" x14ac:dyDescent="0.25">
      <c r="A638" s="20" t="s">
        <v>1243</v>
      </c>
      <c r="B638" s="20"/>
      <c r="C638" s="20"/>
      <c r="D638" s="20"/>
      <c r="E638" s="20"/>
      <c r="F638" s="20"/>
      <c r="G638" s="20"/>
      <c r="H638" s="20"/>
    </row>
    <row r="639" ht="22" customHeight="1" spans="1:8" x14ac:dyDescent="0.25">
      <c r="A639" s="21" t="s">
        <v>22</v>
      </c>
      <c r="B639" s="21" t="s">
        <v>23</v>
      </c>
      <c r="C639" s="21" t="s">
        <v>24</v>
      </c>
      <c r="D639" s="21" t="s">
        <v>25</v>
      </c>
      <c r="E639" s="21" t="s">
        <v>26</v>
      </c>
      <c r="F639" s="21" t="s">
        <v>27</v>
      </c>
      <c r="G639" s="21" t="s">
        <v>28</v>
      </c>
      <c r="H639" s="21" t="s">
        <v>29</v>
      </c>
    </row>
    <row r="640" ht="20" customHeight="1" spans="1:8" x14ac:dyDescent="0.25">
      <c r="A640" s="22" t="s">
        <v>30</v>
      </c>
      <c r="B640" s="22" t="s">
        <v>31</v>
      </c>
      <c r="C640" s="23" t="s">
        <v>605</v>
      </c>
      <c r="D640" s="6" t="s">
        <v>4</v>
      </c>
      <c r="E640" s="22" t="s">
        <v>383</v>
      </c>
      <c r="F640" s="22" t="s">
        <v>153</v>
      </c>
      <c r="G640" s="22" t="s">
        <v>726</v>
      </c>
      <c r="H640" s="32" t="s">
        <v>79</v>
      </c>
    </row>
    <row r="641" ht="20" customHeight="1" spans="1:8" x14ac:dyDescent="0.25">
      <c r="A641" s="24" t="s">
        <v>33</v>
      </c>
      <c r="B641" s="24" t="s">
        <v>34</v>
      </c>
      <c r="C641" s="25" t="s">
        <v>605</v>
      </c>
      <c r="D641" s="6" t="s">
        <v>4</v>
      </c>
      <c r="E641" s="24" t="s">
        <v>383</v>
      </c>
      <c r="F641" s="24" t="s">
        <v>345</v>
      </c>
      <c r="G641" s="24" t="s">
        <v>752</v>
      </c>
      <c r="H641" s="30" t="s">
        <v>79</v>
      </c>
    </row>
    <row r="642" ht="20" customHeight="1" spans="1:8" x14ac:dyDescent="0.25">
      <c r="A642" s="22" t="s">
        <v>35</v>
      </c>
      <c r="B642" s="22" t="s">
        <v>36</v>
      </c>
      <c r="C642" s="23" t="s">
        <v>605</v>
      </c>
      <c r="D642" s="6" t="s">
        <v>4</v>
      </c>
      <c r="E642" s="22" t="s">
        <v>434</v>
      </c>
      <c r="F642" s="22" t="s">
        <v>231</v>
      </c>
      <c r="G642" s="22" t="s">
        <v>475</v>
      </c>
      <c r="H642" s="32" t="s">
        <v>79</v>
      </c>
    </row>
    <row r="643" ht="20" customHeight="1" spans="1:8" x14ac:dyDescent="0.25">
      <c r="A643" s="24" t="s">
        <v>37</v>
      </c>
      <c r="B643" s="24" t="s">
        <v>38</v>
      </c>
      <c r="C643" s="25" t="s">
        <v>605</v>
      </c>
      <c r="D643" s="6" t="s">
        <v>4</v>
      </c>
      <c r="E643" s="24" t="s">
        <v>334</v>
      </c>
      <c r="F643" s="24" t="s">
        <v>692</v>
      </c>
      <c r="G643" s="24" t="s">
        <v>1244</v>
      </c>
      <c r="H643" s="34" t="s">
        <v>1245</v>
      </c>
    </row>
    <row r="644" ht="20" customHeight="1" spans="1:8" x14ac:dyDescent="0.25">
      <c r="A644" s="22" t="s">
        <v>39</v>
      </c>
      <c r="B644" s="22" t="s">
        <v>40</v>
      </c>
      <c r="C644" s="23" t="s">
        <v>605</v>
      </c>
      <c r="D644" s="6" t="s">
        <v>4</v>
      </c>
      <c r="E644" s="22" t="s">
        <v>409</v>
      </c>
      <c r="F644" s="22" t="s">
        <v>439</v>
      </c>
      <c r="G644" s="22" t="s">
        <v>332</v>
      </c>
      <c r="H644" s="32" t="s">
        <v>79</v>
      </c>
    </row>
    <row r="645" ht="20" customHeight="1" spans="1:8" x14ac:dyDescent="0.25">
      <c r="A645" s="24" t="s">
        <v>41</v>
      </c>
      <c r="B645" s="24" t="s">
        <v>42</v>
      </c>
      <c r="C645" s="25" t="s">
        <v>605</v>
      </c>
      <c r="D645" s="33" t="s">
        <v>86</v>
      </c>
      <c r="E645" s="24" t="s">
        <v>12</v>
      </c>
      <c r="F645" s="24" t="s">
        <v>12</v>
      </c>
      <c r="G645" s="24" t="s">
        <v>12</v>
      </c>
      <c r="H645" s="24" t="s">
        <v>32</v>
      </c>
    </row>
    <row r="646" ht="20" customHeight="1" spans="1:8" x14ac:dyDescent="0.25">
      <c r="A646" s="22" t="s">
        <v>44</v>
      </c>
      <c r="B646" s="22" t="s">
        <v>45</v>
      </c>
      <c r="C646" s="23" t="s">
        <v>605</v>
      </c>
      <c r="D646" s="6" t="s">
        <v>4</v>
      </c>
      <c r="E646" s="22" t="s">
        <v>635</v>
      </c>
      <c r="F646" s="22" t="s">
        <v>1246</v>
      </c>
      <c r="G646" s="22" t="s">
        <v>1247</v>
      </c>
      <c r="H646" s="32" t="s">
        <v>79</v>
      </c>
    </row>
    <row r="647" ht="20" customHeight="1" spans="1:8" x14ac:dyDescent="0.25">
      <c r="A647" s="24" t="s">
        <v>46</v>
      </c>
      <c r="B647" s="24" t="s">
        <v>31</v>
      </c>
      <c r="C647" s="25" t="s">
        <v>605</v>
      </c>
      <c r="D647" s="6" t="s">
        <v>4</v>
      </c>
      <c r="E647" s="24" t="s">
        <v>383</v>
      </c>
      <c r="F647" s="24" t="s">
        <v>748</v>
      </c>
      <c r="G647" s="24" t="s">
        <v>332</v>
      </c>
      <c r="H647" s="30" t="s">
        <v>79</v>
      </c>
    </row>
    <row r="648" ht="20" customHeight="1" spans="1:8" x14ac:dyDescent="0.25">
      <c r="A648" s="22" t="s">
        <v>47</v>
      </c>
      <c r="B648" s="22" t="s">
        <v>34</v>
      </c>
      <c r="C648" s="23" t="s">
        <v>605</v>
      </c>
      <c r="D648" s="6" t="s">
        <v>4</v>
      </c>
      <c r="E648" s="22" t="s">
        <v>361</v>
      </c>
      <c r="F648" s="22" t="s">
        <v>12</v>
      </c>
      <c r="G648" s="22" t="s">
        <v>12</v>
      </c>
      <c r="H648" s="32" t="s">
        <v>79</v>
      </c>
    </row>
    <row r="649" ht="20" customHeight="1" spans="1:8" x14ac:dyDescent="0.25">
      <c r="A649" s="24" t="s">
        <v>48</v>
      </c>
      <c r="B649" s="24" t="s">
        <v>36</v>
      </c>
      <c r="C649" s="25" t="s">
        <v>605</v>
      </c>
      <c r="D649" s="6" t="s">
        <v>4</v>
      </c>
      <c r="E649" s="24" t="s">
        <v>300</v>
      </c>
      <c r="F649" s="24" t="s">
        <v>211</v>
      </c>
      <c r="G649" s="24" t="s">
        <v>1248</v>
      </c>
      <c r="H649" s="30" t="s">
        <v>79</v>
      </c>
    </row>
    <row r="650" ht="20" customHeight="1" spans="1:8" x14ac:dyDescent="0.25">
      <c r="A650" s="22" t="s">
        <v>49</v>
      </c>
      <c r="B650" s="22" t="s">
        <v>38</v>
      </c>
      <c r="C650" s="23" t="s">
        <v>605</v>
      </c>
      <c r="D650" s="6" t="s">
        <v>4</v>
      </c>
      <c r="E650" s="22" t="s">
        <v>576</v>
      </c>
      <c r="F650" s="22" t="s">
        <v>772</v>
      </c>
      <c r="G650" s="22" t="s">
        <v>788</v>
      </c>
      <c r="H650" s="32" t="s">
        <v>79</v>
      </c>
    </row>
    <row r="651" ht="20" customHeight="1" spans="1:8" x14ac:dyDescent="0.25">
      <c r="A651" s="24" t="s">
        <v>50</v>
      </c>
      <c r="B651" s="24" t="s">
        <v>40</v>
      </c>
      <c r="C651" s="25" t="s">
        <v>605</v>
      </c>
      <c r="D651" s="33" t="s">
        <v>86</v>
      </c>
      <c r="E651" s="24" t="s">
        <v>12</v>
      </c>
      <c r="F651" s="24" t="s">
        <v>12</v>
      </c>
      <c r="G651" s="24" t="s">
        <v>12</v>
      </c>
      <c r="H651" s="24" t="s">
        <v>32</v>
      </c>
    </row>
    <row r="652" ht="20" customHeight="1" spans="1:8" x14ac:dyDescent="0.25">
      <c r="A652" s="22" t="s">
        <v>51</v>
      </c>
      <c r="B652" s="22" t="s">
        <v>42</v>
      </c>
      <c r="C652" s="23" t="s">
        <v>605</v>
      </c>
      <c r="D652" s="35" t="s">
        <v>86</v>
      </c>
      <c r="E652" s="22" t="s">
        <v>12</v>
      </c>
      <c r="F652" s="22" t="s">
        <v>12</v>
      </c>
      <c r="G652" s="22" t="s">
        <v>12</v>
      </c>
      <c r="H652" s="22" t="s">
        <v>32</v>
      </c>
    </row>
    <row r="653" ht="20" customHeight="1" spans="1:8" x14ac:dyDescent="0.25">
      <c r="A653" s="24" t="s">
        <v>52</v>
      </c>
      <c r="B653" s="24" t="s">
        <v>45</v>
      </c>
      <c r="C653" s="25" t="s">
        <v>605</v>
      </c>
      <c r="D653" s="6" t="s">
        <v>4</v>
      </c>
      <c r="E653" s="24" t="s">
        <v>1210</v>
      </c>
      <c r="F653" s="24" t="s">
        <v>96</v>
      </c>
      <c r="G653" s="24" t="s">
        <v>393</v>
      </c>
      <c r="H653" s="34" t="s">
        <v>1212</v>
      </c>
    </row>
    <row r="654" ht="20" customHeight="1" spans="1:8" x14ac:dyDescent="0.25">
      <c r="A654" s="22" t="s">
        <v>53</v>
      </c>
      <c r="B654" s="22" t="s">
        <v>31</v>
      </c>
      <c r="C654" s="23" t="s">
        <v>605</v>
      </c>
      <c r="D654" s="6" t="s">
        <v>4</v>
      </c>
      <c r="E654" s="22" t="s">
        <v>383</v>
      </c>
      <c r="F654" s="22" t="s">
        <v>12</v>
      </c>
      <c r="G654" s="22" t="s">
        <v>12</v>
      </c>
      <c r="H654" s="32" t="s">
        <v>79</v>
      </c>
    </row>
    <row r="655" ht="20" customHeight="1" spans="1:8" x14ac:dyDescent="0.25">
      <c r="A655" s="24" t="s">
        <v>54</v>
      </c>
      <c r="B655" s="24" t="s">
        <v>34</v>
      </c>
      <c r="C655" s="25" t="s">
        <v>605</v>
      </c>
      <c r="D655" s="6" t="s">
        <v>4</v>
      </c>
      <c r="E655" s="24" t="s">
        <v>635</v>
      </c>
      <c r="F655" s="24" t="s">
        <v>84</v>
      </c>
      <c r="G655" s="24" t="s">
        <v>481</v>
      </c>
      <c r="H655" s="30" t="s">
        <v>79</v>
      </c>
    </row>
    <row r="656" ht="20" customHeight="1" spans="1:8" x14ac:dyDescent="0.25">
      <c r="A656" s="22" t="s">
        <v>55</v>
      </c>
      <c r="B656" s="22" t="s">
        <v>36</v>
      </c>
      <c r="C656" s="23" t="s">
        <v>605</v>
      </c>
      <c r="D656" s="6" t="s">
        <v>4</v>
      </c>
      <c r="E656" s="22" t="s">
        <v>125</v>
      </c>
      <c r="F656" s="22" t="s">
        <v>112</v>
      </c>
      <c r="G656" s="22" t="s">
        <v>119</v>
      </c>
      <c r="H656" s="32" t="s">
        <v>79</v>
      </c>
    </row>
    <row r="657" ht="20" customHeight="1" spans="1:8" x14ac:dyDescent="0.25">
      <c r="A657" s="24" t="s">
        <v>56</v>
      </c>
      <c r="B657" s="24" t="s">
        <v>38</v>
      </c>
      <c r="C657" s="25" t="s">
        <v>605</v>
      </c>
      <c r="D657" s="6" t="s">
        <v>4</v>
      </c>
      <c r="E657" s="24" t="s">
        <v>451</v>
      </c>
      <c r="F657" s="24" t="s">
        <v>12</v>
      </c>
      <c r="G657" s="24" t="s">
        <v>12</v>
      </c>
      <c r="H657" s="34" t="s">
        <v>453</v>
      </c>
    </row>
    <row r="658" ht="20" customHeight="1" spans="1:8" x14ac:dyDescent="0.25">
      <c r="A658" s="22" t="s">
        <v>57</v>
      </c>
      <c r="B658" s="22" t="s">
        <v>40</v>
      </c>
      <c r="C658" s="23" t="s">
        <v>605</v>
      </c>
      <c r="D658" s="6" t="s">
        <v>4</v>
      </c>
      <c r="E658" s="22" t="s">
        <v>372</v>
      </c>
      <c r="F658" s="22" t="s">
        <v>245</v>
      </c>
      <c r="G658" s="22" t="s">
        <v>74</v>
      </c>
      <c r="H658" s="32" t="s">
        <v>79</v>
      </c>
    </row>
    <row r="659" ht="20" customHeight="1" spans="1:8" x14ac:dyDescent="0.25">
      <c r="A659" s="24" t="s">
        <v>58</v>
      </c>
      <c r="B659" s="24" t="s">
        <v>42</v>
      </c>
      <c r="C659" s="25" t="s">
        <v>605</v>
      </c>
      <c r="D659" s="33" t="s">
        <v>86</v>
      </c>
      <c r="E659" s="24" t="s">
        <v>12</v>
      </c>
      <c r="F659" s="24" t="s">
        <v>12</v>
      </c>
      <c r="G659" s="24" t="s">
        <v>12</v>
      </c>
      <c r="H659" s="24" t="s">
        <v>32</v>
      </c>
    </row>
    <row r="660" ht="20" customHeight="1" spans="1:8" x14ac:dyDescent="0.25">
      <c r="A660" s="22" t="s">
        <v>59</v>
      </c>
      <c r="B660" s="22" t="s">
        <v>45</v>
      </c>
      <c r="C660" s="23" t="s">
        <v>605</v>
      </c>
      <c r="D660" s="6" t="s">
        <v>4</v>
      </c>
      <c r="E660" s="22" t="s">
        <v>375</v>
      </c>
      <c r="F660" s="22" t="s">
        <v>112</v>
      </c>
      <c r="G660" s="22" t="s">
        <v>81</v>
      </c>
      <c r="H660" s="32" t="s">
        <v>79</v>
      </c>
    </row>
    <row r="661" ht="20" customHeight="1" spans="1:8" x14ac:dyDescent="0.25">
      <c r="A661" s="24" t="s">
        <v>60</v>
      </c>
      <c r="B661" s="24" t="s">
        <v>31</v>
      </c>
      <c r="C661" s="25" t="s">
        <v>605</v>
      </c>
      <c r="D661" s="6" t="s">
        <v>4</v>
      </c>
      <c r="E661" s="24" t="s">
        <v>289</v>
      </c>
      <c r="F661" s="24" t="s">
        <v>772</v>
      </c>
      <c r="G661" s="24" t="s">
        <v>747</v>
      </c>
      <c r="H661" s="30" t="s">
        <v>79</v>
      </c>
    </row>
    <row r="662" ht="20" customHeight="1" spans="1:8" x14ac:dyDescent="0.25">
      <c r="A662" s="22" t="s">
        <v>61</v>
      </c>
      <c r="B662" s="22" t="s">
        <v>34</v>
      </c>
      <c r="C662" s="23" t="s">
        <v>605</v>
      </c>
      <c r="D662" s="6" t="s">
        <v>4</v>
      </c>
      <c r="E662" s="22" t="s">
        <v>125</v>
      </c>
      <c r="F662" s="22" t="s">
        <v>370</v>
      </c>
      <c r="G662" s="22" t="s">
        <v>947</v>
      </c>
      <c r="H662" s="32" t="s">
        <v>79</v>
      </c>
    </row>
    <row r="663" ht="20" customHeight="1" spans="1:8" x14ac:dyDescent="0.25">
      <c r="A663" s="24" t="s">
        <v>62</v>
      </c>
      <c r="B663" s="24" t="s">
        <v>36</v>
      </c>
      <c r="C663" s="25" t="s">
        <v>605</v>
      </c>
      <c r="D663" s="6" t="s">
        <v>4</v>
      </c>
      <c r="E663" s="24" t="s">
        <v>361</v>
      </c>
      <c r="F663" s="24" t="s">
        <v>1082</v>
      </c>
      <c r="G663" s="24" t="s">
        <v>1249</v>
      </c>
      <c r="H663" s="30" t="s">
        <v>79</v>
      </c>
    </row>
    <row r="664" ht="20" customHeight="1" spans="1:8" x14ac:dyDescent="0.25">
      <c r="A664" s="22" t="s">
        <v>63</v>
      </c>
      <c r="B664" s="22" t="s">
        <v>38</v>
      </c>
      <c r="C664" s="23" t="s">
        <v>605</v>
      </c>
      <c r="D664" s="6" t="s">
        <v>4</v>
      </c>
      <c r="E664" s="22" t="s">
        <v>409</v>
      </c>
      <c r="F664" s="22" t="s">
        <v>761</v>
      </c>
      <c r="G664" s="22" t="s">
        <v>203</v>
      </c>
      <c r="H664" s="32" t="s">
        <v>79</v>
      </c>
    </row>
    <row r="665" ht="20" customHeight="1" spans="1:8" x14ac:dyDescent="0.25">
      <c r="A665" s="24" t="s">
        <v>64</v>
      </c>
      <c r="B665" s="24" t="s">
        <v>40</v>
      </c>
      <c r="C665" s="25" t="s">
        <v>605</v>
      </c>
      <c r="D665" s="6" t="s">
        <v>4</v>
      </c>
      <c r="E665" s="24" t="s">
        <v>208</v>
      </c>
      <c r="F665" s="24" t="s">
        <v>363</v>
      </c>
      <c r="G665" s="24" t="s">
        <v>226</v>
      </c>
      <c r="H665" s="34" t="s">
        <v>210</v>
      </c>
    </row>
    <row r="666" ht="20" customHeight="1" spans="1:8" x14ac:dyDescent="0.25">
      <c r="A666" s="22" t="s">
        <v>65</v>
      </c>
      <c r="B666" s="22" t="s">
        <v>42</v>
      </c>
      <c r="C666" s="23" t="s">
        <v>605</v>
      </c>
      <c r="D666" s="35" t="s">
        <v>86</v>
      </c>
      <c r="E666" s="22" t="s">
        <v>12</v>
      </c>
      <c r="F666" s="22" t="s">
        <v>12</v>
      </c>
      <c r="G666" s="22" t="s">
        <v>12</v>
      </c>
      <c r="H666" s="22" t="s">
        <v>32</v>
      </c>
    </row>
    <row r="667" ht="20" customHeight="1" spans="1:8" x14ac:dyDescent="0.25">
      <c r="A667" s="24" t="s">
        <v>66</v>
      </c>
      <c r="B667" s="24" t="s">
        <v>45</v>
      </c>
      <c r="C667" s="25" t="s">
        <v>605</v>
      </c>
      <c r="D667" s="6" t="s">
        <v>4</v>
      </c>
      <c r="E667" s="24" t="s">
        <v>515</v>
      </c>
      <c r="F667" s="24" t="s">
        <v>343</v>
      </c>
      <c r="G667" s="24" t="s">
        <v>180</v>
      </c>
      <c r="H667" s="34" t="s">
        <v>517</v>
      </c>
    </row>
    <row r="668" ht="20" customHeight="1" spans="1:8" x14ac:dyDescent="0.25">
      <c r="A668" s="22" t="s">
        <v>67</v>
      </c>
      <c r="B668" s="22" t="s">
        <v>31</v>
      </c>
      <c r="C668" s="23" t="s">
        <v>605</v>
      </c>
      <c r="D668" s="6" t="s">
        <v>4</v>
      </c>
      <c r="E668" s="22" t="s">
        <v>348</v>
      </c>
      <c r="F668" s="22" t="s">
        <v>781</v>
      </c>
      <c r="G668" s="22" t="s">
        <v>1250</v>
      </c>
      <c r="H668" s="29" t="s">
        <v>351</v>
      </c>
    </row>
    <row r="669" ht="20" customHeight="1" spans="1:8" x14ac:dyDescent="0.25">
      <c r="A669" s="24" t="s">
        <v>68</v>
      </c>
      <c r="B669" s="24" t="s">
        <v>34</v>
      </c>
      <c r="C669" s="25" t="s">
        <v>605</v>
      </c>
      <c r="D669" s="6" t="s">
        <v>4</v>
      </c>
      <c r="E669" s="24" t="s">
        <v>201</v>
      </c>
      <c r="F669" s="24" t="s">
        <v>186</v>
      </c>
      <c r="G669" s="24" t="s">
        <v>147</v>
      </c>
      <c r="H669" s="34" t="s">
        <v>204</v>
      </c>
    </row>
    <row r="670" ht="22" customHeight="1" spans="1:8" x14ac:dyDescent="0.25">
      <c r="A670" s="26" t="s">
        <v>69</v>
      </c>
      <c r="B670" s="26"/>
      <c r="C670" s="26"/>
      <c r="D670" s="26"/>
      <c r="E670" s="26"/>
      <c r="F670" s="26"/>
      <c r="G670" s="27" t="s">
        <v>1251</v>
      </c>
      <c r="H670" s="28" t="s">
        <v>12</v>
      </c>
    </row>
  </sheetData>
  <mergeCells count="40">
    <mergeCell ref="A1:P1"/>
    <mergeCell ref="A2:P2"/>
    <mergeCell ref="A26:H26"/>
    <mergeCell ref="A58:F58"/>
    <mergeCell ref="A60:H60"/>
    <mergeCell ref="A92:F92"/>
    <mergeCell ref="A94:H94"/>
    <mergeCell ref="A126:F126"/>
    <mergeCell ref="A128:H128"/>
    <mergeCell ref="A160:F160"/>
    <mergeCell ref="A162:H162"/>
    <mergeCell ref="A194:F194"/>
    <mergeCell ref="A196:H196"/>
    <mergeCell ref="A228:F228"/>
    <mergeCell ref="A230:H230"/>
    <mergeCell ref="A262:F262"/>
    <mergeCell ref="A264:H264"/>
    <mergeCell ref="A296:F296"/>
    <mergeCell ref="A298:H298"/>
    <mergeCell ref="A330:F330"/>
    <mergeCell ref="A332:H332"/>
    <mergeCell ref="A364:F364"/>
    <mergeCell ref="A366:H366"/>
    <mergeCell ref="A398:F398"/>
    <mergeCell ref="A400:H400"/>
    <mergeCell ref="A432:F432"/>
    <mergeCell ref="A434:H434"/>
    <mergeCell ref="A466:F466"/>
    <mergeCell ref="A468:H468"/>
    <mergeCell ref="A500:F500"/>
    <mergeCell ref="A502:H502"/>
    <mergeCell ref="A534:F534"/>
    <mergeCell ref="A536:H536"/>
    <mergeCell ref="A568:F568"/>
    <mergeCell ref="A570:H570"/>
    <mergeCell ref="A602:F602"/>
    <mergeCell ref="A604:H604"/>
    <mergeCell ref="A636:F636"/>
    <mergeCell ref="A638:H638"/>
    <mergeCell ref="A670:F67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0"/>
  <sheetViews>
    <sheetView workbookViewId="0"/>
  </sheetViews>
  <sheetFormatPr defaultRowHeight="15" outlineLevelRow="0" outlineLevelCol="0" x14ac:dyDescent="55"/>
  <cols>
    <col min="1" max="1" width="28" customWidth="1"/>
    <col min="2" max="2" width="20" customWidth="1"/>
    <col min="3" max="4" width="13" customWidth="1"/>
    <col min="5" max="7" width="18" customWidth="1"/>
    <col min="8" max="10" width="14" customWidth="1"/>
    <col min="11" max="12" width="6" customWidth="1"/>
    <col min="13" max="13" width="28" customWidth="1"/>
    <col min="14" max="14" width="14" customWidth="1"/>
    <col min="15" max="16" width="18" customWidth="1"/>
  </cols>
  <sheetData>
    <row r="1" ht="30" customHeight="1" spans="1:16" x14ac:dyDescent="0.25">
      <c r="A1" s="1" t="s">
        <v>1252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2" customHeight="1" spans="1:16" x14ac:dyDescent="0.25">
      <c r="A2" s="2" t="s">
        <v>1253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26" customHeight="1" spans="1:1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</row>
    <row r="5" ht="22" customHeight="1" spans="1:16" x14ac:dyDescent="0.25">
      <c r="A5" s="4" t="s">
        <v>1254</v>
      </c>
      <c r="B5" s="5">
        <v>29</v>
      </c>
      <c r="C5" s="6">
        <v>23</v>
      </c>
      <c r="D5" s="7">
        <v>0</v>
      </c>
      <c r="E5" s="8">
        <v>0</v>
      </c>
      <c r="F5" s="9">
        <v>0</v>
      </c>
      <c r="G5" s="10">
        <v>0</v>
      </c>
      <c r="H5" s="11">
        <v>1</v>
      </c>
      <c r="I5" s="12">
        <v>5</v>
      </c>
      <c r="J5" s="13">
        <v>1</v>
      </c>
      <c r="K5" s="14" t="s">
        <v>12</v>
      </c>
      <c r="L5" s="14" t="s">
        <v>12</v>
      </c>
      <c r="M5" s="15">
        <v>0</v>
      </c>
      <c r="N5" s="16">
        <v>0</v>
      </c>
      <c r="O5" s="17">
        <v>0</v>
      </c>
      <c r="P5" s="18" t="s">
        <v>414</v>
      </c>
    </row>
    <row r="6" ht="22" customHeight="1" spans="1:16" x14ac:dyDescent="0.25">
      <c r="A6" s="19" t="s">
        <v>1255</v>
      </c>
      <c r="B6" s="5">
        <v>27</v>
      </c>
      <c r="C6" s="6">
        <v>21</v>
      </c>
      <c r="D6" s="7">
        <v>0</v>
      </c>
      <c r="E6" s="8">
        <v>0</v>
      </c>
      <c r="F6" s="9">
        <v>0</v>
      </c>
      <c r="G6" s="10">
        <v>0</v>
      </c>
      <c r="H6" s="11">
        <v>3</v>
      </c>
      <c r="I6" s="12">
        <v>5</v>
      </c>
      <c r="J6" s="13">
        <v>1</v>
      </c>
      <c r="K6" s="14" t="s">
        <v>12</v>
      </c>
      <c r="L6" s="14" t="s">
        <v>12</v>
      </c>
      <c r="M6" s="15">
        <v>0</v>
      </c>
      <c r="N6" s="16">
        <v>0</v>
      </c>
      <c r="O6" s="17">
        <v>0</v>
      </c>
      <c r="P6" s="18" t="s">
        <v>367</v>
      </c>
    </row>
    <row r="7" ht="22" customHeight="1" spans="1:16" x14ac:dyDescent="0.25">
      <c r="A7" s="4" t="s">
        <v>1256</v>
      </c>
      <c r="B7" s="5">
        <v>30</v>
      </c>
      <c r="C7" s="6">
        <v>24</v>
      </c>
      <c r="D7" s="7">
        <v>0</v>
      </c>
      <c r="E7" s="8">
        <v>0</v>
      </c>
      <c r="F7" s="9">
        <v>0</v>
      </c>
      <c r="G7" s="10">
        <v>0</v>
      </c>
      <c r="H7" s="11">
        <v>0</v>
      </c>
      <c r="I7" s="12">
        <v>5</v>
      </c>
      <c r="J7" s="13">
        <v>1</v>
      </c>
      <c r="K7" s="14" t="s">
        <v>12</v>
      </c>
      <c r="L7" s="14" t="s">
        <v>12</v>
      </c>
      <c r="M7" s="15">
        <v>43.5</v>
      </c>
      <c r="N7" s="16">
        <v>0</v>
      </c>
      <c r="O7" s="17">
        <v>43.5</v>
      </c>
      <c r="P7" s="18" t="s">
        <v>429</v>
      </c>
    </row>
    <row r="8" ht="22" customHeight="1" spans="1:16" x14ac:dyDescent="0.25">
      <c r="A8" s="19" t="s">
        <v>1257</v>
      </c>
      <c r="B8" s="5">
        <v>29</v>
      </c>
      <c r="C8" s="6">
        <v>20.5</v>
      </c>
      <c r="D8" s="7">
        <v>0</v>
      </c>
      <c r="E8" s="8">
        <v>3</v>
      </c>
      <c r="F8" s="9">
        <v>1</v>
      </c>
      <c r="G8" s="10">
        <v>2.5</v>
      </c>
      <c r="H8" s="11">
        <v>1</v>
      </c>
      <c r="I8" s="12">
        <v>5</v>
      </c>
      <c r="J8" s="13">
        <v>1</v>
      </c>
      <c r="K8" s="14" t="s">
        <v>12</v>
      </c>
      <c r="L8" s="14" t="s">
        <v>12</v>
      </c>
      <c r="M8" s="15">
        <v>2.5</v>
      </c>
      <c r="N8" s="16">
        <v>2.5</v>
      </c>
      <c r="O8" s="17">
        <v>0</v>
      </c>
      <c r="P8" s="18" t="s">
        <v>99</v>
      </c>
    </row>
    <row r="9" ht="22" customHeight="1" spans="1:16" x14ac:dyDescent="0.25">
      <c r="A9" s="4" t="s">
        <v>1258</v>
      </c>
      <c r="B9" s="5">
        <v>30</v>
      </c>
      <c r="C9" s="6">
        <v>24</v>
      </c>
      <c r="D9" s="7">
        <v>0</v>
      </c>
      <c r="E9" s="8">
        <v>0</v>
      </c>
      <c r="F9" s="9">
        <v>0</v>
      </c>
      <c r="G9" s="10">
        <v>0</v>
      </c>
      <c r="H9" s="11">
        <v>0</v>
      </c>
      <c r="I9" s="12">
        <v>5</v>
      </c>
      <c r="J9" s="13">
        <v>1</v>
      </c>
      <c r="K9" s="14" t="s">
        <v>12</v>
      </c>
      <c r="L9" s="14" t="s">
        <v>12</v>
      </c>
      <c r="M9" s="15">
        <v>9</v>
      </c>
      <c r="N9" s="16">
        <v>0</v>
      </c>
      <c r="O9" s="17">
        <v>9</v>
      </c>
      <c r="P9" s="18" t="s">
        <v>99</v>
      </c>
    </row>
    <row r="10" ht="22" customHeight="1" spans="1:16" x14ac:dyDescent="0.25">
      <c r="A10" s="19" t="s">
        <v>1259</v>
      </c>
      <c r="B10" s="5">
        <v>30</v>
      </c>
      <c r="C10" s="6">
        <v>24</v>
      </c>
      <c r="D10" s="7">
        <v>0</v>
      </c>
      <c r="E10" s="8">
        <v>0</v>
      </c>
      <c r="F10" s="9">
        <v>0</v>
      </c>
      <c r="G10" s="10">
        <v>0</v>
      </c>
      <c r="H10" s="11">
        <v>0</v>
      </c>
      <c r="I10" s="12">
        <v>5</v>
      </c>
      <c r="J10" s="13">
        <v>1</v>
      </c>
      <c r="K10" s="14" t="s">
        <v>12</v>
      </c>
      <c r="L10" s="14" t="s">
        <v>12</v>
      </c>
      <c r="M10" s="15">
        <v>23.5</v>
      </c>
      <c r="N10" s="16">
        <v>0</v>
      </c>
      <c r="O10" s="17">
        <v>23.5</v>
      </c>
      <c r="P10" s="18" t="s">
        <v>429</v>
      </c>
    </row>
    <row r="11" ht="22" customHeight="1" spans="1:16" x14ac:dyDescent="0.25">
      <c r="A11" s="4" t="s">
        <v>1260</v>
      </c>
      <c r="B11" s="5">
        <v>30</v>
      </c>
      <c r="C11" s="6">
        <v>25</v>
      </c>
      <c r="D11" s="7">
        <v>0</v>
      </c>
      <c r="E11" s="8">
        <v>0</v>
      </c>
      <c r="F11" s="9">
        <v>0</v>
      </c>
      <c r="G11" s="10">
        <v>0</v>
      </c>
      <c r="H11" s="11">
        <v>0</v>
      </c>
      <c r="I11" s="12">
        <v>4</v>
      </c>
      <c r="J11" s="13">
        <v>1</v>
      </c>
      <c r="K11" s="14" t="s">
        <v>12</v>
      </c>
      <c r="L11" s="14" t="s">
        <v>12</v>
      </c>
      <c r="M11" s="15">
        <v>30.5</v>
      </c>
      <c r="N11" s="16">
        <v>0</v>
      </c>
      <c r="O11" s="17">
        <v>30.5</v>
      </c>
      <c r="P11" s="18" t="s">
        <v>686</v>
      </c>
    </row>
    <row r="14" ht="26" customHeight="1" spans="1:8" x14ac:dyDescent="0.25">
      <c r="A14" s="20" t="s">
        <v>1261</v>
      </c>
      <c r="B14" s="20"/>
      <c r="C14" s="20"/>
      <c r="D14" s="20"/>
      <c r="E14" s="20"/>
      <c r="F14" s="20"/>
      <c r="G14" s="20"/>
      <c r="H14" s="20"/>
    </row>
    <row r="15" ht="22" customHeight="1" spans="1:8" x14ac:dyDescent="0.25">
      <c r="A15" s="21" t="s">
        <v>22</v>
      </c>
      <c r="B15" s="21" t="s">
        <v>23</v>
      </c>
      <c r="C15" s="21" t="s">
        <v>24</v>
      </c>
      <c r="D15" s="21" t="s">
        <v>25</v>
      </c>
      <c r="E15" s="21" t="s">
        <v>26</v>
      </c>
      <c r="F15" s="21" t="s">
        <v>27</v>
      </c>
      <c r="G15" s="21" t="s">
        <v>28</v>
      </c>
      <c r="H15" s="21" t="s">
        <v>29</v>
      </c>
    </row>
    <row r="16" ht="20" customHeight="1" spans="1:8" x14ac:dyDescent="0.25">
      <c r="A16" s="22" t="s">
        <v>30</v>
      </c>
      <c r="B16" s="22" t="s">
        <v>31</v>
      </c>
      <c r="C16" s="23" t="s">
        <v>605</v>
      </c>
      <c r="D16" s="6" t="s">
        <v>4</v>
      </c>
      <c r="E16" s="22" t="s">
        <v>12</v>
      </c>
      <c r="F16" s="22" t="s">
        <v>12</v>
      </c>
      <c r="G16" s="22" t="s">
        <v>12</v>
      </c>
      <c r="H16" s="22" t="s">
        <v>32</v>
      </c>
    </row>
    <row r="17" ht="20" customHeight="1" spans="1:8" x14ac:dyDescent="0.25">
      <c r="A17" s="24" t="s">
        <v>33</v>
      </c>
      <c r="B17" s="24" t="s">
        <v>34</v>
      </c>
      <c r="C17" s="25" t="s">
        <v>605</v>
      </c>
      <c r="D17" s="6" t="s">
        <v>4</v>
      </c>
      <c r="E17" s="24" t="s">
        <v>12</v>
      </c>
      <c r="F17" s="24" t="s">
        <v>12</v>
      </c>
      <c r="G17" s="24" t="s">
        <v>12</v>
      </c>
      <c r="H17" s="24" t="s">
        <v>32</v>
      </c>
    </row>
    <row r="18" ht="20" customHeight="1" spans="1:8" x14ac:dyDescent="0.25">
      <c r="A18" s="22" t="s">
        <v>35</v>
      </c>
      <c r="B18" s="22" t="s">
        <v>36</v>
      </c>
      <c r="C18" s="23" t="s">
        <v>605</v>
      </c>
      <c r="D18" s="6" t="s">
        <v>4</v>
      </c>
      <c r="E18" s="22" t="s">
        <v>12</v>
      </c>
      <c r="F18" s="22" t="s">
        <v>12</v>
      </c>
      <c r="G18" s="22" t="s">
        <v>12</v>
      </c>
      <c r="H18" s="22" t="s">
        <v>32</v>
      </c>
    </row>
    <row r="19" ht="20" customHeight="1" spans="1:8" x14ac:dyDescent="0.25">
      <c r="A19" s="24" t="s">
        <v>37</v>
      </c>
      <c r="B19" s="24" t="s">
        <v>38</v>
      </c>
      <c r="C19" s="25" t="s">
        <v>605</v>
      </c>
      <c r="D19" s="31" t="s">
        <v>11</v>
      </c>
      <c r="E19" s="24" t="s">
        <v>12</v>
      </c>
      <c r="F19" s="24" t="s">
        <v>12</v>
      </c>
      <c r="G19" s="24" t="s">
        <v>12</v>
      </c>
      <c r="H19" s="24" t="s">
        <v>32</v>
      </c>
    </row>
    <row r="20" ht="20" customHeight="1" spans="1:8" x14ac:dyDescent="0.25">
      <c r="A20" s="22" t="s">
        <v>39</v>
      </c>
      <c r="B20" s="22" t="s">
        <v>40</v>
      </c>
      <c r="C20" s="23" t="s">
        <v>605</v>
      </c>
      <c r="D20" s="6" t="s">
        <v>4</v>
      </c>
      <c r="E20" s="22" t="s">
        <v>12</v>
      </c>
      <c r="F20" s="22" t="s">
        <v>12</v>
      </c>
      <c r="G20" s="22" t="s">
        <v>12</v>
      </c>
      <c r="H20" s="22" t="s">
        <v>32</v>
      </c>
    </row>
    <row r="21" ht="20" customHeight="1" spans="1:8" x14ac:dyDescent="0.25">
      <c r="A21" s="24" t="s">
        <v>41</v>
      </c>
      <c r="B21" s="24" t="s">
        <v>42</v>
      </c>
      <c r="C21" s="25" t="s">
        <v>605</v>
      </c>
      <c r="D21" s="33" t="s">
        <v>86</v>
      </c>
      <c r="E21" s="24" t="s">
        <v>12</v>
      </c>
      <c r="F21" s="24" t="s">
        <v>12</v>
      </c>
      <c r="G21" s="24" t="s">
        <v>12</v>
      </c>
      <c r="H21" s="24" t="s">
        <v>32</v>
      </c>
    </row>
    <row r="22" ht="20" customHeight="1" spans="1:8" x14ac:dyDescent="0.25">
      <c r="A22" s="22" t="s">
        <v>44</v>
      </c>
      <c r="B22" s="22" t="s">
        <v>45</v>
      </c>
      <c r="C22" s="23" t="s">
        <v>605</v>
      </c>
      <c r="D22" s="6" t="s">
        <v>4</v>
      </c>
      <c r="E22" s="22" t="s">
        <v>12</v>
      </c>
      <c r="F22" s="22" t="s">
        <v>12</v>
      </c>
      <c r="G22" s="22" t="s">
        <v>12</v>
      </c>
      <c r="H22" s="22" t="s">
        <v>32</v>
      </c>
    </row>
    <row r="23" ht="20" customHeight="1" spans="1:8" x14ac:dyDescent="0.25">
      <c r="A23" s="24" t="s">
        <v>46</v>
      </c>
      <c r="B23" s="24" t="s">
        <v>31</v>
      </c>
      <c r="C23" s="25" t="s">
        <v>605</v>
      </c>
      <c r="D23" s="6" t="s">
        <v>4</v>
      </c>
      <c r="E23" s="24" t="s">
        <v>12</v>
      </c>
      <c r="F23" s="24" t="s">
        <v>12</v>
      </c>
      <c r="G23" s="24" t="s">
        <v>12</v>
      </c>
      <c r="H23" s="24" t="s">
        <v>32</v>
      </c>
    </row>
    <row r="24" ht="20" customHeight="1" spans="1:8" x14ac:dyDescent="0.25">
      <c r="A24" s="22" t="s">
        <v>47</v>
      </c>
      <c r="B24" s="22" t="s">
        <v>34</v>
      </c>
      <c r="C24" s="23" t="s">
        <v>605</v>
      </c>
      <c r="D24" s="6" t="s">
        <v>4</v>
      </c>
      <c r="E24" s="22" t="s">
        <v>12</v>
      </c>
      <c r="F24" s="22" t="s">
        <v>12</v>
      </c>
      <c r="G24" s="22" t="s">
        <v>12</v>
      </c>
      <c r="H24" s="22" t="s">
        <v>32</v>
      </c>
    </row>
    <row r="25" ht="20" customHeight="1" spans="1:8" x14ac:dyDescent="0.25">
      <c r="A25" s="24" t="s">
        <v>48</v>
      </c>
      <c r="B25" s="24" t="s">
        <v>36</v>
      </c>
      <c r="C25" s="25" t="s">
        <v>605</v>
      </c>
      <c r="D25" s="6" t="s">
        <v>4</v>
      </c>
      <c r="E25" s="24" t="s">
        <v>12</v>
      </c>
      <c r="F25" s="24" t="s">
        <v>12</v>
      </c>
      <c r="G25" s="24" t="s">
        <v>12</v>
      </c>
      <c r="H25" s="24" t="s">
        <v>32</v>
      </c>
    </row>
    <row r="26" ht="20" customHeight="1" spans="1:8" x14ac:dyDescent="0.25">
      <c r="A26" s="22" t="s">
        <v>49</v>
      </c>
      <c r="B26" s="22" t="s">
        <v>38</v>
      </c>
      <c r="C26" s="23" t="s">
        <v>605</v>
      </c>
      <c r="D26" s="6" t="s">
        <v>4</v>
      </c>
      <c r="E26" s="22" t="s">
        <v>12</v>
      </c>
      <c r="F26" s="22" t="s">
        <v>12</v>
      </c>
      <c r="G26" s="22" t="s">
        <v>12</v>
      </c>
      <c r="H26" s="22" t="s">
        <v>32</v>
      </c>
    </row>
    <row r="27" ht="20" customHeight="1" spans="1:8" x14ac:dyDescent="0.25">
      <c r="A27" s="24" t="s">
        <v>50</v>
      </c>
      <c r="B27" s="24" t="s">
        <v>40</v>
      </c>
      <c r="C27" s="25" t="s">
        <v>605</v>
      </c>
      <c r="D27" s="33" t="s">
        <v>86</v>
      </c>
      <c r="E27" s="24" t="s">
        <v>12</v>
      </c>
      <c r="F27" s="24" t="s">
        <v>12</v>
      </c>
      <c r="G27" s="24" t="s">
        <v>12</v>
      </c>
      <c r="H27" s="24" t="s">
        <v>32</v>
      </c>
    </row>
    <row r="28" ht="20" customHeight="1" spans="1:8" x14ac:dyDescent="0.25">
      <c r="A28" s="22" t="s">
        <v>51</v>
      </c>
      <c r="B28" s="22" t="s">
        <v>42</v>
      </c>
      <c r="C28" s="23" t="s">
        <v>605</v>
      </c>
      <c r="D28" s="35" t="s">
        <v>86</v>
      </c>
      <c r="E28" s="22" t="s">
        <v>12</v>
      </c>
      <c r="F28" s="22" t="s">
        <v>12</v>
      </c>
      <c r="G28" s="22" t="s">
        <v>12</v>
      </c>
      <c r="H28" s="22" t="s">
        <v>32</v>
      </c>
    </row>
    <row r="29" ht="20" customHeight="1" spans="1:8" x14ac:dyDescent="0.25">
      <c r="A29" s="24" t="s">
        <v>52</v>
      </c>
      <c r="B29" s="24" t="s">
        <v>45</v>
      </c>
      <c r="C29" s="25" t="s">
        <v>605</v>
      </c>
      <c r="D29" s="16" t="s">
        <v>43</v>
      </c>
      <c r="E29" s="24" t="s">
        <v>12</v>
      </c>
      <c r="F29" s="24" t="s">
        <v>12</v>
      </c>
      <c r="G29" s="24" t="s">
        <v>12</v>
      </c>
      <c r="H29" s="24" t="s">
        <v>32</v>
      </c>
    </row>
    <row r="30" ht="20" customHeight="1" spans="1:8" x14ac:dyDescent="0.25">
      <c r="A30" s="22" t="s">
        <v>53</v>
      </c>
      <c r="B30" s="22" t="s">
        <v>31</v>
      </c>
      <c r="C30" s="23" t="s">
        <v>605</v>
      </c>
      <c r="D30" s="6" t="s">
        <v>4</v>
      </c>
      <c r="E30" s="22" t="s">
        <v>12</v>
      </c>
      <c r="F30" s="22" t="s">
        <v>12</v>
      </c>
      <c r="G30" s="22" t="s">
        <v>12</v>
      </c>
      <c r="H30" s="22" t="s">
        <v>32</v>
      </c>
    </row>
    <row r="31" ht="20" customHeight="1" spans="1:8" x14ac:dyDescent="0.25">
      <c r="A31" s="24" t="s">
        <v>54</v>
      </c>
      <c r="B31" s="24" t="s">
        <v>34</v>
      </c>
      <c r="C31" s="25" t="s">
        <v>605</v>
      </c>
      <c r="D31" s="6" t="s">
        <v>4</v>
      </c>
      <c r="E31" s="24" t="s">
        <v>12</v>
      </c>
      <c r="F31" s="24" t="s">
        <v>12</v>
      </c>
      <c r="G31" s="24" t="s">
        <v>12</v>
      </c>
      <c r="H31" s="24" t="s">
        <v>32</v>
      </c>
    </row>
    <row r="32" ht="20" customHeight="1" spans="1:8" x14ac:dyDescent="0.25">
      <c r="A32" s="22" t="s">
        <v>55</v>
      </c>
      <c r="B32" s="22" t="s">
        <v>36</v>
      </c>
      <c r="C32" s="23" t="s">
        <v>605</v>
      </c>
      <c r="D32" s="6" t="s">
        <v>4</v>
      </c>
      <c r="E32" s="22" t="s">
        <v>12</v>
      </c>
      <c r="F32" s="22" t="s">
        <v>12</v>
      </c>
      <c r="G32" s="22" t="s">
        <v>12</v>
      </c>
      <c r="H32" s="22" t="s">
        <v>32</v>
      </c>
    </row>
    <row r="33" ht="20" customHeight="1" spans="1:8" x14ac:dyDescent="0.25">
      <c r="A33" s="24" t="s">
        <v>56</v>
      </c>
      <c r="B33" s="24" t="s">
        <v>38</v>
      </c>
      <c r="C33" s="25" t="s">
        <v>605</v>
      </c>
      <c r="D33" s="6" t="s">
        <v>4</v>
      </c>
      <c r="E33" s="24" t="s">
        <v>12</v>
      </c>
      <c r="F33" s="24" t="s">
        <v>12</v>
      </c>
      <c r="G33" s="24" t="s">
        <v>12</v>
      </c>
      <c r="H33" s="24" t="s">
        <v>32</v>
      </c>
    </row>
    <row r="34" ht="20" customHeight="1" spans="1:8" x14ac:dyDescent="0.25">
      <c r="A34" s="22" t="s">
        <v>57</v>
      </c>
      <c r="B34" s="22" t="s">
        <v>40</v>
      </c>
      <c r="C34" s="23" t="s">
        <v>603</v>
      </c>
      <c r="D34" s="6" t="s">
        <v>4</v>
      </c>
      <c r="E34" s="22" t="s">
        <v>353</v>
      </c>
      <c r="F34" s="22" t="s">
        <v>354</v>
      </c>
      <c r="G34" s="22" t="s">
        <v>187</v>
      </c>
      <c r="H34" s="29" t="s">
        <v>355</v>
      </c>
    </row>
    <row r="35" ht="20" customHeight="1" spans="1:8" x14ac:dyDescent="0.25">
      <c r="A35" s="24" t="s">
        <v>58</v>
      </c>
      <c r="B35" s="24" t="s">
        <v>42</v>
      </c>
      <c r="C35" s="25" t="s">
        <v>605</v>
      </c>
      <c r="D35" s="33" t="s">
        <v>86</v>
      </c>
      <c r="E35" s="24" t="s">
        <v>12</v>
      </c>
      <c r="F35" s="24" t="s">
        <v>12</v>
      </c>
      <c r="G35" s="24" t="s">
        <v>12</v>
      </c>
      <c r="H35" s="24" t="s">
        <v>32</v>
      </c>
    </row>
    <row r="36" ht="20" customHeight="1" spans="1:8" x14ac:dyDescent="0.25">
      <c r="A36" s="22" t="s">
        <v>59</v>
      </c>
      <c r="B36" s="22" t="s">
        <v>45</v>
      </c>
      <c r="C36" s="23" t="s">
        <v>603</v>
      </c>
      <c r="D36" s="6" t="s">
        <v>4</v>
      </c>
      <c r="E36" s="22" t="s">
        <v>639</v>
      </c>
      <c r="F36" s="22" t="s">
        <v>133</v>
      </c>
      <c r="G36" s="22" t="s">
        <v>259</v>
      </c>
      <c r="H36" s="29" t="s">
        <v>1262</v>
      </c>
    </row>
    <row r="37" ht="20" customHeight="1" spans="1:8" x14ac:dyDescent="0.25">
      <c r="A37" s="24" t="s">
        <v>60</v>
      </c>
      <c r="B37" s="24" t="s">
        <v>31</v>
      </c>
      <c r="C37" s="25" t="s">
        <v>603</v>
      </c>
      <c r="D37" s="6" t="s">
        <v>4</v>
      </c>
      <c r="E37" s="24" t="s">
        <v>564</v>
      </c>
      <c r="F37" s="24" t="s">
        <v>354</v>
      </c>
      <c r="G37" s="24" t="s">
        <v>259</v>
      </c>
      <c r="H37" s="34" t="s">
        <v>1263</v>
      </c>
    </row>
    <row r="38" ht="20" customHeight="1" spans="1:8" x14ac:dyDescent="0.25">
      <c r="A38" s="22" t="s">
        <v>61</v>
      </c>
      <c r="B38" s="22" t="s">
        <v>34</v>
      </c>
      <c r="C38" s="23" t="s">
        <v>603</v>
      </c>
      <c r="D38" s="6" t="s">
        <v>4</v>
      </c>
      <c r="E38" s="22" t="s">
        <v>362</v>
      </c>
      <c r="F38" s="22" t="s">
        <v>374</v>
      </c>
      <c r="G38" s="22" t="s">
        <v>99</v>
      </c>
      <c r="H38" s="29" t="s">
        <v>875</v>
      </c>
    </row>
    <row r="39" ht="20" customHeight="1" spans="1:8" x14ac:dyDescent="0.25">
      <c r="A39" s="24" t="s">
        <v>62</v>
      </c>
      <c r="B39" s="24" t="s">
        <v>36</v>
      </c>
      <c r="C39" s="25" t="s">
        <v>603</v>
      </c>
      <c r="D39" s="6" t="s">
        <v>4</v>
      </c>
      <c r="E39" s="24" t="s">
        <v>372</v>
      </c>
      <c r="F39" s="24" t="s">
        <v>373</v>
      </c>
      <c r="G39" s="24" t="s">
        <v>194</v>
      </c>
      <c r="H39" s="34" t="s">
        <v>606</v>
      </c>
    </row>
    <row r="40" ht="20" customHeight="1" spans="1:8" x14ac:dyDescent="0.25">
      <c r="A40" s="22" t="s">
        <v>63</v>
      </c>
      <c r="B40" s="22" t="s">
        <v>38</v>
      </c>
      <c r="C40" s="23" t="s">
        <v>603</v>
      </c>
      <c r="D40" s="6" t="s">
        <v>4</v>
      </c>
      <c r="E40" s="22" t="s">
        <v>401</v>
      </c>
      <c r="F40" s="22" t="s">
        <v>280</v>
      </c>
      <c r="G40" s="22" t="s">
        <v>329</v>
      </c>
      <c r="H40" s="29" t="s">
        <v>1264</v>
      </c>
    </row>
    <row r="41" ht="20" customHeight="1" spans="1:8" x14ac:dyDescent="0.25">
      <c r="A41" s="24" t="s">
        <v>64</v>
      </c>
      <c r="B41" s="24" t="s">
        <v>40</v>
      </c>
      <c r="C41" s="25" t="s">
        <v>603</v>
      </c>
      <c r="D41" s="6" t="s">
        <v>4</v>
      </c>
      <c r="E41" s="24" t="s">
        <v>361</v>
      </c>
      <c r="F41" s="24" t="s">
        <v>321</v>
      </c>
      <c r="G41" s="24" t="s">
        <v>99</v>
      </c>
      <c r="H41" s="34" t="s">
        <v>1265</v>
      </c>
    </row>
    <row r="42" ht="20" customHeight="1" spans="1:8" x14ac:dyDescent="0.25">
      <c r="A42" s="22" t="s">
        <v>65</v>
      </c>
      <c r="B42" s="22" t="s">
        <v>42</v>
      </c>
      <c r="C42" s="23" t="s">
        <v>605</v>
      </c>
      <c r="D42" s="35" t="s">
        <v>86</v>
      </c>
      <c r="E42" s="22" t="s">
        <v>12</v>
      </c>
      <c r="F42" s="22" t="s">
        <v>12</v>
      </c>
      <c r="G42" s="22" t="s">
        <v>12</v>
      </c>
      <c r="H42" s="22" t="s">
        <v>32</v>
      </c>
    </row>
    <row r="43" ht="20" customHeight="1" spans="1:8" x14ac:dyDescent="0.25">
      <c r="A43" s="24" t="s">
        <v>66</v>
      </c>
      <c r="B43" s="24" t="s">
        <v>45</v>
      </c>
      <c r="C43" s="25" t="s">
        <v>603</v>
      </c>
      <c r="D43" s="6" t="s">
        <v>4</v>
      </c>
      <c r="E43" s="24" t="s">
        <v>387</v>
      </c>
      <c r="F43" s="24" t="s">
        <v>386</v>
      </c>
      <c r="G43" s="24" t="s">
        <v>250</v>
      </c>
      <c r="H43" s="30" t="s">
        <v>79</v>
      </c>
    </row>
    <row r="44" ht="20" customHeight="1" spans="1:8" x14ac:dyDescent="0.25">
      <c r="A44" s="22" t="s">
        <v>67</v>
      </c>
      <c r="B44" s="22" t="s">
        <v>31</v>
      </c>
      <c r="C44" s="23" t="s">
        <v>603</v>
      </c>
      <c r="D44" s="6" t="s">
        <v>4</v>
      </c>
      <c r="E44" s="22" t="s">
        <v>576</v>
      </c>
      <c r="F44" s="22" t="s">
        <v>12</v>
      </c>
      <c r="G44" s="22" t="s">
        <v>12</v>
      </c>
      <c r="H44" s="29" t="s">
        <v>1266</v>
      </c>
    </row>
    <row r="45" ht="20" customHeight="1" spans="1:8" x14ac:dyDescent="0.25">
      <c r="A45" s="24" t="s">
        <v>68</v>
      </c>
      <c r="B45" s="24" t="s">
        <v>34</v>
      </c>
      <c r="C45" s="25" t="s">
        <v>603</v>
      </c>
      <c r="D45" s="6" t="s">
        <v>4</v>
      </c>
      <c r="E45" s="24" t="s">
        <v>372</v>
      </c>
      <c r="F45" s="24" t="s">
        <v>1267</v>
      </c>
      <c r="G45" s="24" t="s">
        <v>1056</v>
      </c>
      <c r="H45" s="34" t="s">
        <v>606</v>
      </c>
    </row>
    <row r="46" ht="22" customHeight="1" spans="1:8" x14ac:dyDescent="0.25">
      <c r="A46" s="26" t="s">
        <v>69</v>
      </c>
      <c r="B46" s="26"/>
      <c r="C46" s="26"/>
      <c r="D46" s="26"/>
      <c r="E46" s="26"/>
      <c r="F46" s="26"/>
      <c r="G46" s="27" t="s">
        <v>1268</v>
      </c>
      <c r="H46" s="28" t="s">
        <v>12</v>
      </c>
    </row>
    <row r="48" ht="26" customHeight="1" spans="1:8" x14ac:dyDescent="0.25">
      <c r="A48" s="20" t="s">
        <v>1269</v>
      </c>
      <c r="B48" s="20"/>
      <c r="C48" s="20"/>
      <c r="D48" s="20"/>
      <c r="E48" s="20"/>
      <c r="F48" s="20"/>
      <c r="G48" s="20"/>
      <c r="H48" s="20"/>
    </row>
    <row r="49" ht="22" customHeight="1" spans="1:8" x14ac:dyDescent="0.25">
      <c r="A49" s="21" t="s">
        <v>22</v>
      </c>
      <c r="B49" s="21" t="s">
        <v>23</v>
      </c>
      <c r="C49" s="21" t="s">
        <v>24</v>
      </c>
      <c r="D49" s="21" t="s">
        <v>25</v>
      </c>
      <c r="E49" s="21" t="s">
        <v>26</v>
      </c>
      <c r="F49" s="21" t="s">
        <v>27</v>
      </c>
      <c r="G49" s="21" t="s">
        <v>28</v>
      </c>
      <c r="H49" s="21" t="s">
        <v>29</v>
      </c>
    </row>
    <row r="50" ht="20" customHeight="1" spans="1:8" x14ac:dyDescent="0.25">
      <c r="A50" s="22" t="s">
        <v>30</v>
      </c>
      <c r="B50" s="22" t="s">
        <v>31</v>
      </c>
      <c r="C50" s="23" t="s">
        <v>605</v>
      </c>
      <c r="D50" s="6" t="s">
        <v>4</v>
      </c>
      <c r="E50" s="22" t="s">
        <v>12</v>
      </c>
      <c r="F50" s="22" t="s">
        <v>12</v>
      </c>
      <c r="G50" s="22" t="s">
        <v>12</v>
      </c>
      <c r="H50" s="22" t="s">
        <v>32</v>
      </c>
    </row>
    <row r="51" ht="20" customHeight="1" spans="1:8" x14ac:dyDescent="0.25">
      <c r="A51" s="24" t="s">
        <v>33</v>
      </c>
      <c r="B51" s="24" t="s">
        <v>34</v>
      </c>
      <c r="C51" s="25" t="s">
        <v>605</v>
      </c>
      <c r="D51" s="6" t="s">
        <v>4</v>
      </c>
      <c r="E51" s="24" t="s">
        <v>12</v>
      </c>
      <c r="F51" s="24" t="s">
        <v>12</v>
      </c>
      <c r="G51" s="24" t="s">
        <v>12</v>
      </c>
      <c r="H51" s="24" t="s">
        <v>32</v>
      </c>
    </row>
    <row r="52" ht="20" customHeight="1" spans="1:8" x14ac:dyDescent="0.25">
      <c r="A52" s="22" t="s">
        <v>35</v>
      </c>
      <c r="B52" s="22" t="s">
        <v>36</v>
      </c>
      <c r="C52" s="23" t="s">
        <v>603</v>
      </c>
      <c r="D52" s="6" t="s">
        <v>4</v>
      </c>
      <c r="E52" s="22" t="s">
        <v>1270</v>
      </c>
      <c r="F52" s="22" t="s">
        <v>153</v>
      </c>
      <c r="G52" s="22" t="s">
        <v>1271</v>
      </c>
      <c r="H52" s="29" t="s">
        <v>1272</v>
      </c>
    </row>
    <row r="53" ht="20" customHeight="1" spans="1:8" x14ac:dyDescent="0.25">
      <c r="A53" s="24" t="s">
        <v>37</v>
      </c>
      <c r="B53" s="24" t="s">
        <v>38</v>
      </c>
      <c r="C53" s="25" t="s">
        <v>603</v>
      </c>
      <c r="D53" s="31" t="s">
        <v>11</v>
      </c>
      <c r="E53" s="24" t="s">
        <v>12</v>
      </c>
      <c r="F53" s="24" t="s">
        <v>12</v>
      </c>
      <c r="G53" s="24" t="s">
        <v>12</v>
      </c>
      <c r="H53" s="24" t="s">
        <v>32</v>
      </c>
    </row>
    <row r="54" ht="20" customHeight="1" spans="1:8" x14ac:dyDescent="0.25">
      <c r="A54" s="22" t="s">
        <v>39</v>
      </c>
      <c r="B54" s="22" t="s">
        <v>40</v>
      </c>
      <c r="C54" s="23" t="s">
        <v>605</v>
      </c>
      <c r="D54" s="6" t="s">
        <v>4</v>
      </c>
      <c r="E54" s="22" t="s">
        <v>397</v>
      </c>
      <c r="F54" s="22" t="s">
        <v>317</v>
      </c>
      <c r="G54" s="22" t="s">
        <v>171</v>
      </c>
      <c r="H54" s="32" t="s">
        <v>79</v>
      </c>
    </row>
    <row r="55" ht="20" customHeight="1" spans="1:8" x14ac:dyDescent="0.25">
      <c r="A55" s="24" t="s">
        <v>41</v>
      </c>
      <c r="B55" s="24" t="s">
        <v>42</v>
      </c>
      <c r="C55" s="25" t="s">
        <v>605</v>
      </c>
      <c r="D55" s="33" t="s">
        <v>86</v>
      </c>
      <c r="E55" s="24" t="s">
        <v>12</v>
      </c>
      <c r="F55" s="24" t="s">
        <v>12</v>
      </c>
      <c r="G55" s="24" t="s">
        <v>12</v>
      </c>
      <c r="H55" s="24" t="s">
        <v>32</v>
      </c>
    </row>
    <row r="56" ht="20" customHeight="1" spans="1:8" x14ac:dyDescent="0.25">
      <c r="A56" s="22" t="s">
        <v>44</v>
      </c>
      <c r="B56" s="22" t="s">
        <v>45</v>
      </c>
      <c r="C56" s="23" t="s">
        <v>605</v>
      </c>
      <c r="D56" s="6" t="s">
        <v>4</v>
      </c>
      <c r="E56" s="22" t="s">
        <v>377</v>
      </c>
      <c r="F56" s="22" t="s">
        <v>384</v>
      </c>
      <c r="G56" s="22" t="s">
        <v>214</v>
      </c>
      <c r="H56" s="29" t="s">
        <v>378</v>
      </c>
    </row>
    <row r="57" ht="20" customHeight="1" spans="1:8" x14ac:dyDescent="0.25">
      <c r="A57" s="24" t="s">
        <v>46</v>
      </c>
      <c r="B57" s="24" t="s">
        <v>31</v>
      </c>
      <c r="C57" s="25" t="s">
        <v>605</v>
      </c>
      <c r="D57" s="6" t="s">
        <v>4</v>
      </c>
      <c r="E57" s="24" t="s">
        <v>353</v>
      </c>
      <c r="F57" s="24" t="s">
        <v>386</v>
      </c>
      <c r="G57" s="24" t="s">
        <v>226</v>
      </c>
      <c r="H57" s="34" t="s">
        <v>355</v>
      </c>
    </row>
    <row r="58" ht="20" customHeight="1" spans="1:8" x14ac:dyDescent="0.25">
      <c r="A58" s="22" t="s">
        <v>47</v>
      </c>
      <c r="B58" s="22" t="s">
        <v>34</v>
      </c>
      <c r="C58" s="23" t="s">
        <v>605</v>
      </c>
      <c r="D58" s="6" t="s">
        <v>4</v>
      </c>
      <c r="E58" s="22" t="s">
        <v>387</v>
      </c>
      <c r="F58" s="22" t="s">
        <v>354</v>
      </c>
      <c r="G58" s="22" t="s">
        <v>206</v>
      </c>
      <c r="H58" s="32" t="s">
        <v>79</v>
      </c>
    </row>
    <row r="59" ht="20" customHeight="1" spans="1:8" x14ac:dyDescent="0.25">
      <c r="A59" s="24" t="s">
        <v>48</v>
      </c>
      <c r="B59" s="24" t="s">
        <v>36</v>
      </c>
      <c r="C59" s="25" t="s">
        <v>605</v>
      </c>
      <c r="D59" s="6" t="s">
        <v>4</v>
      </c>
      <c r="E59" s="24" t="s">
        <v>201</v>
      </c>
      <c r="F59" s="24" t="s">
        <v>112</v>
      </c>
      <c r="G59" s="24" t="s">
        <v>514</v>
      </c>
      <c r="H59" s="34" t="s">
        <v>204</v>
      </c>
    </row>
    <row r="60" ht="20" customHeight="1" spans="1:8" x14ac:dyDescent="0.25">
      <c r="A60" s="22" t="s">
        <v>49</v>
      </c>
      <c r="B60" s="22" t="s">
        <v>38</v>
      </c>
      <c r="C60" s="23" t="s">
        <v>605</v>
      </c>
      <c r="D60" s="6" t="s">
        <v>4</v>
      </c>
      <c r="E60" s="22" t="s">
        <v>561</v>
      </c>
      <c r="F60" s="22" t="s">
        <v>621</v>
      </c>
      <c r="G60" s="22" t="s">
        <v>261</v>
      </c>
      <c r="H60" s="29" t="s">
        <v>622</v>
      </c>
    </row>
    <row r="61" ht="20" customHeight="1" spans="1:8" x14ac:dyDescent="0.25">
      <c r="A61" s="24" t="s">
        <v>50</v>
      </c>
      <c r="B61" s="24" t="s">
        <v>40</v>
      </c>
      <c r="C61" s="25" t="s">
        <v>605</v>
      </c>
      <c r="D61" s="33" t="s">
        <v>86</v>
      </c>
      <c r="E61" s="24" t="s">
        <v>12</v>
      </c>
      <c r="F61" s="24" t="s">
        <v>12</v>
      </c>
      <c r="G61" s="24" t="s">
        <v>12</v>
      </c>
      <c r="H61" s="24" t="s">
        <v>32</v>
      </c>
    </row>
    <row r="62" ht="20" customHeight="1" spans="1:8" x14ac:dyDescent="0.25">
      <c r="A62" s="22" t="s">
        <v>51</v>
      </c>
      <c r="B62" s="22" t="s">
        <v>42</v>
      </c>
      <c r="C62" s="23" t="s">
        <v>605</v>
      </c>
      <c r="D62" s="35" t="s">
        <v>86</v>
      </c>
      <c r="E62" s="22" t="s">
        <v>12</v>
      </c>
      <c r="F62" s="22" t="s">
        <v>12</v>
      </c>
      <c r="G62" s="22" t="s">
        <v>12</v>
      </c>
      <c r="H62" s="22" t="s">
        <v>32</v>
      </c>
    </row>
    <row r="63" ht="20" customHeight="1" spans="1:8" x14ac:dyDescent="0.25">
      <c r="A63" s="24" t="s">
        <v>52</v>
      </c>
      <c r="B63" s="24" t="s">
        <v>45</v>
      </c>
      <c r="C63" s="25" t="s">
        <v>605</v>
      </c>
      <c r="D63" s="6" t="s">
        <v>4</v>
      </c>
      <c r="E63" s="24" t="s">
        <v>340</v>
      </c>
      <c r="F63" s="24" t="s">
        <v>402</v>
      </c>
      <c r="G63" s="24" t="s">
        <v>973</v>
      </c>
      <c r="H63" s="34" t="s">
        <v>342</v>
      </c>
    </row>
    <row r="64" ht="20" customHeight="1" spans="1:8" x14ac:dyDescent="0.25">
      <c r="A64" s="22" t="s">
        <v>53</v>
      </c>
      <c r="B64" s="22" t="s">
        <v>31</v>
      </c>
      <c r="C64" s="23" t="s">
        <v>605</v>
      </c>
      <c r="D64" s="6" t="s">
        <v>4</v>
      </c>
      <c r="E64" s="22" t="s">
        <v>644</v>
      </c>
      <c r="F64" s="22" t="s">
        <v>231</v>
      </c>
      <c r="G64" s="22" t="s">
        <v>174</v>
      </c>
      <c r="H64" s="29" t="s">
        <v>645</v>
      </c>
    </row>
    <row r="65" ht="20" customHeight="1" spans="1:8" x14ac:dyDescent="0.25">
      <c r="A65" s="24" t="s">
        <v>54</v>
      </c>
      <c r="B65" s="24" t="s">
        <v>34</v>
      </c>
      <c r="C65" s="25" t="s">
        <v>605</v>
      </c>
      <c r="D65" s="6" t="s">
        <v>4</v>
      </c>
      <c r="E65" s="24" t="s">
        <v>644</v>
      </c>
      <c r="F65" s="24" t="s">
        <v>519</v>
      </c>
      <c r="G65" s="24" t="s">
        <v>99</v>
      </c>
      <c r="H65" s="34" t="s">
        <v>645</v>
      </c>
    </row>
    <row r="66" ht="20" customHeight="1" spans="1:8" x14ac:dyDescent="0.25">
      <c r="A66" s="22" t="s">
        <v>55</v>
      </c>
      <c r="B66" s="22" t="s">
        <v>36</v>
      </c>
      <c r="C66" s="23" t="s">
        <v>605</v>
      </c>
      <c r="D66" s="6" t="s">
        <v>4</v>
      </c>
      <c r="E66" s="22" t="s">
        <v>216</v>
      </c>
      <c r="F66" s="22" t="s">
        <v>164</v>
      </c>
      <c r="G66" s="22" t="s">
        <v>99</v>
      </c>
      <c r="H66" s="29" t="s">
        <v>217</v>
      </c>
    </row>
    <row r="67" ht="20" customHeight="1" spans="1:8" x14ac:dyDescent="0.25">
      <c r="A67" s="24" t="s">
        <v>56</v>
      </c>
      <c r="B67" s="24" t="s">
        <v>38</v>
      </c>
      <c r="C67" s="25" t="s">
        <v>605</v>
      </c>
      <c r="D67" s="6" t="s">
        <v>4</v>
      </c>
      <c r="E67" s="24" t="s">
        <v>1273</v>
      </c>
      <c r="F67" s="24" t="s">
        <v>235</v>
      </c>
      <c r="G67" s="24" t="s">
        <v>1274</v>
      </c>
      <c r="H67" s="34" t="s">
        <v>1275</v>
      </c>
    </row>
    <row r="68" ht="20" customHeight="1" spans="1:8" x14ac:dyDescent="0.25">
      <c r="A68" s="22" t="s">
        <v>57</v>
      </c>
      <c r="B68" s="22" t="s">
        <v>40</v>
      </c>
      <c r="C68" s="23" t="s">
        <v>605</v>
      </c>
      <c r="D68" s="6" t="s">
        <v>4</v>
      </c>
      <c r="E68" s="22" t="s">
        <v>564</v>
      </c>
      <c r="F68" s="22" t="s">
        <v>354</v>
      </c>
      <c r="G68" s="22" t="s">
        <v>99</v>
      </c>
      <c r="H68" s="32" t="s">
        <v>79</v>
      </c>
    </row>
    <row r="69" ht="20" customHeight="1" spans="1:8" x14ac:dyDescent="0.25">
      <c r="A69" s="24" t="s">
        <v>58</v>
      </c>
      <c r="B69" s="24" t="s">
        <v>42</v>
      </c>
      <c r="C69" s="25" t="s">
        <v>605</v>
      </c>
      <c r="D69" s="33" t="s">
        <v>86</v>
      </c>
      <c r="E69" s="24" t="s">
        <v>12</v>
      </c>
      <c r="F69" s="24" t="s">
        <v>12</v>
      </c>
      <c r="G69" s="24" t="s">
        <v>12</v>
      </c>
      <c r="H69" s="24" t="s">
        <v>32</v>
      </c>
    </row>
    <row r="70" ht="20" customHeight="1" spans="1:8" x14ac:dyDescent="0.25">
      <c r="A70" s="22" t="s">
        <v>59</v>
      </c>
      <c r="B70" s="22" t="s">
        <v>45</v>
      </c>
      <c r="C70" s="23" t="s">
        <v>605</v>
      </c>
      <c r="D70" s="6" t="s">
        <v>4</v>
      </c>
      <c r="E70" s="22" t="s">
        <v>353</v>
      </c>
      <c r="F70" s="22" t="s">
        <v>344</v>
      </c>
      <c r="G70" s="22" t="s">
        <v>154</v>
      </c>
      <c r="H70" s="29" t="s">
        <v>355</v>
      </c>
    </row>
    <row r="71" ht="20" customHeight="1" spans="1:8" x14ac:dyDescent="0.25">
      <c r="A71" s="24" t="s">
        <v>60</v>
      </c>
      <c r="B71" s="24" t="s">
        <v>31</v>
      </c>
      <c r="C71" s="25" t="s">
        <v>605</v>
      </c>
      <c r="D71" s="6" t="s">
        <v>4</v>
      </c>
      <c r="E71" s="24" t="s">
        <v>392</v>
      </c>
      <c r="F71" s="24" t="s">
        <v>112</v>
      </c>
      <c r="G71" s="24" t="s">
        <v>99</v>
      </c>
      <c r="H71" s="34" t="s">
        <v>394</v>
      </c>
    </row>
    <row r="72" ht="20" customHeight="1" spans="1:8" x14ac:dyDescent="0.25">
      <c r="A72" s="22" t="s">
        <v>61</v>
      </c>
      <c r="B72" s="22" t="s">
        <v>34</v>
      </c>
      <c r="C72" s="23" t="s">
        <v>605</v>
      </c>
      <c r="D72" s="6" t="s">
        <v>4</v>
      </c>
      <c r="E72" s="22" t="s">
        <v>353</v>
      </c>
      <c r="F72" s="22" t="s">
        <v>354</v>
      </c>
      <c r="G72" s="22" t="s">
        <v>187</v>
      </c>
      <c r="H72" s="29" t="s">
        <v>355</v>
      </c>
    </row>
    <row r="73" ht="20" customHeight="1" spans="1:8" x14ac:dyDescent="0.25">
      <c r="A73" s="24" t="s">
        <v>62</v>
      </c>
      <c r="B73" s="24" t="s">
        <v>36</v>
      </c>
      <c r="C73" s="25" t="s">
        <v>605</v>
      </c>
      <c r="D73" s="6" t="s">
        <v>4</v>
      </c>
      <c r="E73" s="24" t="s">
        <v>201</v>
      </c>
      <c r="F73" s="24" t="s">
        <v>153</v>
      </c>
      <c r="G73" s="24" t="s">
        <v>267</v>
      </c>
      <c r="H73" s="34" t="s">
        <v>204</v>
      </c>
    </row>
    <row r="74" ht="20" customHeight="1" spans="1:8" x14ac:dyDescent="0.25">
      <c r="A74" s="22" t="s">
        <v>63</v>
      </c>
      <c r="B74" s="22" t="s">
        <v>38</v>
      </c>
      <c r="C74" s="23" t="s">
        <v>605</v>
      </c>
      <c r="D74" s="6" t="s">
        <v>4</v>
      </c>
      <c r="E74" s="22" t="s">
        <v>311</v>
      </c>
      <c r="F74" s="22" t="s">
        <v>136</v>
      </c>
      <c r="G74" s="22" t="s">
        <v>259</v>
      </c>
      <c r="H74" s="32" t="s">
        <v>79</v>
      </c>
    </row>
    <row r="75" ht="20" customHeight="1" spans="1:8" x14ac:dyDescent="0.25">
      <c r="A75" s="24" t="s">
        <v>64</v>
      </c>
      <c r="B75" s="24" t="s">
        <v>40</v>
      </c>
      <c r="C75" s="25" t="s">
        <v>605</v>
      </c>
      <c r="D75" s="6" t="s">
        <v>4</v>
      </c>
      <c r="E75" s="24" t="s">
        <v>576</v>
      </c>
      <c r="F75" s="24" t="s">
        <v>133</v>
      </c>
      <c r="G75" s="24" t="s">
        <v>180</v>
      </c>
      <c r="H75" s="30" t="s">
        <v>79</v>
      </c>
    </row>
    <row r="76" ht="20" customHeight="1" spans="1:8" x14ac:dyDescent="0.25">
      <c r="A76" s="22" t="s">
        <v>65</v>
      </c>
      <c r="B76" s="22" t="s">
        <v>42</v>
      </c>
      <c r="C76" s="23" t="s">
        <v>605</v>
      </c>
      <c r="D76" s="35" t="s">
        <v>86</v>
      </c>
      <c r="E76" s="22" t="s">
        <v>12</v>
      </c>
      <c r="F76" s="22" t="s">
        <v>12</v>
      </c>
      <c r="G76" s="22" t="s">
        <v>12</v>
      </c>
      <c r="H76" s="22" t="s">
        <v>32</v>
      </c>
    </row>
    <row r="77" ht="20" customHeight="1" spans="1:8" x14ac:dyDescent="0.25">
      <c r="A77" s="24" t="s">
        <v>66</v>
      </c>
      <c r="B77" s="24" t="s">
        <v>45</v>
      </c>
      <c r="C77" s="25" t="s">
        <v>605</v>
      </c>
      <c r="D77" s="16" t="s">
        <v>43</v>
      </c>
      <c r="E77" s="24" t="s">
        <v>12</v>
      </c>
      <c r="F77" s="24" t="s">
        <v>12</v>
      </c>
      <c r="G77" s="24" t="s">
        <v>12</v>
      </c>
      <c r="H77" s="24" t="s">
        <v>32</v>
      </c>
    </row>
    <row r="78" ht="20" customHeight="1" spans="1:8" x14ac:dyDescent="0.25">
      <c r="A78" s="22" t="s">
        <v>67</v>
      </c>
      <c r="B78" s="22" t="s">
        <v>31</v>
      </c>
      <c r="C78" s="23" t="s">
        <v>605</v>
      </c>
      <c r="D78" s="16" t="s">
        <v>43</v>
      </c>
      <c r="E78" s="22" t="s">
        <v>12</v>
      </c>
      <c r="F78" s="22" t="s">
        <v>12</v>
      </c>
      <c r="G78" s="22" t="s">
        <v>12</v>
      </c>
      <c r="H78" s="22" t="s">
        <v>32</v>
      </c>
    </row>
    <row r="79" ht="20" customHeight="1" spans="1:8" x14ac:dyDescent="0.25">
      <c r="A79" s="24" t="s">
        <v>68</v>
      </c>
      <c r="B79" s="24" t="s">
        <v>34</v>
      </c>
      <c r="C79" s="25" t="s">
        <v>605</v>
      </c>
      <c r="D79" s="16" t="s">
        <v>43</v>
      </c>
      <c r="E79" s="24" t="s">
        <v>12</v>
      </c>
      <c r="F79" s="24" t="s">
        <v>12</v>
      </c>
      <c r="G79" s="24" t="s">
        <v>12</v>
      </c>
      <c r="H79" s="24" t="s">
        <v>32</v>
      </c>
    </row>
    <row r="80" ht="22" customHeight="1" spans="1:8" x14ac:dyDescent="0.25">
      <c r="A80" s="26" t="s">
        <v>69</v>
      </c>
      <c r="B80" s="26"/>
      <c r="C80" s="26"/>
      <c r="D80" s="26"/>
      <c r="E80" s="26"/>
      <c r="F80" s="26"/>
      <c r="G80" s="27" t="s">
        <v>1276</v>
      </c>
      <c r="H80" s="28" t="s">
        <v>12</v>
      </c>
    </row>
    <row r="82" ht="26" customHeight="1" spans="1:8" x14ac:dyDescent="0.25">
      <c r="A82" s="20" t="s">
        <v>1277</v>
      </c>
      <c r="B82" s="20"/>
      <c r="C82" s="20"/>
      <c r="D82" s="20"/>
      <c r="E82" s="20"/>
      <c r="F82" s="20"/>
      <c r="G82" s="20"/>
      <c r="H82" s="20"/>
    </row>
    <row r="83" ht="22" customHeight="1" spans="1:8" x14ac:dyDescent="0.25">
      <c r="A83" s="21" t="s">
        <v>22</v>
      </c>
      <c r="B83" s="21" t="s">
        <v>23</v>
      </c>
      <c r="C83" s="21" t="s">
        <v>24</v>
      </c>
      <c r="D83" s="21" t="s">
        <v>25</v>
      </c>
      <c r="E83" s="21" t="s">
        <v>26</v>
      </c>
      <c r="F83" s="21" t="s">
        <v>27</v>
      </c>
      <c r="G83" s="21" t="s">
        <v>28</v>
      </c>
      <c r="H83" s="21" t="s">
        <v>29</v>
      </c>
    </row>
    <row r="84" ht="20" customHeight="1" spans="1:8" x14ac:dyDescent="0.25">
      <c r="A84" s="22" t="s">
        <v>30</v>
      </c>
      <c r="B84" s="22" t="s">
        <v>31</v>
      </c>
      <c r="C84" s="23" t="s">
        <v>71</v>
      </c>
      <c r="D84" s="6" t="s">
        <v>4</v>
      </c>
      <c r="E84" s="22" t="s">
        <v>208</v>
      </c>
      <c r="F84" s="22" t="s">
        <v>126</v>
      </c>
      <c r="G84" s="22" t="s">
        <v>177</v>
      </c>
      <c r="H84" s="29" t="s">
        <v>210</v>
      </c>
    </row>
    <row r="85" ht="20" customHeight="1" spans="1:8" x14ac:dyDescent="0.25">
      <c r="A85" s="24" t="s">
        <v>33</v>
      </c>
      <c r="B85" s="24" t="s">
        <v>34</v>
      </c>
      <c r="C85" s="25" t="s">
        <v>71</v>
      </c>
      <c r="D85" s="6" t="s">
        <v>4</v>
      </c>
      <c r="E85" s="24" t="s">
        <v>224</v>
      </c>
      <c r="F85" s="24" t="s">
        <v>439</v>
      </c>
      <c r="G85" s="24" t="s">
        <v>410</v>
      </c>
      <c r="H85" s="34" t="s">
        <v>227</v>
      </c>
    </row>
    <row r="86" ht="20" customHeight="1" spans="1:8" x14ac:dyDescent="0.25">
      <c r="A86" s="22" t="s">
        <v>35</v>
      </c>
      <c r="B86" s="22" t="s">
        <v>36</v>
      </c>
      <c r="C86" s="23" t="s">
        <v>71</v>
      </c>
      <c r="D86" s="6" t="s">
        <v>4</v>
      </c>
      <c r="E86" s="22" t="s">
        <v>12</v>
      </c>
      <c r="F86" s="22" t="s">
        <v>12</v>
      </c>
      <c r="G86" s="22" t="s">
        <v>12</v>
      </c>
      <c r="H86" s="22" t="s">
        <v>32</v>
      </c>
    </row>
    <row r="87" ht="20" customHeight="1" spans="1:8" x14ac:dyDescent="0.25">
      <c r="A87" s="24" t="s">
        <v>37</v>
      </c>
      <c r="B87" s="24" t="s">
        <v>38</v>
      </c>
      <c r="C87" s="25" t="s">
        <v>71</v>
      </c>
      <c r="D87" s="31" t="s">
        <v>11</v>
      </c>
      <c r="E87" s="24" t="s">
        <v>12</v>
      </c>
      <c r="F87" s="24" t="s">
        <v>12</v>
      </c>
      <c r="G87" s="24" t="s">
        <v>12</v>
      </c>
      <c r="H87" s="24" t="s">
        <v>32</v>
      </c>
    </row>
    <row r="88" ht="20" customHeight="1" spans="1:8" x14ac:dyDescent="0.25">
      <c r="A88" s="22" t="s">
        <v>39</v>
      </c>
      <c r="B88" s="22" t="s">
        <v>40</v>
      </c>
      <c r="C88" s="23" t="s">
        <v>71</v>
      </c>
      <c r="D88" s="6" t="s">
        <v>4</v>
      </c>
      <c r="E88" s="22" t="s">
        <v>12</v>
      </c>
      <c r="F88" s="22" t="s">
        <v>12</v>
      </c>
      <c r="G88" s="22" t="s">
        <v>12</v>
      </c>
      <c r="H88" s="22" t="s">
        <v>32</v>
      </c>
    </row>
    <row r="89" ht="20" customHeight="1" spans="1:8" x14ac:dyDescent="0.25">
      <c r="A89" s="24" t="s">
        <v>41</v>
      </c>
      <c r="B89" s="24" t="s">
        <v>42</v>
      </c>
      <c r="C89" s="25" t="s">
        <v>71</v>
      </c>
      <c r="D89" s="33" t="s">
        <v>86</v>
      </c>
      <c r="E89" s="24" t="s">
        <v>12</v>
      </c>
      <c r="F89" s="24" t="s">
        <v>12</v>
      </c>
      <c r="G89" s="24" t="s">
        <v>12</v>
      </c>
      <c r="H89" s="24" t="s">
        <v>32</v>
      </c>
    </row>
    <row r="90" ht="20" customHeight="1" spans="1:8" x14ac:dyDescent="0.25">
      <c r="A90" s="22" t="s">
        <v>44</v>
      </c>
      <c r="B90" s="22" t="s">
        <v>45</v>
      </c>
      <c r="C90" s="23" t="s">
        <v>71</v>
      </c>
      <c r="D90" s="6" t="s">
        <v>4</v>
      </c>
      <c r="E90" s="22" t="s">
        <v>12</v>
      </c>
      <c r="F90" s="22" t="s">
        <v>12</v>
      </c>
      <c r="G90" s="22" t="s">
        <v>12</v>
      </c>
      <c r="H90" s="22" t="s">
        <v>32</v>
      </c>
    </row>
    <row r="91" ht="20" customHeight="1" spans="1:8" x14ac:dyDescent="0.25">
      <c r="A91" s="24" t="s">
        <v>46</v>
      </c>
      <c r="B91" s="24" t="s">
        <v>31</v>
      </c>
      <c r="C91" s="25" t="s">
        <v>71</v>
      </c>
      <c r="D91" s="6" t="s">
        <v>4</v>
      </c>
      <c r="E91" s="24" t="s">
        <v>12</v>
      </c>
      <c r="F91" s="24" t="s">
        <v>12</v>
      </c>
      <c r="G91" s="24" t="s">
        <v>12</v>
      </c>
      <c r="H91" s="24" t="s">
        <v>32</v>
      </c>
    </row>
    <row r="92" ht="20" customHeight="1" spans="1:8" x14ac:dyDescent="0.25">
      <c r="A92" s="22" t="s">
        <v>47</v>
      </c>
      <c r="B92" s="22" t="s">
        <v>34</v>
      </c>
      <c r="C92" s="23" t="s">
        <v>71</v>
      </c>
      <c r="D92" s="6" t="s">
        <v>4</v>
      </c>
      <c r="E92" s="22" t="s">
        <v>12</v>
      </c>
      <c r="F92" s="22" t="s">
        <v>12</v>
      </c>
      <c r="G92" s="22" t="s">
        <v>12</v>
      </c>
      <c r="H92" s="22" t="s">
        <v>32</v>
      </c>
    </row>
    <row r="93" ht="20" customHeight="1" spans="1:8" x14ac:dyDescent="0.25">
      <c r="A93" s="24" t="s">
        <v>48</v>
      </c>
      <c r="B93" s="24" t="s">
        <v>36</v>
      </c>
      <c r="C93" s="25" t="s">
        <v>71</v>
      </c>
      <c r="D93" s="6" t="s">
        <v>4</v>
      </c>
      <c r="E93" s="24" t="s">
        <v>12</v>
      </c>
      <c r="F93" s="24" t="s">
        <v>12</v>
      </c>
      <c r="G93" s="24" t="s">
        <v>12</v>
      </c>
      <c r="H93" s="24" t="s">
        <v>32</v>
      </c>
    </row>
    <row r="94" ht="20" customHeight="1" spans="1:8" x14ac:dyDescent="0.25">
      <c r="A94" s="22" t="s">
        <v>49</v>
      </c>
      <c r="B94" s="22" t="s">
        <v>38</v>
      </c>
      <c r="C94" s="23" t="s">
        <v>71</v>
      </c>
      <c r="D94" s="6" t="s">
        <v>4</v>
      </c>
      <c r="E94" s="22" t="s">
        <v>12</v>
      </c>
      <c r="F94" s="22" t="s">
        <v>12</v>
      </c>
      <c r="G94" s="22" t="s">
        <v>12</v>
      </c>
      <c r="H94" s="22" t="s">
        <v>32</v>
      </c>
    </row>
    <row r="95" ht="20" customHeight="1" spans="1:8" x14ac:dyDescent="0.25">
      <c r="A95" s="24" t="s">
        <v>50</v>
      </c>
      <c r="B95" s="24" t="s">
        <v>40</v>
      </c>
      <c r="C95" s="25" t="s">
        <v>71</v>
      </c>
      <c r="D95" s="33" t="s">
        <v>86</v>
      </c>
      <c r="E95" s="24" t="s">
        <v>12</v>
      </c>
      <c r="F95" s="24" t="s">
        <v>12</v>
      </c>
      <c r="G95" s="24" t="s">
        <v>12</v>
      </c>
      <c r="H95" s="24" t="s">
        <v>32</v>
      </c>
    </row>
    <row r="96" ht="20" customHeight="1" spans="1:8" x14ac:dyDescent="0.25">
      <c r="A96" s="22" t="s">
        <v>51</v>
      </c>
      <c r="B96" s="22" t="s">
        <v>42</v>
      </c>
      <c r="C96" s="23" t="s">
        <v>71</v>
      </c>
      <c r="D96" s="35" t="s">
        <v>86</v>
      </c>
      <c r="E96" s="22" t="s">
        <v>12</v>
      </c>
      <c r="F96" s="22" t="s">
        <v>12</v>
      </c>
      <c r="G96" s="22" t="s">
        <v>12</v>
      </c>
      <c r="H96" s="22" t="s">
        <v>32</v>
      </c>
    </row>
    <row r="97" ht="20" customHeight="1" spans="1:8" x14ac:dyDescent="0.25">
      <c r="A97" s="24" t="s">
        <v>52</v>
      </c>
      <c r="B97" s="24" t="s">
        <v>45</v>
      </c>
      <c r="C97" s="25" t="s">
        <v>71</v>
      </c>
      <c r="D97" s="6" t="s">
        <v>4</v>
      </c>
      <c r="E97" s="24" t="s">
        <v>163</v>
      </c>
      <c r="F97" s="24" t="s">
        <v>170</v>
      </c>
      <c r="G97" s="24" t="s">
        <v>174</v>
      </c>
      <c r="H97" s="34" t="s">
        <v>166</v>
      </c>
    </row>
    <row r="98" ht="20" customHeight="1" spans="1:8" x14ac:dyDescent="0.25">
      <c r="A98" s="22" t="s">
        <v>53</v>
      </c>
      <c r="B98" s="22" t="s">
        <v>31</v>
      </c>
      <c r="C98" s="23" t="s">
        <v>71</v>
      </c>
      <c r="D98" s="6" t="s">
        <v>4</v>
      </c>
      <c r="E98" s="22" t="s">
        <v>201</v>
      </c>
      <c r="F98" s="22" t="s">
        <v>366</v>
      </c>
      <c r="G98" s="22" t="s">
        <v>174</v>
      </c>
      <c r="H98" s="29" t="s">
        <v>204</v>
      </c>
    </row>
    <row r="99" ht="20" customHeight="1" spans="1:8" x14ac:dyDescent="0.25">
      <c r="A99" s="24" t="s">
        <v>54</v>
      </c>
      <c r="B99" s="24" t="s">
        <v>34</v>
      </c>
      <c r="C99" s="25" t="s">
        <v>71</v>
      </c>
      <c r="D99" s="6" t="s">
        <v>4</v>
      </c>
      <c r="E99" s="24" t="s">
        <v>257</v>
      </c>
      <c r="F99" s="24" t="s">
        <v>126</v>
      </c>
      <c r="G99" s="24" t="s">
        <v>563</v>
      </c>
      <c r="H99" s="34" t="s">
        <v>260</v>
      </c>
    </row>
    <row r="100" ht="20" customHeight="1" spans="1:8" x14ac:dyDescent="0.25">
      <c r="A100" s="22" t="s">
        <v>55</v>
      </c>
      <c r="B100" s="22" t="s">
        <v>36</v>
      </c>
      <c r="C100" s="23" t="s">
        <v>71</v>
      </c>
      <c r="D100" s="6" t="s">
        <v>4</v>
      </c>
      <c r="E100" s="22" t="s">
        <v>251</v>
      </c>
      <c r="F100" s="22" t="s">
        <v>344</v>
      </c>
      <c r="G100" s="22" t="s">
        <v>226</v>
      </c>
      <c r="H100" s="29" t="s">
        <v>253</v>
      </c>
    </row>
    <row r="101" ht="20" customHeight="1" spans="1:8" x14ac:dyDescent="0.25">
      <c r="A101" s="24" t="s">
        <v>56</v>
      </c>
      <c r="B101" s="24" t="s">
        <v>38</v>
      </c>
      <c r="C101" s="25" t="s">
        <v>71</v>
      </c>
      <c r="D101" s="6" t="s">
        <v>4</v>
      </c>
      <c r="E101" s="24" t="s">
        <v>466</v>
      </c>
      <c r="F101" s="24" t="s">
        <v>519</v>
      </c>
      <c r="G101" s="24" t="s">
        <v>1278</v>
      </c>
      <c r="H101" s="34" t="s">
        <v>468</v>
      </c>
    </row>
    <row r="102" ht="20" customHeight="1" spans="1:8" x14ac:dyDescent="0.25">
      <c r="A102" s="22" t="s">
        <v>57</v>
      </c>
      <c r="B102" s="22" t="s">
        <v>40</v>
      </c>
      <c r="C102" s="23" t="s">
        <v>71</v>
      </c>
      <c r="D102" s="6" t="s">
        <v>4</v>
      </c>
      <c r="E102" s="22" t="s">
        <v>230</v>
      </c>
      <c r="F102" s="22" t="s">
        <v>562</v>
      </c>
      <c r="G102" s="22" t="s">
        <v>206</v>
      </c>
      <c r="H102" s="29" t="s">
        <v>233</v>
      </c>
    </row>
    <row r="103" ht="20" customHeight="1" spans="1:8" x14ac:dyDescent="0.25">
      <c r="A103" s="24" t="s">
        <v>58</v>
      </c>
      <c r="B103" s="24" t="s">
        <v>42</v>
      </c>
      <c r="C103" s="25" t="s">
        <v>71</v>
      </c>
      <c r="D103" s="33" t="s">
        <v>86</v>
      </c>
      <c r="E103" s="24" t="s">
        <v>12</v>
      </c>
      <c r="F103" s="24" t="s">
        <v>12</v>
      </c>
      <c r="G103" s="24" t="s">
        <v>12</v>
      </c>
      <c r="H103" s="24" t="s">
        <v>32</v>
      </c>
    </row>
    <row r="104" ht="20" customHeight="1" spans="1:8" x14ac:dyDescent="0.25">
      <c r="A104" s="22" t="s">
        <v>59</v>
      </c>
      <c r="B104" s="22" t="s">
        <v>45</v>
      </c>
      <c r="C104" s="23" t="s">
        <v>71</v>
      </c>
      <c r="D104" s="6" t="s">
        <v>4</v>
      </c>
      <c r="E104" s="22" t="s">
        <v>216</v>
      </c>
      <c r="F104" s="22" t="s">
        <v>519</v>
      </c>
      <c r="G104" s="22" t="s">
        <v>238</v>
      </c>
      <c r="H104" s="29" t="s">
        <v>217</v>
      </c>
    </row>
    <row r="105" ht="20" customHeight="1" spans="1:8" x14ac:dyDescent="0.25">
      <c r="A105" s="24" t="s">
        <v>60</v>
      </c>
      <c r="B105" s="24" t="s">
        <v>31</v>
      </c>
      <c r="C105" s="25" t="s">
        <v>71</v>
      </c>
      <c r="D105" s="6" t="s">
        <v>4</v>
      </c>
      <c r="E105" s="24" t="s">
        <v>515</v>
      </c>
      <c r="F105" s="24" t="s">
        <v>255</v>
      </c>
      <c r="G105" s="24" t="s">
        <v>281</v>
      </c>
      <c r="H105" s="34" t="s">
        <v>517</v>
      </c>
    </row>
    <row r="106" ht="20" customHeight="1" spans="1:8" x14ac:dyDescent="0.25">
      <c r="A106" s="22" t="s">
        <v>61</v>
      </c>
      <c r="B106" s="22" t="s">
        <v>34</v>
      </c>
      <c r="C106" s="23" t="s">
        <v>71</v>
      </c>
      <c r="D106" s="6" t="s">
        <v>4</v>
      </c>
      <c r="E106" s="22" t="s">
        <v>199</v>
      </c>
      <c r="F106" s="22" t="s">
        <v>373</v>
      </c>
      <c r="G106" s="22" t="s">
        <v>579</v>
      </c>
      <c r="H106" s="29" t="s">
        <v>200</v>
      </c>
    </row>
    <row r="107" ht="20" customHeight="1" spans="1:8" x14ac:dyDescent="0.25">
      <c r="A107" s="24" t="s">
        <v>62</v>
      </c>
      <c r="B107" s="24" t="s">
        <v>36</v>
      </c>
      <c r="C107" s="25" t="s">
        <v>71</v>
      </c>
      <c r="D107" s="6" t="s">
        <v>4</v>
      </c>
      <c r="E107" s="24" t="s">
        <v>224</v>
      </c>
      <c r="F107" s="24" t="s">
        <v>398</v>
      </c>
      <c r="G107" s="24" t="s">
        <v>496</v>
      </c>
      <c r="H107" s="34" t="s">
        <v>227</v>
      </c>
    </row>
    <row r="108" ht="20" customHeight="1" spans="1:8" x14ac:dyDescent="0.25">
      <c r="A108" s="22" t="s">
        <v>63</v>
      </c>
      <c r="B108" s="22" t="s">
        <v>38</v>
      </c>
      <c r="C108" s="23" t="s">
        <v>71</v>
      </c>
      <c r="D108" s="6" t="s">
        <v>4</v>
      </c>
      <c r="E108" s="22" t="s">
        <v>483</v>
      </c>
      <c r="F108" s="22" t="s">
        <v>153</v>
      </c>
      <c r="G108" s="22" t="s">
        <v>573</v>
      </c>
      <c r="H108" s="29" t="s">
        <v>484</v>
      </c>
    </row>
    <row r="109" ht="20" customHeight="1" spans="1:8" x14ac:dyDescent="0.25">
      <c r="A109" s="24" t="s">
        <v>64</v>
      </c>
      <c r="B109" s="24" t="s">
        <v>40</v>
      </c>
      <c r="C109" s="25" t="s">
        <v>71</v>
      </c>
      <c r="D109" s="6" t="s">
        <v>4</v>
      </c>
      <c r="E109" s="24" t="s">
        <v>257</v>
      </c>
      <c r="F109" s="24" t="s">
        <v>211</v>
      </c>
      <c r="G109" s="24" t="s">
        <v>414</v>
      </c>
      <c r="H109" s="34" t="s">
        <v>260</v>
      </c>
    </row>
    <row r="110" ht="20" customHeight="1" spans="1:8" x14ac:dyDescent="0.25">
      <c r="A110" s="22" t="s">
        <v>65</v>
      </c>
      <c r="B110" s="22" t="s">
        <v>42</v>
      </c>
      <c r="C110" s="23" t="s">
        <v>71</v>
      </c>
      <c r="D110" s="35" t="s">
        <v>86</v>
      </c>
      <c r="E110" s="22" t="s">
        <v>12</v>
      </c>
      <c r="F110" s="22" t="s">
        <v>12</v>
      </c>
      <c r="G110" s="22" t="s">
        <v>12</v>
      </c>
      <c r="H110" s="22" t="s">
        <v>32</v>
      </c>
    </row>
    <row r="111" ht="20" customHeight="1" spans="1:8" x14ac:dyDescent="0.25">
      <c r="A111" s="24" t="s">
        <v>66</v>
      </c>
      <c r="B111" s="24" t="s">
        <v>45</v>
      </c>
      <c r="C111" s="25" t="s">
        <v>71</v>
      </c>
      <c r="D111" s="6" t="s">
        <v>4</v>
      </c>
      <c r="E111" s="24" t="s">
        <v>216</v>
      </c>
      <c r="F111" s="24" t="s">
        <v>641</v>
      </c>
      <c r="G111" s="24" t="s">
        <v>177</v>
      </c>
      <c r="H111" s="34" t="s">
        <v>217</v>
      </c>
    </row>
    <row r="112" ht="20" customHeight="1" spans="1:8" x14ac:dyDescent="0.25">
      <c r="A112" s="22" t="s">
        <v>67</v>
      </c>
      <c r="B112" s="22" t="s">
        <v>31</v>
      </c>
      <c r="C112" s="23" t="s">
        <v>71</v>
      </c>
      <c r="D112" s="6" t="s">
        <v>4</v>
      </c>
      <c r="E112" s="22" t="s">
        <v>192</v>
      </c>
      <c r="F112" s="22" t="s">
        <v>343</v>
      </c>
      <c r="G112" s="22" t="s">
        <v>1279</v>
      </c>
      <c r="H112" s="29" t="s">
        <v>195</v>
      </c>
    </row>
    <row r="113" ht="20" customHeight="1" spans="1:8" x14ac:dyDescent="0.25">
      <c r="A113" s="24" t="s">
        <v>68</v>
      </c>
      <c r="B113" s="24" t="s">
        <v>34</v>
      </c>
      <c r="C113" s="25" t="s">
        <v>71</v>
      </c>
      <c r="D113" s="6" t="s">
        <v>4</v>
      </c>
      <c r="E113" s="24" t="s">
        <v>201</v>
      </c>
      <c r="F113" s="24" t="s">
        <v>193</v>
      </c>
      <c r="G113" s="24" t="s">
        <v>290</v>
      </c>
      <c r="H113" s="34" t="s">
        <v>204</v>
      </c>
    </row>
    <row r="114" ht="22" customHeight="1" spans="1:8" x14ac:dyDescent="0.25">
      <c r="A114" s="26" t="s">
        <v>69</v>
      </c>
      <c r="B114" s="26"/>
      <c r="C114" s="26"/>
      <c r="D114" s="26"/>
      <c r="E114" s="26"/>
      <c r="F114" s="26"/>
      <c r="G114" s="27" t="s">
        <v>1280</v>
      </c>
      <c r="H114" s="28" t="s">
        <v>12</v>
      </c>
    </row>
    <row r="116" ht="26" customHeight="1" spans="1:8" x14ac:dyDescent="0.25">
      <c r="A116" s="20" t="s">
        <v>1281</v>
      </c>
      <c r="B116" s="20"/>
      <c r="C116" s="20"/>
      <c r="D116" s="20"/>
      <c r="E116" s="20"/>
      <c r="F116" s="20"/>
      <c r="G116" s="20"/>
      <c r="H116" s="20"/>
    </row>
    <row r="117" ht="22" customHeight="1" spans="1:8" x14ac:dyDescent="0.25">
      <c r="A117" s="21" t="s">
        <v>22</v>
      </c>
      <c r="B117" s="21" t="s">
        <v>23</v>
      </c>
      <c r="C117" s="21" t="s">
        <v>24</v>
      </c>
      <c r="D117" s="21" t="s">
        <v>25</v>
      </c>
      <c r="E117" s="21" t="s">
        <v>26</v>
      </c>
      <c r="F117" s="21" t="s">
        <v>27</v>
      </c>
      <c r="G117" s="21" t="s">
        <v>28</v>
      </c>
      <c r="H117" s="21" t="s">
        <v>29</v>
      </c>
    </row>
    <row r="118" ht="20" customHeight="1" spans="1:8" x14ac:dyDescent="0.25">
      <c r="A118" s="22" t="s">
        <v>30</v>
      </c>
      <c r="B118" s="22" t="s">
        <v>31</v>
      </c>
      <c r="C118" s="23" t="s">
        <v>71</v>
      </c>
      <c r="D118" s="6" t="s">
        <v>4</v>
      </c>
      <c r="E118" s="22" t="s">
        <v>1282</v>
      </c>
      <c r="F118" s="22" t="s">
        <v>349</v>
      </c>
      <c r="G118" s="22" t="s">
        <v>267</v>
      </c>
      <c r="H118" s="29" t="s">
        <v>1283</v>
      </c>
    </row>
    <row r="119" ht="20" customHeight="1" spans="1:8" x14ac:dyDescent="0.25">
      <c r="A119" s="24" t="s">
        <v>33</v>
      </c>
      <c r="B119" s="24" t="s">
        <v>34</v>
      </c>
      <c r="C119" s="25" t="s">
        <v>71</v>
      </c>
      <c r="D119" s="6" t="s">
        <v>4</v>
      </c>
      <c r="E119" s="24" t="s">
        <v>466</v>
      </c>
      <c r="F119" s="24" t="s">
        <v>352</v>
      </c>
      <c r="G119" s="24" t="s">
        <v>194</v>
      </c>
      <c r="H119" s="34" t="s">
        <v>468</v>
      </c>
    </row>
    <row r="120" ht="20" customHeight="1" spans="1:8" x14ac:dyDescent="0.25">
      <c r="A120" s="22" t="s">
        <v>35</v>
      </c>
      <c r="B120" s="22" t="s">
        <v>36</v>
      </c>
      <c r="C120" s="23" t="s">
        <v>71</v>
      </c>
      <c r="D120" s="6" t="s">
        <v>4</v>
      </c>
      <c r="E120" s="22" t="s">
        <v>1088</v>
      </c>
      <c r="F120" s="22" t="s">
        <v>115</v>
      </c>
      <c r="G120" s="22" t="s">
        <v>99</v>
      </c>
      <c r="H120" s="29" t="s">
        <v>1089</v>
      </c>
    </row>
    <row r="121" ht="20" customHeight="1" spans="1:8" x14ac:dyDescent="0.25">
      <c r="A121" s="24" t="s">
        <v>37</v>
      </c>
      <c r="B121" s="24" t="s">
        <v>38</v>
      </c>
      <c r="C121" s="25" t="s">
        <v>71</v>
      </c>
      <c r="D121" s="31" t="s">
        <v>11</v>
      </c>
      <c r="E121" s="24" t="s">
        <v>12</v>
      </c>
      <c r="F121" s="24" t="s">
        <v>12</v>
      </c>
      <c r="G121" s="24" t="s">
        <v>12</v>
      </c>
      <c r="H121" s="24" t="s">
        <v>32</v>
      </c>
    </row>
    <row r="122" ht="20" customHeight="1" spans="1:8" x14ac:dyDescent="0.25">
      <c r="A122" s="22" t="s">
        <v>39</v>
      </c>
      <c r="B122" s="22" t="s">
        <v>40</v>
      </c>
      <c r="C122" s="23" t="s">
        <v>71</v>
      </c>
      <c r="D122" s="6" t="s">
        <v>4</v>
      </c>
      <c r="E122" s="22" t="s">
        <v>939</v>
      </c>
      <c r="F122" s="22" t="s">
        <v>352</v>
      </c>
      <c r="G122" s="22" t="s">
        <v>339</v>
      </c>
      <c r="H122" s="29" t="s">
        <v>941</v>
      </c>
    </row>
    <row r="123" ht="20" customHeight="1" spans="1:8" x14ac:dyDescent="0.25">
      <c r="A123" s="24" t="s">
        <v>41</v>
      </c>
      <c r="B123" s="24" t="s">
        <v>42</v>
      </c>
      <c r="C123" s="25" t="s">
        <v>71</v>
      </c>
      <c r="D123" s="33" t="s">
        <v>86</v>
      </c>
      <c r="E123" s="24" t="s">
        <v>12</v>
      </c>
      <c r="F123" s="24" t="s">
        <v>12</v>
      </c>
      <c r="G123" s="24" t="s">
        <v>12</v>
      </c>
      <c r="H123" s="24" t="s">
        <v>32</v>
      </c>
    </row>
    <row r="124" ht="20" customHeight="1" spans="1:8" x14ac:dyDescent="0.25">
      <c r="A124" s="22" t="s">
        <v>44</v>
      </c>
      <c r="B124" s="22" t="s">
        <v>45</v>
      </c>
      <c r="C124" s="23" t="s">
        <v>71</v>
      </c>
      <c r="D124" s="6" t="s">
        <v>4</v>
      </c>
      <c r="E124" s="22" t="s">
        <v>76</v>
      </c>
      <c r="F124" s="22" t="s">
        <v>395</v>
      </c>
      <c r="G124" s="22" t="s">
        <v>478</v>
      </c>
      <c r="H124" s="32" t="s">
        <v>79</v>
      </c>
    </row>
    <row r="125" ht="20" customHeight="1" spans="1:8" x14ac:dyDescent="0.25">
      <c r="A125" s="24" t="s">
        <v>46</v>
      </c>
      <c r="B125" s="24" t="s">
        <v>31</v>
      </c>
      <c r="C125" s="25" t="s">
        <v>71</v>
      </c>
      <c r="D125" s="6" t="s">
        <v>4</v>
      </c>
      <c r="E125" s="24" t="s">
        <v>181</v>
      </c>
      <c r="F125" s="24" t="s">
        <v>757</v>
      </c>
      <c r="G125" s="24" t="s">
        <v>238</v>
      </c>
      <c r="H125" s="34" t="s">
        <v>184</v>
      </c>
    </row>
    <row r="126" ht="20" customHeight="1" spans="1:8" x14ac:dyDescent="0.25">
      <c r="A126" s="22" t="s">
        <v>47</v>
      </c>
      <c r="B126" s="22" t="s">
        <v>34</v>
      </c>
      <c r="C126" s="23" t="s">
        <v>71</v>
      </c>
      <c r="D126" s="6" t="s">
        <v>4</v>
      </c>
      <c r="E126" s="22" t="s">
        <v>348</v>
      </c>
      <c r="F126" s="22" t="s">
        <v>761</v>
      </c>
      <c r="G126" s="22" t="s">
        <v>130</v>
      </c>
      <c r="H126" s="29" t="s">
        <v>351</v>
      </c>
    </row>
    <row r="127" ht="20" customHeight="1" spans="1:8" x14ac:dyDescent="0.25">
      <c r="A127" s="24" t="s">
        <v>48</v>
      </c>
      <c r="B127" s="24" t="s">
        <v>36</v>
      </c>
      <c r="C127" s="25" t="s">
        <v>71</v>
      </c>
      <c r="D127" s="36" t="s">
        <v>218</v>
      </c>
      <c r="E127" s="24" t="s">
        <v>466</v>
      </c>
      <c r="F127" s="24" t="s">
        <v>12</v>
      </c>
      <c r="G127" s="24" t="s">
        <v>12</v>
      </c>
      <c r="H127" s="34" t="s">
        <v>468</v>
      </c>
    </row>
    <row r="128" ht="20" customHeight="1" spans="1:8" x14ac:dyDescent="0.25">
      <c r="A128" s="22" t="s">
        <v>49</v>
      </c>
      <c r="B128" s="22" t="s">
        <v>38</v>
      </c>
      <c r="C128" s="23" t="s">
        <v>71</v>
      </c>
      <c r="D128" s="36" t="s">
        <v>218</v>
      </c>
      <c r="E128" s="22" t="s">
        <v>1284</v>
      </c>
      <c r="F128" s="22" t="s">
        <v>12</v>
      </c>
      <c r="G128" s="22" t="s">
        <v>12</v>
      </c>
      <c r="H128" s="29" t="s">
        <v>1285</v>
      </c>
    </row>
    <row r="129" ht="20" customHeight="1" spans="1:8" x14ac:dyDescent="0.25">
      <c r="A129" s="24" t="s">
        <v>50</v>
      </c>
      <c r="B129" s="24" t="s">
        <v>40</v>
      </c>
      <c r="C129" s="25" t="s">
        <v>71</v>
      </c>
      <c r="D129" s="33" t="s">
        <v>86</v>
      </c>
      <c r="E129" s="24" t="s">
        <v>12</v>
      </c>
      <c r="F129" s="24" t="s">
        <v>12</v>
      </c>
      <c r="G129" s="24" t="s">
        <v>12</v>
      </c>
      <c r="H129" s="24" t="s">
        <v>32</v>
      </c>
    </row>
    <row r="130" ht="20" customHeight="1" spans="1:8" x14ac:dyDescent="0.25">
      <c r="A130" s="22" t="s">
        <v>51</v>
      </c>
      <c r="B130" s="22" t="s">
        <v>42</v>
      </c>
      <c r="C130" s="23" t="s">
        <v>71</v>
      </c>
      <c r="D130" s="35" t="s">
        <v>86</v>
      </c>
      <c r="E130" s="22" t="s">
        <v>12</v>
      </c>
      <c r="F130" s="22" t="s">
        <v>12</v>
      </c>
      <c r="G130" s="22" t="s">
        <v>12</v>
      </c>
      <c r="H130" s="22" t="s">
        <v>32</v>
      </c>
    </row>
    <row r="131" ht="20" customHeight="1" spans="1:8" x14ac:dyDescent="0.25">
      <c r="A131" s="24" t="s">
        <v>52</v>
      </c>
      <c r="B131" s="24" t="s">
        <v>45</v>
      </c>
      <c r="C131" s="25" t="s">
        <v>71</v>
      </c>
      <c r="D131" s="10" t="s">
        <v>87</v>
      </c>
      <c r="E131" s="24" t="s">
        <v>12</v>
      </c>
      <c r="F131" s="24" t="s">
        <v>12</v>
      </c>
      <c r="G131" s="24" t="s">
        <v>12</v>
      </c>
      <c r="H131" s="24" t="s">
        <v>32</v>
      </c>
    </row>
    <row r="132" ht="20" customHeight="1" spans="1:8" x14ac:dyDescent="0.25">
      <c r="A132" s="22" t="s">
        <v>53</v>
      </c>
      <c r="B132" s="22" t="s">
        <v>31</v>
      </c>
      <c r="C132" s="23" t="s">
        <v>71</v>
      </c>
      <c r="D132" s="6" t="s">
        <v>4</v>
      </c>
      <c r="E132" s="22" t="s">
        <v>379</v>
      </c>
      <c r="F132" s="22" t="s">
        <v>395</v>
      </c>
      <c r="G132" s="22" t="s">
        <v>240</v>
      </c>
      <c r="H132" s="29" t="s">
        <v>380</v>
      </c>
    </row>
    <row r="133" ht="20" customHeight="1" spans="1:8" x14ac:dyDescent="0.25">
      <c r="A133" s="24" t="s">
        <v>54</v>
      </c>
      <c r="B133" s="24" t="s">
        <v>34</v>
      </c>
      <c r="C133" s="25" t="s">
        <v>71</v>
      </c>
      <c r="D133" s="6" t="s">
        <v>4</v>
      </c>
      <c r="E133" s="24" t="s">
        <v>1286</v>
      </c>
      <c r="F133" s="24" t="s">
        <v>1082</v>
      </c>
      <c r="G133" s="24" t="s">
        <v>259</v>
      </c>
      <c r="H133" s="34" t="s">
        <v>1287</v>
      </c>
    </row>
    <row r="134" ht="20" customHeight="1" spans="1:8" x14ac:dyDescent="0.25">
      <c r="A134" s="22" t="s">
        <v>55</v>
      </c>
      <c r="B134" s="22" t="s">
        <v>36</v>
      </c>
      <c r="C134" s="23" t="s">
        <v>71</v>
      </c>
      <c r="D134" s="6" t="s">
        <v>4</v>
      </c>
      <c r="E134" s="22" t="s">
        <v>1286</v>
      </c>
      <c r="F134" s="22" t="s">
        <v>1288</v>
      </c>
      <c r="G134" s="22" t="s">
        <v>329</v>
      </c>
      <c r="H134" s="29" t="s">
        <v>1287</v>
      </c>
    </row>
    <row r="135" ht="20" customHeight="1" spans="1:8" x14ac:dyDescent="0.25">
      <c r="A135" s="24" t="s">
        <v>56</v>
      </c>
      <c r="B135" s="24" t="s">
        <v>38</v>
      </c>
      <c r="C135" s="25" t="s">
        <v>71</v>
      </c>
      <c r="D135" s="16" t="s">
        <v>43</v>
      </c>
      <c r="E135" s="24" t="s">
        <v>12</v>
      </c>
      <c r="F135" s="24" t="s">
        <v>12</v>
      </c>
      <c r="G135" s="24" t="s">
        <v>12</v>
      </c>
      <c r="H135" s="24" t="s">
        <v>32</v>
      </c>
    </row>
    <row r="136" ht="20" customHeight="1" spans="1:8" x14ac:dyDescent="0.25">
      <c r="A136" s="22" t="s">
        <v>57</v>
      </c>
      <c r="B136" s="22" t="s">
        <v>40</v>
      </c>
      <c r="C136" s="23" t="s">
        <v>71</v>
      </c>
      <c r="D136" s="6" t="s">
        <v>4</v>
      </c>
      <c r="E136" s="22" t="s">
        <v>498</v>
      </c>
      <c r="F136" s="22" t="s">
        <v>997</v>
      </c>
      <c r="G136" s="22" t="s">
        <v>505</v>
      </c>
      <c r="H136" s="29" t="s">
        <v>500</v>
      </c>
    </row>
    <row r="137" ht="20" customHeight="1" spans="1:8" x14ac:dyDescent="0.25">
      <c r="A137" s="24" t="s">
        <v>58</v>
      </c>
      <c r="B137" s="24" t="s">
        <v>42</v>
      </c>
      <c r="C137" s="25" t="s">
        <v>71</v>
      </c>
      <c r="D137" s="33" t="s">
        <v>86</v>
      </c>
      <c r="E137" s="24" t="s">
        <v>12</v>
      </c>
      <c r="F137" s="24" t="s">
        <v>12</v>
      </c>
      <c r="G137" s="24" t="s">
        <v>12</v>
      </c>
      <c r="H137" s="24" t="s">
        <v>32</v>
      </c>
    </row>
    <row r="138" ht="20" customHeight="1" spans="1:8" x14ac:dyDescent="0.25">
      <c r="A138" s="22" t="s">
        <v>59</v>
      </c>
      <c r="B138" s="22" t="s">
        <v>45</v>
      </c>
      <c r="C138" s="23" t="s">
        <v>71</v>
      </c>
      <c r="D138" s="6" t="s">
        <v>4</v>
      </c>
      <c r="E138" s="22" t="s">
        <v>1208</v>
      </c>
      <c r="F138" s="22" t="s">
        <v>170</v>
      </c>
      <c r="G138" s="22" t="s">
        <v>183</v>
      </c>
      <c r="H138" s="29" t="s">
        <v>1209</v>
      </c>
    </row>
    <row r="139" ht="20" customHeight="1" spans="1:8" x14ac:dyDescent="0.25">
      <c r="A139" s="24" t="s">
        <v>60</v>
      </c>
      <c r="B139" s="24" t="s">
        <v>31</v>
      </c>
      <c r="C139" s="25" t="s">
        <v>71</v>
      </c>
      <c r="D139" s="6" t="s">
        <v>4</v>
      </c>
      <c r="E139" s="24" t="s">
        <v>948</v>
      </c>
      <c r="F139" s="24" t="s">
        <v>997</v>
      </c>
      <c r="G139" s="24" t="s">
        <v>81</v>
      </c>
      <c r="H139" s="34" t="s">
        <v>949</v>
      </c>
    </row>
    <row r="140" ht="20" customHeight="1" spans="1:8" x14ac:dyDescent="0.25">
      <c r="A140" s="22" t="s">
        <v>61</v>
      </c>
      <c r="B140" s="22" t="s">
        <v>34</v>
      </c>
      <c r="C140" s="23" t="s">
        <v>71</v>
      </c>
      <c r="D140" s="6" t="s">
        <v>4</v>
      </c>
      <c r="E140" s="22" t="s">
        <v>362</v>
      </c>
      <c r="F140" s="22" t="s">
        <v>237</v>
      </c>
      <c r="G140" s="22" t="s">
        <v>130</v>
      </c>
      <c r="H140" s="32" t="s">
        <v>79</v>
      </c>
    </row>
    <row r="141" ht="20" customHeight="1" spans="1:8" x14ac:dyDescent="0.25">
      <c r="A141" s="24" t="s">
        <v>62</v>
      </c>
      <c r="B141" s="24" t="s">
        <v>36</v>
      </c>
      <c r="C141" s="25" t="s">
        <v>71</v>
      </c>
      <c r="D141" s="6" t="s">
        <v>4</v>
      </c>
      <c r="E141" s="24" t="s">
        <v>1088</v>
      </c>
      <c r="F141" s="24" t="s">
        <v>84</v>
      </c>
      <c r="G141" s="24" t="s">
        <v>325</v>
      </c>
      <c r="H141" s="34" t="s">
        <v>1089</v>
      </c>
    </row>
    <row r="142" ht="20" customHeight="1" spans="1:8" x14ac:dyDescent="0.25">
      <c r="A142" s="22" t="s">
        <v>63</v>
      </c>
      <c r="B142" s="22" t="s">
        <v>38</v>
      </c>
      <c r="C142" s="23" t="s">
        <v>71</v>
      </c>
      <c r="D142" s="6" t="s">
        <v>4</v>
      </c>
      <c r="E142" s="22" t="s">
        <v>169</v>
      </c>
      <c r="F142" s="22" t="s">
        <v>77</v>
      </c>
      <c r="G142" s="22" t="s">
        <v>285</v>
      </c>
      <c r="H142" s="29" t="s">
        <v>172</v>
      </c>
    </row>
    <row r="143" ht="20" customHeight="1" spans="1:8" x14ac:dyDescent="0.25">
      <c r="A143" s="24" t="s">
        <v>64</v>
      </c>
      <c r="B143" s="24" t="s">
        <v>40</v>
      </c>
      <c r="C143" s="25" t="s">
        <v>71</v>
      </c>
      <c r="D143" s="36" t="s">
        <v>218</v>
      </c>
      <c r="E143" s="24" t="s">
        <v>965</v>
      </c>
      <c r="F143" s="24" t="s">
        <v>1289</v>
      </c>
      <c r="G143" s="24" t="s">
        <v>1290</v>
      </c>
      <c r="H143" s="34" t="s">
        <v>1291</v>
      </c>
    </row>
    <row r="144" ht="20" customHeight="1" spans="1:8" x14ac:dyDescent="0.25">
      <c r="A144" s="22" t="s">
        <v>65</v>
      </c>
      <c r="B144" s="22" t="s">
        <v>42</v>
      </c>
      <c r="C144" s="23" t="s">
        <v>71</v>
      </c>
      <c r="D144" s="35" t="s">
        <v>86</v>
      </c>
      <c r="E144" s="22" t="s">
        <v>12</v>
      </c>
      <c r="F144" s="22" t="s">
        <v>12</v>
      </c>
      <c r="G144" s="22" t="s">
        <v>12</v>
      </c>
      <c r="H144" s="22" t="s">
        <v>32</v>
      </c>
    </row>
    <row r="145" ht="20" customHeight="1" spans="1:8" x14ac:dyDescent="0.25">
      <c r="A145" s="24" t="s">
        <v>66</v>
      </c>
      <c r="B145" s="24" t="s">
        <v>45</v>
      </c>
      <c r="C145" s="25" t="s">
        <v>71</v>
      </c>
      <c r="D145" s="6" t="s">
        <v>4</v>
      </c>
      <c r="E145" s="24" t="s">
        <v>466</v>
      </c>
      <c r="F145" s="24" t="s">
        <v>648</v>
      </c>
      <c r="G145" s="24" t="s">
        <v>267</v>
      </c>
      <c r="H145" s="34" t="s">
        <v>468</v>
      </c>
    </row>
    <row r="146" ht="20" customHeight="1" spans="1:8" x14ac:dyDescent="0.25">
      <c r="A146" s="22" t="s">
        <v>67</v>
      </c>
      <c r="B146" s="22" t="s">
        <v>31</v>
      </c>
      <c r="C146" s="23" t="s">
        <v>71</v>
      </c>
      <c r="D146" s="6" t="s">
        <v>4</v>
      </c>
      <c r="E146" s="22" t="s">
        <v>1292</v>
      </c>
      <c r="F146" s="22" t="s">
        <v>1293</v>
      </c>
      <c r="G146" s="22" t="s">
        <v>171</v>
      </c>
      <c r="H146" s="29" t="s">
        <v>1294</v>
      </c>
    </row>
    <row r="147" ht="20" customHeight="1" spans="1:8" x14ac:dyDescent="0.25">
      <c r="A147" s="24" t="s">
        <v>68</v>
      </c>
      <c r="B147" s="24" t="s">
        <v>34</v>
      </c>
      <c r="C147" s="25" t="s">
        <v>71</v>
      </c>
      <c r="D147" s="6" t="s">
        <v>4</v>
      </c>
      <c r="E147" s="24" t="s">
        <v>876</v>
      </c>
      <c r="F147" s="24" t="s">
        <v>12</v>
      </c>
      <c r="G147" s="24" t="s">
        <v>12</v>
      </c>
      <c r="H147" s="34" t="s">
        <v>877</v>
      </c>
    </row>
    <row r="148" ht="22" customHeight="1" spans="1:8" x14ac:dyDescent="0.25">
      <c r="A148" s="26" t="s">
        <v>69</v>
      </c>
      <c r="B148" s="26"/>
      <c r="C148" s="26"/>
      <c r="D148" s="26"/>
      <c r="E148" s="26"/>
      <c r="F148" s="26"/>
      <c r="G148" s="27" t="s">
        <v>1295</v>
      </c>
      <c r="H148" s="28" t="s">
        <v>12</v>
      </c>
    </row>
    <row r="150" ht="26" customHeight="1" spans="1:8" x14ac:dyDescent="0.25">
      <c r="A150" s="20" t="s">
        <v>1296</v>
      </c>
      <c r="B150" s="20"/>
      <c r="C150" s="20"/>
      <c r="D150" s="20"/>
      <c r="E150" s="20"/>
      <c r="F150" s="20"/>
      <c r="G150" s="20"/>
      <c r="H150" s="20"/>
    </row>
    <row r="151" ht="22" customHeight="1" spans="1:8" x14ac:dyDescent="0.25">
      <c r="A151" s="21" t="s">
        <v>22</v>
      </c>
      <c r="B151" s="21" t="s">
        <v>23</v>
      </c>
      <c r="C151" s="21" t="s">
        <v>24</v>
      </c>
      <c r="D151" s="21" t="s">
        <v>25</v>
      </c>
      <c r="E151" s="21" t="s">
        <v>26</v>
      </c>
      <c r="F151" s="21" t="s">
        <v>27</v>
      </c>
      <c r="G151" s="21" t="s">
        <v>28</v>
      </c>
      <c r="H151" s="21" t="s">
        <v>29</v>
      </c>
    </row>
    <row r="152" ht="20" customHeight="1" spans="1:8" x14ac:dyDescent="0.25">
      <c r="A152" s="22" t="s">
        <v>30</v>
      </c>
      <c r="B152" s="22" t="s">
        <v>31</v>
      </c>
      <c r="C152" s="23" t="s">
        <v>71</v>
      </c>
      <c r="D152" s="6" t="s">
        <v>4</v>
      </c>
      <c r="E152" s="22" t="s">
        <v>199</v>
      </c>
      <c r="F152" s="22" t="s">
        <v>636</v>
      </c>
      <c r="G152" s="22" t="s">
        <v>267</v>
      </c>
      <c r="H152" s="29" t="s">
        <v>200</v>
      </c>
    </row>
    <row r="153" ht="20" customHeight="1" spans="1:8" x14ac:dyDescent="0.25">
      <c r="A153" s="24" t="s">
        <v>33</v>
      </c>
      <c r="B153" s="24" t="s">
        <v>34</v>
      </c>
      <c r="C153" s="25" t="s">
        <v>71</v>
      </c>
      <c r="D153" s="6" t="s">
        <v>4</v>
      </c>
      <c r="E153" s="24" t="s">
        <v>515</v>
      </c>
      <c r="F153" s="24" t="s">
        <v>344</v>
      </c>
      <c r="G153" s="24" t="s">
        <v>99</v>
      </c>
      <c r="H153" s="34" t="s">
        <v>517</v>
      </c>
    </row>
    <row r="154" ht="20" customHeight="1" spans="1:8" x14ac:dyDescent="0.25">
      <c r="A154" s="22" t="s">
        <v>35</v>
      </c>
      <c r="B154" s="22" t="s">
        <v>36</v>
      </c>
      <c r="C154" s="23" t="s">
        <v>71</v>
      </c>
      <c r="D154" s="6" t="s">
        <v>4</v>
      </c>
      <c r="E154" s="22" t="s">
        <v>251</v>
      </c>
      <c r="F154" s="22" t="s">
        <v>439</v>
      </c>
      <c r="G154" s="22" t="s">
        <v>81</v>
      </c>
      <c r="H154" s="29" t="s">
        <v>253</v>
      </c>
    </row>
    <row r="155" ht="20" customHeight="1" spans="1:8" x14ac:dyDescent="0.25">
      <c r="A155" s="24" t="s">
        <v>37</v>
      </c>
      <c r="B155" s="24" t="s">
        <v>38</v>
      </c>
      <c r="C155" s="25" t="s">
        <v>71</v>
      </c>
      <c r="D155" s="31" t="s">
        <v>11</v>
      </c>
      <c r="E155" s="24" t="s">
        <v>12</v>
      </c>
      <c r="F155" s="24" t="s">
        <v>12</v>
      </c>
      <c r="G155" s="24" t="s">
        <v>12</v>
      </c>
      <c r="H155" s="24" t="s">
        <v>32</v>
      </c>
    </row>
    <row r="156" ht="20" customHeight="1" spans="1:8" x14ac:dyDescent="0.25">
      <c r="A156" s="22" t="s">
        <v>39</v>
      </c>
      <c r="B156" s="22" t="s">
        <v>40</v>
      </c>
      <c r="C156" s="23" t="s">
        <v>71</v>
      </c>
      <c r="D156" s="6" t="s">
        <v>4</v>
      </c>
      <c r="E156" s="22" t="s">
        <v>364</v>
      </c>
      <c r="F156" s="22" t="s">
        <v>258</v>
      </c>
      <c r="G156" s="22" t="s">
        <v>281</v>
      </c>
      <c r="H156" s="32" t="s">
        <v>79</v>
      </c>
    </row>
    <row r="157" ht="20" customHeight="1" spans="1:8" x14ac:dyDescent="0.25">
      <c r="A157" s="24" t="s">
        <v>41</v>
      </c>
      <c r="B157" s="24" t="s">
        <v>42</v>
      </c>
      <c r="C157" s="25" t="s">
        <v>71</v>
      </c>
      <c r="D157" s="33" t="s">
        <v>86</v>
      </c>
      <c r="E157" s="24" t="s">
        <v>12</v>
      </c>
      <c r="F157" s="24" t="s">
        <v>12</v>
      </c>
      <c r="G157" s="24" t="s">
        <v>12</v>
      </c>
      <c r="H157" s="24" t="s">
        <v>32</v>
      </c>
    </row>
    <row r="158" ht="20" customHeight="1" spans="1:8" x14ac:dyDescent="0.25">
      <c r="A158" s="22" t="s">
        <v>44</v>
      </c>
      <c r="B158" s="22" t="s">
        <v>45</v>
      </c>
      <c r="C158" s="23" t="s">
        <v>71</v>
      </c>
      <c r="D158" s="6" t="s">
        <v>4</v>
      </c>
      <c r="E158" s="22" t="s">
        <v>392</v>
      </c>
      <c r="F158" s="22" t="s">
        <v>562</v>
      </c>
      <c r="G158" s="22" t="s">
        <v>659</v>
      </c>
      <c r="H158" s="29" t="s">
        <v>394</v>
      </c>
    </row>
    <row r="159" ht="20" customHeight="1" spans="1:8" x14ac:dyDescent="0.25">
      <c r="A159" s="24" t="s">
        <v>46</v>
      </c>
      <c r="B159" s="24" t="s">
        <v>31</v>
      </c>
      <c r="C159" s="25" t="s">
        <v>71</v>
      </c>
      <c r="D159" s="6" t="s">
        <v>4</v>
      </c>
      <c r="E159" s="24" t="s">
        <v>392</v>
      </c>
      <c r="F159" s="24" t="s">
        <v>160</v>
      </c>
      <c r="G159" s="24" t="s">
        <v>414</v>
      </c>
      <c r="H159" s="34" t="s">
        <v>394</v>
      </c>
    </row>
    <row r="160" ht="20" customHeight="1" spans="1:8" x14ac:dyDescent="0.25">
      <c r="A160" s="22" t="s">
        <v>47</v>
      </c>
      <c r="B160" s="22" t="s">
        <v>34</v>
      </c>
      <c r="C160" s="23" t="s">
        <v>71</v>
      </c>
      <c r="D160" s="6" t="s">
        <v>4</v>
      </c>
      <c r="E160" s="22" t="s">
        <v>567</v>
      </c>
      <c r="F160" s="22" t="s">
        <v>153</v>
      </c>
      <c r="G160" s="22" t="s">
        <v>281</v>
      </c>
      <c r="H160" s="32" t="s">
        <v>79</v>
      </c>
    </row>
    <row r="161" ht="20" customHeight="1" spans="1:8" x14ac:dyDescent="0.25">
      <c r="A161" s="24" t="s">
        <v>48</v>
      </c>
      <c r="B161" s="24" t="s">
        <v>36</v>
      </c>
      <c r="C161" s="25" t="s">
        <v>71</v>
      </c>
      <c r="D161" s="6" t="s">
        <v>4</v>
      </c>
      <c r="E161" s="24" t="s">
        <v>411</v>
      </c>
      <c r="F161" s="24" t="s">
        <v>519</v>
      </c>
      <c r="G161" s="24" t="s">
        <v>414</v>
      </c>
      <c r="H161" s="30" t="s">
        <v>79</v>
      </c>
    </row>
    <row r="162" ht="20" customHeight="1" spans="1:8" x14ac:dyDescent="0.25">
      <c r="A162" s="22" t="s">
        <v>49</v>
      </c>
      <c r="B162" s="22" t="s">
        <v>38</v>
      </c>
      <c r="C162" s="23" t="s">
        <v>71</v>
      </c>
      <c r="D162" s="6" t="s">
        <v>4</v>
      </c>
      <c r="E162" s="22" t="s">
        <v>372</v>
      </c>
      <c r="F162" s="22" t="s">
        <v>245</v>
      </c>
      <c r="G162" s="22" t="s">
        <v>291</v>
      </c>
      <c r="H162" s="32" t="s">
        <v>79</v>
      </c>
    </row>
    <row r="163" ht="20" customHeight="1" spans="1:8" x14ac:dyDescent="0.25">
      <c r="A163" s="24" t="s">
        <v>50</v>
      </c>
      <c r="B163" s="24" t="s">
        <v>40</v>
      </c>
      <c r="C163" s="25" t="s">
        <v>71</v>
      </c>
      <c r="D163" s="33" t="s">
        <v>86</v>
      </c>
      <c r="E163" s="24" t="s">
        <v>12</v>
      </c>
      <c r="F163" s="24" t="s">
        <v>12</v>
      </c>
      <c r="G163" s="24" t="s">
        <v>12</v>
      </c>
      <c r="H163" s="24" t="s">
        <v>32</v>
      </c>
    </row>
    <row r="164" ht="20" customHeight="1" spans="1:8" x14ac:dyDescent="0.25">
      <c r="A164" s="22" t="s">
        <v>51</v>
      </c>
      <c r="B164" s="22" t="s">
        <v>42</v>
      </c>
      <c r="C164" s="23" t="s">
        <v>71</v>
      </c>
      <c r="D164" s="35" t="s">
        <v>86</v>
      </c>
      <c r="E164" s="22" t="s">
        <v>12</v>
      </c>
      <c r="F164" s="22" t="s">
        <v>12</v>
      </c>
      <c r="G164" s="22" t="s">
        <v>12</v>
      </c>
      <c r="H164" s="22" t="s">
        <v>32</v>
      </c>
    </row>
    <row r="165" ht="20" customHeight="1" spans="1:8" x14ac:dyDescent="0.25">
      <c r="A165" s="24" t="s">
        <v>52</v>
      </c>
      <c r="B165" s="24" t="s">
        <v>45</v>
      </c>
      <c r="C165" s="25" t="s">
        <v>71</v>
      </c>
      <c r="D165" s="6" t="s">
        <v>4</v>
      </c>
      <c r="E165" s="24" t="s">
        <v>163</v>
      </c>
      <c r="F165" s="24" t="s">
        <v>209</v>
      </c>
      <c r="G165" s="24" t="s">
        <v>285</v>
      </c>
      <c r="H165" s="34" t="s">
        <v>166</v>
      </c>
    </row>
    <row r="166" ht="20" customHeight="1" spans="1:8" x14ac:dyDescent="0.25">
      <c r="A166" s="22" t="s">
        <v>53</v>
      </c>
      <c r="B166" s="22" t="s">
        <v>31</v>
      </c>
      <c r="C166" s="23" t="s">
        <v>71</v>
      </c>
      <c r="D166" s="6" t="s">
        <v>4</v>
      </c>
      <c r="E166" s="22" t="s">
        <v>375</v>
      </c>
      <c r="F166" s="22" t="s">
        <v>636</v>
      </c>
      <c r="G166" s="22" t="s">
        <v>119</v>
      </c>
      <c r="H166" s="32" t="s">
        <v>79</v>
      </c>
    </row>
    <row r="167" ht="20" customHeight="1" spans="1:8" x14ac:dyDescent="0.25">
      <c r="A167" s="24" t="s">
        <v>54</v>
      </c>
      <c r="B167" s="24" t="s">
        <v>34</v>
      </c>
      <c r="C167" s="25" t="s">
        <v>71</v>
      </c>
      <c r="D167" s="6" t="s">
        <v>4</v>
      </c>
      <c r="E167" s="24" t="s">
        <v>364</v>
      </c>
      <c r="F167" s="24" t="s">
        <v>153</v>
      </c>
      <c r="G167" s="24" t="s">
        <v>283</v>
      </c>
      <c r="H167" s="30" t="s">
        <v>79</v>
      </c>
    </row>
    <row r="168" ht="20" customHeight="1" spans="1:8" x14ac:dyDescent="0.25">
      <c r="A168" s="22" t="s">
        <v>55</v>
      </c>
      <c r="B168" s="22" t="s">
        <v>36</v>
      </c>
      <c r="C168" s="23" t="s">
        <v>71</v>
      </c>
      <c r="D168" s="6" t="s">
        <v>4</v>
      </c>
      <c r="E168" s="22" t="s">
        <v>322</v>
      </c>
      <c r="F168" s="22" t="s">
        <v>160</v>
      </c>
      <c r="G168" s="22" t="s">
        <v>283</v>
      </c>
      <c r="H168" s="29" t="s">
        <v>323</v>
      </c>
    </row>
    <row r="169" ht="20" customHeight="1" spans="1:8" x14ac:dyDescent="0.25">
      <c r="A169" s="24" t="s">
        <v>56</v>
      </c>
      <c r="B169" s="24" t="s">
        <v>38</v>
      </c>
      <c r="C169" s="25" t="s">
        <v>71</v>
      </c>
      <c r="D169" s="6" t="s">
        <v>4</v>
      </c>
      <c r="E169" s="24" t="s">
        <v>262</v>
      </c>
      <c r="F169" s="24" t="s">
        <v>641</v>
      </c>
      <c r="G169" s="24" t="s">
        <v>279</v>
      </c>
      <c r="H169" s="34" t="s">
        <v>264</v>
      </c>
    </row>
    <row r="170" ht="20" customHeight="1" spans="1:8" x14ac:dyDescent="0.25">
      <c r="A170" s="22" t="s">
        <v>57</v>
      </c>
      <c r="B170" s="22" t="s">
        <v>40</v>
      </c>
      <c r="C170" s="23" t="s">
        <v>71</v>
      </c>
      <c r="D170" s="6" t="s">
        <v>4</v>
      </c>
      <c r="E170" s="22" t="s">
        <v>199</v>
      </c>
      <c r="F170" s="22" t="s">
        <v>112</v>
      </c>
      <c r="G170" s="22" t="s">
        <v>577</v>
      </c>
      <c r="H170" s="29" t="s">
        <v>200</v>
      </c>
    </row>
    <row r="171" ht="20" customHeight="1" spans="1:8" x14ac:dyDescent="0.25">
      <c r="A171" s="24" t="s">
        <v>58</v>
      </c>
      <c r="B171" s="24" t="s">
        <v>42</v>
      </c>
      <c r="C171" s="25" t="s">
        <v>71</v>
      </c>
      <c r="D171" s="33" t="s">
        <v>86</v>
      </c>
      <c r="E171" s="24" t="s">
        <v>12</v>
      </c>
      <c r="F171" s="24" t="s">
        <v>12</v>
      </c>
      <c r="G171" s="24" t="s">
        <v>12</v>
      </c>
      <c r="H171" s="24" t="s">
        <v>32</v>
      </c>
    </row>
    <row r="172" ht="20" customHeight="1" spans="1:8" x14ac:dyDescent="0.25">
      <c r="A172" s="22" t="s">
        <v>59</v>
      </c>
      <c r="B172" s="22" t="s">
        <v>45</v>
      </c>
      <c r="C172" s="23" t="s">
        <v>71</v>
      </c>
      <c r="D172" s="6" t="s">
        <v>4</v>
      </c>
      <c r="E172" s="22" t="s">
        <v>230</v>
      </c>
      <c r="F172" s="22" t="s">
        <v>258</v>
      </c>
      <c r="G172" s="22" t="s">
        <v>329</v>
      </c>
      <c r="H172" s="29" t="s">
        <v>233</v>
      </c>
    </row>
    <row r="173" ht="20" customHeight="1" spans="1:8" x14ac:dyDescent="0.25">
      <c r="A173" s="24" t="s">
        <v>60</v>
      </c>
      <c r="B173" s="24" t="s">
        <v>31</v>
      </c>
      <c r="C173" s="25" t="s">
        <v>71</v>
      </c>
      <c r="D173" s="6" t="s">
        <v>4</v>
      </c>
      <c r="E173" s="24" t="s">
        <v>353</v>
      </c>
      <c r="F173" s="24" t="s">
        <v>636</v>
      </c>
      <c r="G173" s="24" t="s">
        <v>142</v>
      </c>
      <c r="H173" s="34" t="s">
        <v>355</v>
      </c>
    </row>
    <row r="174" ht="20" customHeight="1" spans="1:8" x14ac:dyDescent="0.25">
      <c r="A174" s="22" t="s">
        <v>61</v>
      </c>
      <c r="B174" s="22" t="s">
        <v>34</v>
      </c>
      <c r="C174" s="23" t="s">
        <v>71</v>
      </c>
      <c r="D174" s="6" t="s">
        <v>4</v>
      </c>
      <c r="E174" s="22" t="s">
        <v>353</v>
      </c>
      <c r="F174" s="22" t="s">
        <v>404</v>
      </c>
      <c r="G174" s="22" t="s">
        <v>261</v>
      </c>
      <c r="H174" s="29" t="s">
        <v>355</v>
      </c>
    </row>
    <row r="175" ht="20" customHeight="1" spans="1:8" x14ac:dyDescent="0.25">
      <c r="A175" s="24" t="s">
        <v>62</v>
      </c>
      <c r="B175" s="24" t="s">
        <v>36</v>
      </c>
      <c r="C175" s="25" t="s">
        <v>71</v>
      </c>
      <c r="D175" s="6" t="s">
        <v>4</v>
      </c>
      <c r="E175" s="24" t="s">
        <v>878</v>
      </c>
      <c r="F175" s="24" t="s">
        <v>636</v>
      </c>
      <c r="G175" s="24" t="s">
        <v>579</v>
      </c>
      <c r="H175" s="34" t="s">
        <v>879</v>
      </c>
    </row>
    <row r="176" ht="20" customHeight="1" spans="1:8" x14ac:dyDescent="0.25">
      <c r="A176" s="22" t="s">
        <v>63</v>
      </c>
      <c r="B176" s="22" t="s">
        <v>38</v>
      </c>
      <c r="C176" s="23" t="s">
        <v>71</v>
      </c>
      <c r="D176" s="6" t="s">
        <v>4</v>
      </c>
      <c r="E176" s="22" t="s">
        <v>262</v>
      </c>
      <c r="F176" s="22" t="s">
        <v>243</v>
      </c>
      <c r="G176" s="22" t="s">
        <v>187</v>
      </c>
      <c r="H176" s="29" t="s">
        <v>264</v>
      </c>
    </row>
    <row r="177" ht="20" customHeight="1" spans="1:8" x14ac:dyDescent="0.25">
      <c r="A177" s="24" t="s">
        <v>64</v>
      </c>
      <c r="B177" s="24" t="s">
        <v>40</v>
      </c>
      <c r="C177" s="25" t="s">
        <v>71</v>
      </c>
      <c r="D177" s="6" t="s">
        <v>4</v>
      </c>
      <c r="E177" s="24" t="s">
        <v>1297</v>
      </c>
      <c r="F177" s="24" t="s">
        <v>258</v>
      </c>
      <c r="G177" s="24" t="s">
        <v>1298</v>
      </c>
      <c r="H177" s="34" t="s">
        <v>1299</v>
      </c>
    </row>
    <row r="178" ht="20" customHeight="1" spans="1:8" x14ac:dyDescent="0.25">
      <c r="A178" s="22" t="s">
        <v>65</v>
      </c>
      <c r="B178" s="22" t="s">
        <v>42</v>
      </c>
      <c r="C178" s="23" t="s">
        <v>71</v>
      </c>
      <c r="D178" s="35" t="s">
        <v>86</v>
      </c>
      <c r="E178" s="22" t="s">
        <v>12</v>
      </c>
      <c r="F178" s="22" t="s">
        <v>12</v>
      </c>
      <c r="G178" s="22" t="s">
        <v>12</v>
      </c>
      <c r="H178" s="22" t="s">
        <v>32</v>
      </c>
    </row>
    <row r="179" ht="20" customHeight="1" spans="1:8" x14ac:dyDescent="0.25">
      <c r="A179" s="24" t="s">
        <v>66</v>
      </c>
      <c r="B179" s="24" t="s">
        <v>45</v>
      </c>
      <c r="C179" s="25" t="s">
        <v>71</v>
      </c>
      <c r="D179" s="6" t="s">
        <v>4</v>
      </c>
      <c r="E179" s="24" t="s">
        <v>515</v>
      </c>
      <c r="F179" s="24" t="s">
        <v>344</v>
      </c>
      <c r="G179" s="24" t="s">
        <v>99</v>
      </c>
      <c r="H179" s="34" t="s">
        <v>517</v>
      </c>
    </row>
    <row r="180" ht="20" customHeight="1" spans="1:8" x14ac:dyDescent="0.25">
      <c r="A180" s="22" t="s">
        <v>67</v>
      </c>
      <c r="B180" s="22" t="s">
        <v>31</v>
      </c>
      <c r="C180" s="23" t="s">
        <v>71</v>
      </c>
      <c r="D180" s="6" t="s">
        <v>4</v>
      </c>
      <c r="E180" s="22" t="s">
        <v>639</v>
      </c>
      <c r="F180" s="22" t="s">
        <v>243</v>
      </c>
      <c r="G180" s="22" t="s">
        <v>81</v>
      </c>
      <c r="H180" s="32" t="s">
        <v>79</v>
      </c>
    </row>
    <row r="181" ht="20" customHeight="1" spans="1:8" x14ac:dyDescent="0.25">
      <c r="A181" s="24" t="s">
        <v>68</v>
      </c>
      <c r="B181" s="24" t="s">
        <v>34</v>
      </c>
      <c r="C181" s="25" t="s">
        <v>71</v>
      </c>
      <c r="D181" s="6" t="s">
        <v>4</v>
      </c>
      <c r="E181" s="24" t="s">
        <v>201</v>
      </c>
      <c r="F181" s="24" t="s">
        <v>761</v>
      </c>
      <c r="G181" s="24" t="s">
        <v>429</v>
      </c>
      <c r="H181" s="34" t="s">
        <v>204</v>
      </c>
    </row>
    <row r="182" ht="22" customHeight="1" spans="1:8" x14ac:dyDescent="0.25">
      <c r="A182" s="26" t="s">
        <v>69</v>
      </c>
      <c r="B182" s="26"/>
      <c r="C182" s="26"/>
      <c r="D182" s="26"/>
      <c r="E182" s="26"/>
      <c r="F182" s="26"/>
      <c r="G182" s="27" t="s">
        <v>1300</v>
      </c>
      <c r="H182" s="28" t="s">
        <v>12</v>
      </c>
    </row>
    <row r="184" ht="26" customHeight="1" spans="1:8" x14ac:dyDescent="0.25">
      <c r="A184" s="20" t="s">
        <v>1301</v>
      </c>
      <c r="B184" s="20"/>
      <c r="C184" s="20"/>
      <c r="D184" s="20"/>
      <c r="E184" s="20"/>
      <c r="F184" s="20"/>
      <c r="G184" s="20"/>
      <c r="H184" s="20"/>
    </row>
    <row r="185" ht="22" customHeight="1" spans="1:8" x14ac:dyDescent="0.25">
      <c r="A185" s="21" t="s">
        <v>22</v>
      </c>
      <c r="B185" s="21" t="s">
        <v>23</v>
      </c>
      <c r="C185" s="21" t="s">
        <v>24</v>
      </c>
      <c r="D185" s="21" t="s">
        <v>25</v>
      </c>
      <c r="E185" s="21" t="s">
        <v>26</v>
      </c>
      <c r="F185" s="21" t="s">
        <v>27</v>
      </c>
      <c r="G185" s="21" t="s">
        <v>28</v>
      </c>
      <c r="H185" s="21" t="s">
        <v>29</v>
      </c>
    </row>
    <row r="186" ht="20" customHeight="1" spans="1:8" x14ac:dyDescent="0.25">
      <c r="A186" s="22" t="s">
        <v>30</v>
      </c>
      <c r="B186" s="22" t="s">
        <v>31</v>
      </c>
      <c r="C186" s="23" t="s">
        <v>71</v>
      </c>
      <c r="D186" s="6" t="s">
        <v>4</v>
      </c>
      <c r="E186" s="22" t="s">
        <v>518</v>
      </c>
      <c r="F186" s="22" t="s">
        <v>321</v>
      </c>
      <c r="G186" s="22" t="s">
        <v>514</v>
      </c>
      <c r="H186" s="32" t="s">
        <v>79</v>
      </c>
    </row>
    <row r="187" ht="20" customHeight="1" spans="1:8" x14ac:dyDescent="0.25">
      <c r="A187" s="24" t="s">
        <v>33</v>
      </c>
      <c r="B187" s="24" t="s">
        <v>34</v>
      </c>
      <c r="C187" s="25" t="s">
        <v>71</v>
      </c>
      <c r="D187" s="6" t="s">
        <v>4</v>
      </c>
      <c r="E187" s="24" t="s">
        <v>230</v>
      </c>
      <c r="F187" s="24" t="s">
        <v>321</v>
      </c>
      <c r="G187" s="24" t="s">
        <v>493</v>
      </c>
      <c r="H187" s="34" t="s">
        <v>233</v>
      </c>
    </row>
    <row r="188" ht="20" customHeight="1" spans="1:8" x14ac:dyDescent="0.25">
      <c r="A188" s="22" t="s">
        <v>35</v>
      </c>
      <c r="B188" s="22" t="s">
        <v>36</v>
      </c>
      <c r="C188" s="23" t="s">
        <v>71</v>
      </c>
      <c r="D188" s="6" t="s">
        <v>4</v>
      </c>
      <c r="E188" s="22" t="s">
        <v>361</v>
      </c>
      <c r="F188" s="22" t="s">
        <v>231</v>
      </c>
      <c r="G188" s="22" t="s">
        <v>177</v>
      </c>
      <c r="H188" s="32" t="s">
        <v>79</v>
      </c>
    </row>
    <row r="189" ht="20" customHeight="1" spans="1:8" x14ac:dyDescent="0.25">
      <c r="A189" s="24" t="s">
        <v>37</v>
      </c>
      <c r="B189" s="24" t="s">
        <v>38</v>
      </c>
      <c r="C189" s="25" t="s">
        <v>71</v>
      </c>
      <c r="D189" s="31" t="s">
        <v>11</v>
      </c>
      <c r="E189" s="24" t="s">
        <v>12</v>
      </c>
      <c r="F189" s="24" t="s">
        <v>12</v>
      </c>
      <c r="G189" s="24" t="s">
        <v>12</v>
      </c>
      <c r="H189" s="24" t="s">
        <v>32</v>
      </c>
    </row>
    <row r="190" ht="20" customHeight="1" spans="1:8" x14ac:dyDescent="0.25">
      <c r="A190" s="22" t="s">
        <v>39</v>
      </c>
      <c r="B190" s="22" t="s">
        <v>40</v>
      </c>
      <c r="C190" s="23" t="s">
        <v>71</v>
      </c>
      <c r="D190" s="6" t="s">
        <v>4</v>
      </c>
      <c r="E190" s="22" t="s">
        <v>152</v>
      </c>
      <c r="F190" s="22" t="s">
        <v>404</v>
      </c>
      <c r="G190" s="22" t="s">
        <v>367</v>
      </c>
      <c r="H190" s="29" t="s">
        <v>155</v>
      </c>
    </row>
    <row r="191" ht="20" customHeight="1" spans="1:8" x14ac:dyDescent="0.25">
      <c r="A191" s="24" t="s">
        <v>41</v>
      </c>
      <c r="B191" s="24" t="s">
        <v>42</v>
      </c>
      <c r="C191" s="25" t="s">
        <v>71</v>
      </c>
      <c r="D191" s="33" t="s">
        <v>86</v>
      </c>
      <c r="E191" s="24" t="s">
        <v>12</v>
      </c>
      <c r="F191" s="24" t="s">
        <v>12</v>
      </c>
      <c r="G191" s="24" t="s">
        <v>12</v>
      </c>
      <c r="H191" s="24" t="s">
        <v>32</v>
      </c>
    </row>
    <row r="192" ht="20" customHeight="1" spans="1:8" x14ac:dyDescent="0.25">
      <c r="A192" s="22" t="s">
        <v>44</v>
      </c>
      <c r="B192" s="22" t="s">
        <v>45</v>
      </c>
      <c r="C192" s="23" t="s">
        <v>71</v>
      </c>
      <c r="D192" s="6" t="s">
        <v>4</v>
      </c>
      <c r="E192" s="22" t="s">
        <v>635</v>
      </c>
      <c r="F192" s="22" t="s">
        <v>321</v>
      </c>
      <c r="G192" s="22" t="s">
        <v>429</v>
      </c>
      <c r="H192" s="32" t="s">
        <v>79</v>
      </c>
    </row>
    <row r="193" ht="20" customHeight="1" spans="1:8" x14ac:dyDescent="0.25">
      <c r="A193" s="24" t="s">
        <v>46</v>
      </c>
      <c r="B193" s="24" t="s">
        <v>31</v>
      </c>
      <c r="C193" s="25" t="s">
        <v>71</v>
      </c>
      <c r="D193" s="6" t="s">
        <v>4</v>
      </c>
      <c r="E193" s="24" t="s">
        <v>375</v>
      </c>
      <c r="F193" s="24" t="s">
        <v>373</v>
      </c>
      <c r="G193" s="24" t="s">
        <v>329</v>
      </c>
      <c r="H193" s="30" t="s">
        <v>79</v>
      </c>
    </row>
    <row r="194" ht="20" customHeight="1" spans="1:8" x14ac:dyDescent="0.25">
      <c r="A194" s="22" t="s">
        <v>47</v>
      </c>
      <c r="B194" s="22" t="s">
        <v>34</v>
      </c>
      <c r="C194" s="23" t="s">
        <v>71</v>
      </c>
      <c r="D194" s="6" t="s">
        <v>4</v>
      </c>
      <c r="E194" s="22" t="s">
        <v>379</v>
      </c>
      <c r="F194" s="22" t="s">
        <v>324</v>
      </c>
      <c r="G194" s="22" t="s">
        <v>165</v>
      </c>
      <c r="H194" s="29" t="s">
        <v>380</v>
      </c>
    </row>
    <row r="195" ht="20" customHeight="1" spans="1:8" x14ac:dyDescent="0.25">
      <c r="A195" s="24" t="s">
        <v>48</v>
      </c>
      <c r="B195" s="24" t="s">
        <v>36</v>
      </c>
      <c r="C195" s="25" t="s">
        <v>71</v>
      </c>
      <c r="D195" s="6" t="s">
        <v>4</v>
      </c>
      <c r="E195" s="24" t="s">
        <v>403</v>
      </c>
      <c r="F195" s="24" t="s">
        <v>376</v>
      </c>
      <c r="G195" s="24" t="s">
        <v>407</v>
      </c>
      <c r="H195" s="30" t="s">
        <v>79</v>
      </c>
    </row>
    <row r="196" ht="20" customHeight="1" spans="1:8" x14ac:dyDescent="0.25">
      <c r="A196" s="22" t="s">
        <v>49</v>
      </c>
      <c r="B196" s="22" t="s">
        <v>38</v>
      </c>
      <c r="C196" s="23" t="s">
        <v>71</v>
      </c>
      <c r="D196" s="6" t="s">
        <v>4</v>
      </c>
      <c r="E196" s="22" t="s">
        <v>322</v>
      </c>
      <c r="F196" s="22" t="s">
        <v>344</v>
      </c>
      <c r="G196" s="22" t="s">
        <v>171</v>
      </c>
      <c r="H196" s="29" t="s">
        <v>323</v>
      </c>
    </row>
    <row r="197" ht="20" customHeight="1" spans="1:8" x14ac:dyDescent="0.25">
      <c r="A197" s="24" t="s">
        <v>50</v>
      </c>
      <c r="B197" s="24" t="s">
        <v>40</v>
      </c>
      <c r="C197" s="25" t="s">
        <v>71</v>
      </c>
      <c r="D197" s="33" t="s">
        <v>86</v>
      </c>
      <c r="E197" s="24" t="s">
        <v>12</v>
      </c>
      <c r="F197" s="24" t="s">
        <v>12</v>
      </c>
      <c r="G197" s="24" t="s">
        <v>12</v>
      </c>
      <c r="H197" s="24" t="s">
        <v>32</v>
      </c>
    </row>
    <row r="198" ht="20" customHeight="1" spans="1:8" x14ac:dyDescent="0.25">
      <c r="A198" s="22" t="s">
        <v>51</v>
      </c>
      <c r="B198" s="22" t="s">
        <v>42</v>
      </c>
      <c r="C198" s="23" t="s">
        <v>71</v>
      </c>
      <c r="D198" s="35" t="s">
        <v>86</v>
      </c>
      <c r="E198" s="22" t="s">
        <v>12</v>
      </c>
      <c r="F198" s="22" t="s">
        <v>12</v>
      </c>
      <c r="G198" s="22" t="s">
        <v>12</v>
      </c>
      <c r="H198" s="22" t="s">
        <v>32</v>
      </c>
    </row>
    <row r="199" ht="20" customHeight="1" spans="1:8" x14ac:dyDescent="0.25">
      <c r="A199" s="24" t="s">
        <v>52</v>
      </c>
      <c r="B199" s="24" t="s">
        <v>45</v>
      </c>
      <c r="C199" s="25" t="s">
        <v>71</v>
      </c>
      <c r="D199" s="6" t="s">
        <v>4</v>
      </c>
      <c r="E199" s="24" t="s">
        <v>383</v>
      </c>
      <c r="F199" s="24" t="s">
        <v>402</v>
      </c>
      <c r="G199" s="24" t="s">
        <v>177</v>
      </c>
      <c r="H199" s="30" t="s">
        <v>79</v>
      </c>
    </row>
    <row r="200" ht="20" customHeight="1" spans="1:8" x14ac:dyDescent="0.25">
      <c r="A200" s="22" t="s">
        <v>53</v>
      </c>
      <c r="B200" s="22" t="s">
        <v>31</v>
      </c>
      <c r="C200" s="23" t="s">
        <v>71</v>
      </c>
      <c r="D200" s="6" t="s">
        <v>4</v>
      </c>
      <c r="E200" s="22" t="s">
        <v>567</v>
      </c>
      <c r="F200" s="22" t="s">
        <v>373</v>
      </c>
      <c r="G200" s="22" t="s">
        <v>174</v>
      </c>
      <c r="H200" s="32" t="s">
        <v>79</v>
      </c>
    </row>
    <row r="201" ht="20" customHeight="1" spans="1:8" x14ac:dyDescent="0.25">
      <c r="A201" s="24" t="s">
        <v>54</v>
      </c>
      <c r="B201" s="24" t="s">
        <v>34</v>
      </c>
      <c r="C201" s="25" t="s">
        <v>71</v>
      </c>
      <c r="D201" s="6" t="s">
        <v>4</v>
      </c>
      <c r="E201" s="24" t="s">
        <v>364</v>
      </c>
      <c r="F201" s="24" t="s">
        <v>386</v>
      </c>
      <c r="G201" s="24" t="s">
        <v>165</v>
      </c>
      <c r="H201" s="30" t="s">
        <v>79</v>
      </c>
    </row>
    <row r="202" ht="20" customHeight="1" spans="1:8" x14ac:dyDescent="0.25">
      <c r="A202" s="22" t="s">
        <v>55</v>
      </c>
      <c r="B202" s="22" t="s">
        <v>36</v>
      </c>
      <c r="C202" s="23" t="s">
        <v>71</v>
      </c>
      <c r="D202" s="6" t="s">
        <v>4</v>
      </c>
      <c r="E202" s="22" t="s">
        <v>635</v>
      </c>
      <c r="F202" s="22" t="s">
        <v>133</v>
      </c>
      <c r="G202" s="22" t="s">
        <v>99</v>
      </c>
      <c r="H202" s="32" t="s">
        <v>79</v>
      </c>
    </row>
    <row r="203" ht="20" customHeight="1" spans="1:8" x14ac:dyDescent="0.25">
      <c r="A203" s="24" t="s">
        <v>56</v>
      </c>
      <c r="B203" s="24" t="s">
        <v>38</v>
      </c>
      <c r="C203" s="25" t="s">
        <v>71</v>
      </c>
      <c r="D203" s="6" t="s">
        <v>4</v>
      </c>
      <c r="E203" s="24" t="s">
        <v>163</v>
      </c>
      <c r="F203" s="24" t="s">
        <v>395</v>
      </c>
      <c r="G203" s="24" t="s">
        <v>973</v>
      </c>
      <c r="H203" s="34" t="s">
        <v>166</v>
      </c>
    </row>
    <row r="204" ht="20" customHeight="1" spans="1:8" x14ac:dyDescent="0.25">
      <c r="A204" s="22" t="s">
        <v>57</v>
      </c>
      <c r="B204" s="22" t="s">
        <v>40</v>
      </c>
      <c r="C204" s="23" t="s">
        <v>71</v>
      </c>
      <c r="D204" s="6" t="s">
        <v>4</v>
      </c>
      <c r="E204" s="22" t="s">
        <v>362</v>
      </c>
      <c r="F204" s="22" t="s">
        <v>389</v>
      </c>
      <c r="G204" s="22" t="s">
        <v>259</v>
      </c>
      <c r="H204" s="32" t="s">
        <v>79</v>
      </c>
    </row>
    <row r="205" ht="20" customHeight="1" spans="1:8" x14ac:dyDescent="0.25">
      <c r="A205" s="24" t="s">
        <v>58</v>
      </c>
      <c r="B205" s="24" t="s">
        <v>42</v>
      </c>
      <c r="C205" s="25" t="s">
        <v>71</v>
      </c>
      <c r="D205" s="33" t="s">
        <v>86</v>
      </c>
      <c r="E205" s="24" t="s">
        <v>12</v>
      </c>
      <c r="F205" s="24" t="s">
        <v>12</v>
      </c>
      <c r="G205" s="24" t="s">
        <v>12</v>
      </c>
      <c r="H205" s="24" t="s">
        <v>32</v>
      </c>
    </row>
    <row r="206" ht="20" customHeight="1" spans="1:8" x14ac:dyDescent="0.25">
      <c r="A206" s="22" t="s">
        <v>59</v>
      </c>
      <c r="B206" s="22" t="s">
        <v>45</v>
      </c>
      <c r="C206" s="23" t="s">
        <v>71</v>
      </c>
      <c r="D206" s="6" t="s">
        <v>4</v>
      </c>
      <c r="E206" s="22" t="s">
        <v>411</v>
      </c>
      <c r="F206" s="22" t="s">
        <v>136</v>
      </c>
      <c r="G206" s="22" t="s">
        <v>261</v>
      </c>
      <c r="H206" s="32" t="s">
        <v>79</v>
      </c>
    </row>
    <row r="207" ht="20" customHeight="1" spans="1:8" x14ac:dyDescent="0.25">
      <c r="A207" s="24" t="s">
        <v>60</v>
      </c>
      <c r="B207" s="24" t="s">
        <v>31</v>
      </c>
      <c r="C207" s="25" t="s">
        <v>71</v>
      </c>
      <c r="D207" s="6" t="s">
        <v>4</v>
      </c>
      <c r="E207" s="24" t="s">
        <v>348</v>
      </c>
      <c r="F207" s="24" t="s">
        <v>384</v>
      </c>
      <c r="G207" s="24" t="s">
        <v>574</v>
      </c>
      <c r="H207" s="34" t="s">
        <v>351</v>
      </c>
    </row>
    <row r="208" ht="20" customHeight="1" spans="1:8" x14ac:dyDescent="0.25">
      <c r="A208" s="22" t="s">
        <v>61</v>
      </c>
      <c r="B208" s="22" t="s">
        <v>34</v>
      </c>
      <c r="C208" s="23" t="s">
        <v>71</v>
      </c>
      <c r="D208" s="6" t="s">
        <v>4</v>
      </c>
      <c r="E208" s="22" t="s">
        <v>564</v>
      </c>
      <c r="F208" s="22" t="s">
        <v>321</v>
      </c>
      <c r="G208" s="22" t="s">
        <v>187</v>
      </c>
      <c r="H208" s="32" t="s">
        <v>79</v>
      </c>
    </row>
    <row r="209" ht="20" customHeight="1" spans="1:8" x14ac:dyDescent="0.25">
      <c r="A209" s="24" t="s">
        <v>62</v>
      </c>
      <c r="B209" s="24" t="s">
        <v>36</v>
      </c>
      <c r="C209" s="25" t="s">
        <v>71</v>
      </c>
      <c r="D209" s="6" t="s">
        <v>4</v>
      </c>
      <c r="E209" s="24" t="s">
        <v>364</v>
      </c>
      <c r="F209" s="24" t="s">
        <v>237</v>
      </c>
      <c r="G209" s="24" t="s">
        <v>267</v>
      </c>
      <c r="H209" s="30" t="s">
        <v>79</v>
      </c>
    </row>
    <row r="210" ht="20" customHeight="1" spans="1:8" x14ac:dyDescent="0.25">
      <c r="A210" s="22" t="s">
        <v>63</v>
      </c>
      <c r="B210" s="22" t="s">
        <v>38</v>
      </c>
      <c r="C210" s="23" t="s">
        <v>71</v>
      </c>
      <c r="D210" s="6" t="s">
        <v>4</v>
      </c>
      <c r="E210" s="22" t="s">
        <v>387</v>
      </c>
      <c r="F210" s="22" t="s">
        <v>133</v>
      </c>
      <c r="G210" s="22" t="s">
        <v>142</v>
      </c>
      <c r="H210" s="32" t="s">
        <v>79</v>
      </c>
    </row>
    <row r="211" ht="20" customHeight="1" spans="1:8" x14ac:dyDescent="0.25">
      <c r="A211" s="24" t="s">
        <v>64</v>
      </c>
      <c r="B211" s="24" t="s">
        <v>40</v>
      </c>
      <c r="C211" s="25" t="s">
        <v>71</v>
      </c>
      <c r="D211" s="6" t="s">
        <v>4</v>
      </c>
      <c r="E211" s="24" t="s">
        <v>383</v>
      </c>
      <c r="F211" s="24" t="s">
        <v>136</v>
      </c>
      <c r="G211" s="24" t="s">
        <v>99</v>
      </c>
      <c r="H211" s="30" t="s">
        <v>79</v>
      </c>
    </row>
    <row r="212" ht="20" customHeight="1" spans="1:8" x14ac:dyDescent="0.25">
      <c r="A212" s="22" t="s">
        <v>65</v>
      </c>
      <c r="B212" s="22" t="s">
        <v>42</v>
      </c>
      <c r="C212" s="23" t="s">
        <v>71</v>
      </c>
      <c r="D212" s="35" t="s">
        <v>86</v>
      </c>
      <c r="E212" s="22" t="s">
        <v>12</v>
      </c>
      <c r="F212" s="22" t="s">
        <v>12</v>
      </c>
      <c r="G212" s="22" t="s">
        <v>12</v>
      </c>
      <c r="H212" s="22" t="s">
        <v>32</v>
      </c>
    </row>
    <row r="213" ht="20" customHeight="1" spans="1:8" x14ac:dyDescent="0.25">
      <c r="A213" s="24" t="s">
        <v>66</v>
      </c>
      <c r="B213" s="24" t="s">
        <v>45</v>
      </c>
      <c r="C213" s="25" t="s">
        <v>71</v>
      </c>
      <c r="D213" s="6" t="s">
        <v>4</v>
      </c>
      <c r="E213" s="24" t="s">
        <v>364</v>
      </c>
      <c r="F213" s="24" t="s">
        <v>298</v>
      </c>
      <c r="G213" s="24" t="s">
        <v>329</v>
      </c>
      <c r="H213" s="30" t="s">
        <v>79</v>
      </c>
    </row>
    <row r="214" ht="20" customHeight="1" spans="1:8" x14ac:dyDescent="0.25">
      <c r="A214" s="22" t="s">
        <v>67</v>
      </c>
      <c r="B214" s="22" t="s">
        <v>31</v>
      </c>
      <c r="C214" s="23" t="s">
        <v>71</v>
      </c>
      <c r="D214" s="6" t="s">
        <v>4</v>
      </c>
      <c r="E214" s="22" t="s">
        <v>364</v>
      </c>
      <c r="F214" s="22" t="s">
        <v>354</v>
      </c>
      <c r="G214" s="22" t="s">
        <v>259</v>
      </c>
      <c r="H214" s="32" t="s">
        <v>79</v>
      </c>
    </row>
    <row r="215" ht="20" customHeight="1" spans="1:8" x14ac:dyDescent="0.25">
      <c r="A215" s="24" t="s">
        <v>68</v>
      </c>
      <c r="B215" s="24" t="s">
        <v>34</v>
      </c>
      <c r="C215" s="25" t="s">
        <v>71</v>
      </c>
      <c r="D215" s="6" t="s">
        <v>4</v>
      </c>
      <c r="E215" s="24" t="s">
        <v>364</v>
      </c>
      <c r="F215" s="24" t="s">
        <v>389</v>
      </c>
      <c r="G215" s="24" t="s">
        <v>429</v>
      </c>
      <c r="H215" s="30" t="s">
        <v>79</v>
      </c>
    </row>
    <row r="216" ht="22" customHeight="1" spans="1:8" x14ac:dyDescent="0.25">
      <c r="A216" s="26" t="s">
        <v>69</v>
      </c>
      <c r="B216" s="26"/>
      <c r="C216" s="26"/>
      <c r="D216" s="26"/>
      <c r="E216" s="26"/>
      <c r="F216" s="26"/>
      <c r="G216" s="27" t="s">
        <v>1302</v>
      </c>
      <c r="H216" s="28" t="s">
        <v>12</v>
      </c>
    </row>
    <row r="218" ht="26" customHeight="1" spans="1:8" x14ac:dyDescent="0.25">
      <c r="A218" s="20" t="s">
        <v>1303</v>
      </c>
      <c r="B218" s="20"/>
      <c r="C218" s="20"/>
      <c r="D218" s="20"/>
      <c r="E218" s="20"/>
      <c r="F218" s="20"/>
      <c r="G218" s="20"/>
      <c r="H218" s="20"/>
    </row>
    <row r="219" ht="22" customHeight="1" spans="1:8" x14ac:dyDescent="0.25">
      <c r="A219" s="21" t="s">
        <v>22</v>
      </c>
      <c r="B219" s="21" t="s">
        <v>23</v>
      </c>
      <c r="C219" s="21" t="s">
        <v>24</v>
      </c>
      <c r="D219" s="21" t="s">
        <v>25</v>
      </c>
      <c r="E219" s="21" t="s">
        <v>26</v>
      </c>
      <c r="F219" s="21" t="s">
        <v>27</v>
      </c>
      <c r="G219" s="21" t="s">
        <v>28</v>
      </c>
      <c r="H219" s="21" t="s">
        <v>29</v>
      </c>
    </row>
    <row r="220" ht="20" customHeight="1" spans="1:8" x14ac:dyDescent="0.25">
      <c r="A220" s="22" t="s">
        <v>30</v>
      </c>
      <c r="B220" s="22" t="s">
        <v>31</v>
      </c>
      <c r="C220" s="23" t="s">
        <v>71</v>
      </c>
      <c r="D220" s="6" t="s">
        <v>4</v>
      </c>
      <c r="E220" s="22" t="s">
        <v>311</v>
      </c>
      <c r="F220" s="22" t="s">
        <v>373</v>
      </c>
      <c r="G220" s="22" t="s">
        <v>142</v>
      </c>
      <c r="H220" s="32" t="s">
        <v>79</v>
      </c>
    </row>
    <row r="221" ht="20" customHeight="1" spans="1:8" x14ac:dyDescent="0.25">
      <c r="A221" s="24" t="s">
        <v>33</v>
      </c>
      <c r="B221" s="24" t="s">
        <v>34</v>
      </c>
      <c r="C221" s="25" t="s">
        <v>71</v>
      </c>
      <c r="D221" s="6" t="s">
        <v>4</v>
      </c>
      <c r="E221" s="24" t="s">
        <v>401</v>
      </c>
      <c r="F221" s="24" t="s">
        <v>376</v>
      </c>
      <c r="G221" s="24" t="s">
        <v>206</v>
      </c>
      <c r="H221" s="30" t="s">
        <v>79</v>
      </c>
    </row>
    <row r="222" ht="20" customHeight="1" spans="1:8" x14ac:dyDescent="0.25">
      <c r="A222" s="22" t="s">
        <v>35</v>
      </c>
      <c r="B222" s="22" t="s">
        <v>36</v>
      </c>
      <c r="C222" s="23" t="s">
        <v>71</v>
      </c>
      <c r="D222" s="6" t="s">
        <v>4</v>
      </c>
      <c r="E222" s="22" t="s">
        <v>383</v>
      </c>
      <c r="F222" s="22" t="s">
        <v>164</v>
      </c>
      <c r="G222" s="22" t="s">
        <v>762</v>
      </c>
      <c r="H222" s="32" t="s">
        <v>79</v>
      </c>
    </row>
    <row r="223" ht="20" customHeight="1" spans="1:8" x14ac:dyDescent="0.25">
      <c r="A223" s="24" t="s">
        <v>37</v>
      </c>
      <c r="B223" s="24" t="s">
        <v>38</v>
      </c>
      <c r="C223" s="25" t="s">
        <v>71</v>
      </c>
      <c r="D223" s="31" t="s">
        <v>11</v>
      </c>
      <c r="E223" s="24" t="s">
        <v>12</v>
      </c>
      <c r="F223" s="24" t="s">
        <v>12</v>
      </c>
      <c r="G223" s="24" t="s">
        <v>12</v>
      </c>
      <c r="H223" s="24" t="s">
        <v>32</v>
      </c>
    </row>
    <row r="224" ht="20" customHeight="1" spans="1:8" x14ac:dyDescent="0.25">
      <c r="A224" s="22" t="s">
        <v>39</v>
      </c>
      <c r="B224" s="22" t="s">
        <v>40</v>
      </c>
      <c r="C224" s="23" t="s">
        <v>71</v>
      </c>
      <c r="D224" s="6" t="s">
        <v>4</v>
      </c>
      <c r="E224" s="22" t="s">
        <v>383</v>
      </c>
      <c r="F224" s="22" t="s">
        <v>398</v>
      </c>
      <c r="G224" s="22" t="s">
        <v>161</v>
      </c>
      <c r="H224" s="32" t="s">
        <v>79</v>
      </c>
    </row>
    <row r="225" ht="20" customHeight="1" spans="1:8" x14ac:dyDescent="0.25">
      <c r="A225" s="24" t="s">
        <v>41</v>
      </c>
      <c r="B225" s="24" t="s">
        <v>42</v>
      </c>
      <c r="C225" s="25" t="s">
        <v>71</v>
      </c>
      <c r="D225" s="33" t="s">
        <v>86</v>
      </c>
      <c r="E225" s="24" t="s">
        <v>12</v>
      </c>
      <c r="F225" s="24" t="s">
        <v>12</v>
      </c>
      <c r="G225" s="24" t="s">
        <v>12</v>
      </c>
      <c r="H225" s="24" t="s">
        <v>32</v>
      </c>
    </row>
    <row r="226" ht="20" customHeight="1" spans="1:8" x14ac:dyDescent="0.25">
      <c r="A226" s="22" t="s">
        <v>44</v>
      </c>
      <c r="B226" s="22" t="s">
        <v>45</v>
      </c>
      <c r="C226" s="23" t="s">
        <v>71</v>
      </c>
      <c r="D226" s="6" t="s">
        <v>4</v>
      </c>
      <c r="E226" s="22" t="s">
        <v>311</v>
      </c>
      <c r="F226" s="22" t="s">
        <v>373</v>
      </c>
      <c r="G226" s="22" t="s">
        <v>142</v>
      </c>
      <c r="H226" s="32" t="s">
        <v>79</v>
      </c>
    </row>
    <row r="227" ht="20" customHeight="1" spans="1:8" x14ac:dyDescent="0.25">
      <c r="A227" s="24" t="s">
        <v>46</v>
      </c>
      <c r="B227" s="24" t="s">
        <v>31</v>
      </c>
      <c r="C227" s="25" t="s">
        <v>71</v>
      </c>
      <c r="D227" s="6" t="s">
        <v>4</v>
      </c>
      <c r="E227" s="24" t="s">
        <v>390</v>
      </c>
      <c r="F227" s="24" t="s">
        <v>237</v>
      </c>
      <c r="G227" s="24" t="s">
        <v>177</v>
      </c>
      <c r="H227" s="30" t="s">
        <v>79</v>
      </c>
    </row>
    <row r="228" ht="20" customHeight="1" spans="1:8" x14ac:dyDescent="0.25">
      <c r="A228" s="22" t="s">
        <v>47</v>
      </c>
      <c r="B228" s="22" t="s">
        <v>34</v>
      </c>
      <c r="C228" s="23" t="s">
        <v>71</v>
      </c>
      <c r="D228" s="6" t="s">
        <v>4</v>
      </c>
      <c r="E228" s="22" t="s">
        <v>311</v>
      </c>
      <c r="F228" s="22" t="s">
        <v>374</v>
      </c>
      <c r="G228" s="22" t="s">
        <v>147</v>
      </c>
      <c r="H228" s="32" t="s">
        <v>79</v>
      </c>
    </row>
    <row r="229" ht="20" customHeight="1" spans="1:8" x14ac:dyDescent="0.25">
      <c r="A229" s="24" t="s">
        <v>48</v>
      </c>
      <c r="B229" s="24" t="s">
        <v>36</v>
      </c>
      <c r="C229" s="25" t="s">
        <v>71</v>
      </c>
      <c r="D229" s="6" t="s">
        <v>4</v>
      </c>
      <c r="E229" s="24" t="s">
        <v>397</v>
      </c>
      <c r="F229" s="24" t="s">
        <v>298</v>
      </c>
      <c r="G229" s="24" t="s">
        <v>396</v>
      </c>
      <c r="H229" s="30" t="s">
        <v>79</v>
      </c>
    </row>
    <row r="230" ht="20" customHeight="1" spans="1:8" x14ac:dyDescent="0.25">
      <c r="A230" s="22" t="s">
        <v>49</v>
      </c>
      <c r="B230" s="22" t="s">
        <v>38</v>
      </c>
      <c r="C230" s="23" t="s">
        <v>71</v>
      </c>
      <c r="D230" s="6" t="s">
        <v>4</v>
      </c>
      <c r="E230" s="22" t="s">
        <v>372</v>
      </c>
      <c r="F230" s="22" t="s">
        <v>252</v>
      </c>
      <c r="G230" s="22" t="s">
        <v>137</v>
      </c>
      <c r="H230" s="32" t="s">
        <v>79</v>
      </c>
    </row>
    <row r="231" ht="20" customHeight="1" spans="1:8" x14ac:dyDescent="0.25">
      <c r="A231" s="24" t="s">
        <v>50</v>
      </c>
      <c r="B231" s="24" t="s">
        <v>40</v>
      </c>
      <c r="C231" s="25" t="s">
        <v>71</v>
      </c>
      <c r="D231" s="6" t="s">
        <v>4</v>
      </c>
      <c r="E231" s="24" t="s">
        <v>403</v>
      </c>
      <c r="F231" s="24" t="s">
        <v>12</v>
      </c>
      <c r="G231" s="24" t="s">
        <v>12</v>
      </c>
      <c r="H231" s="30" t="s">
        <v>79</v>
      </c>
    </row>
    <row r="232" ht="20" customHeight="1" spans="1:8" x14ac:dyDescent="0.25">
      <c r="A232" s="22" t="s">
        <v>51</v>
      </c>
      <c r="B232" s="22" t="s">
        <v>42</v>
      </c>
      <c r="C232" s="23" t="s">
        <v>71</v>
      </c>
      <c r="D232" s="35" t="s">
        <v>86</v>
      </c>
      <c r="E232" s="22" t="s">
        <v>12</v>
      </c>
      <c r="F232" s="22" t="s">
        <v>12</v>
      </c>
      <c r="G232" s="22" t="s">
        <v>12</v>
      </c>
      <c r="H232" s="22" t="s">
        <v>32</v>
      </c>
    </row>
    <row r="233" ht="20" customHeight="1" spans="1:8" x14ac:dyDescent="0.25">
      <c r="A233" s="24" t="s">
        <v>52</v>
      </c>
      <c r="B233" s="24" t="s">
        <v>45</v>
      </c>
      <c r="C233" s="25" t="s">
        <v>71</v>
      </c>
      <c r="D233" s="6" t="s">
        <v>4</v>
      </c>
      <c r="E233" s="24" t="s">
        <v>330</v>
      </c>
      <c r="F233" s="24" t="s">
        <v>1304</v>
      </c>
      <c r="G233" s="24" t="s">
        <v>440</v>
      </c>
      <c r="H233" s="34" t="s">
        <v>333</v>
      </c>
    </row>
    <row r="234" ht="20" customHeight="1" spans="1:8" x14ac:dyDescent="0.25">
      <c r="A234" s="22" t="s">
        <v>53</v>
      </c>
      <c r="B234" s="22" t="s">
        <v>31</v>
      </c>
      <c r="C234" s="23" t="s">
        <v>71</v>
      </c>
      <c r="D234" s="6" t="s">
        <v>4</v>
      </c>
      <c r="E234" s="22" t="s">
        <v>397</v>
      </c>
      <c r="F234" s="22" t="s">
        <v>237</v>
      </c>
      <c r="G234" s="22" t="s">
        <v>414</v>
      </c>
      <c r="H234" s="32" t="s">
        <v>79</v>
      </c>
    </row>
    <row r="235" ht="20" customHeight="1" spans="1:8" x14ac:dyDescent="0.25">
      <c r="A235" s="24" t="s">
        <v>54</v>
      </c>
      <c r="B235" s="24" t="s">
        <v>34</v>
      </c>
      <c r="C235" s="25" t="s">
        <v>71</v>
      </c>
      <c r="D235" s="6" t="s">
        <v>4</v>
      </c>
      <c r="E235" s="24" t="s">
        <v>397</v>
      </c>
      <c r="F235" s="24" t="s">
        <v>761</v>
      </c>
      <c r="G235" s="24" t="s">
        <v>291</v>
      </c>
      <c r="H235" s="30" t="s">
        <v>79</v>
      </c>
    </row>
    <row r="236" ht="20" customHeight="1" spans="1:8" x14ac:dyDescent="0.25">
      <c r="A236" s="22" t="s">
        <v>55</v>
      </c>
      <c r="B236" s="22" t="s">
        <v>36</v>
      </c>
      <c r="C236" s="23" t="s">
        <v>71</v>
      </c>
      <c r="D236" s="6" t="s">
        <v>4</v>
      </c>
      <c r="E236" s="22" t="s">
        <v>434</v>
      </c>
      <c r="F236" s="22" t="s">
        <v>182</v>
      </c>
      <c r="G236" s="22" t="s">
        <v>762</v>
      </c>
      <c r="H236" s="32" t="s">
        <v>79</v>
      </c>
    </row>
    <row r="237" ht="20" customHeight="1" spans="1:8" x14ac:dyDescent="0.25">
      <c r="A237" s="24" t="s">
        <v>56</v>
      </c>
      <c r="B237" s="24" t="s">
        <v>38</v>
      </c>
      <c r="C237" s="25" t="s">
        <v>71</v>
      </c>
      <c r="D237" s="6" t="s">
        <v>4</v>
      </c>
      <c r="E237" s="24" t="s">
        <v>401</v>
      </c>
      <c r="F237" s="24" t="s">
        <v>373</v>
      </c>
      <c r="G237" s="24" t="s">
        <v>81</v>
      </c>
      <c r="H237" s="30" t="s">
        <v>79</v>
      </c>
    </row>
    <row r="238" ht="20" customHeight="1" spans="1:8" x14ac:dyDescent="0.25">
      <c r="A238" s="22" t="s">
        <v>57</v>
      </c>
      <c r="B238" s="22" t="s">
        <v>40</v>
      </c>
      <c r="C238" s="23" t="s">
        <v>71</v>
      </c>
      <c r="D238" s="6" t="s">
        <v>4</v>
      </c>
      <c r="E238" s="22" t="s">
        <v>567</v>
      </c>
      <c r="F238" s="22" t="s">
        <v>344</v>
      </c>
      <c r="G238" s="22" t="s">
        <v>267</v>
      </c>
      <c r="H238" s="32" t="s">
        <v>79</v>
      </c>
    </row>
    <row r="239" ht="20" customHeight="1" spans="1:8" x14ac:dyDescent="0.25">
      <c r="A239" s="24" t="s">
        <v>58</v>
      </c>
      <c r="B239" s="24" t="s">
        <v>42</v>
      </c>
      <c r="C239" s="25" t="s">
        <v>71</v>
      </c>
      <c r="D239" s="33" t="s">
        <v>86</v>
      </c>
      <c r="E239" s="24" t="s">
        <v>12</v>
      </c>
      <c r="F239" s="24" t="s">
        <v>12</v>
      </c>
      <c r="G239" s="24" t="s">
        <v>12</v>
      </c>
      <c r="H239" s="24" t="s">
        <v>32</v>
      </c>
    </row>
    <row r="240" ht="20" customHeight="1" spans="1:8" x14ac:dyDescent="0.25">
      <c r="A240" s="22" t="s">
        <v>59</v>
      </c>
      <c r="B240" s="22" t="s">
        <v>45</v>
      </c>
      <c r="C240" s="23" t="s">
        <v>71</v>
      </c>
      <c r="D240" s="6" t="s">
        <v>4</v>
      </c>
      <c r="E240" s="22" t="s">
        <v>409</v>
      </c>
      <c r="F240" s="22" t="s">
        <v>1229</v>
      </c>
      <c r="G240" s="22" t="s">
        <v>981</v>
      </c>
      <c r="H240" s="32" t="s">
        <v>79</v>
      </c>
    </row>
    <row r="241" ht="20" customHeight="1" spans="1:8" x14ac:dyDescent="0.25">
      <c r="A241" s="24" t="s">
        <v>60</v>
      </c>
      <c r="B241" s="24" t="s">
        <v>31</v>
      </c>
      <c r="C241" s="25" t="s">
        <v>71</v>
      </c>
      <c r="D241" s="6" t="s">
        <v>4</v>
      </c>
      <c r="E241" s="24" t="s">
        <v>387</v>
      </c>
      <c r="F241" s="24" t="s">
        <v>343</v>
      </c>
      <c r="G241" s="24" t="s">
        <v>281</v>
      </c>
      <c r="H241" s="30" t="s">
        <v>79</v>
      </c>
    </row>
    <row r="242" ht="20" customHeight="1" spans="1:8" x14ac:dyDescent="0.25">
      <c r="A242" s="22" t="s">
        <v>61</v>
      </c>
      <c r="B242" s="22" t="s">
        <v>34</v>
      </c>
      <c r="C242" s="23" t="s">
        <v>71</v>
      </c>
      <c r="D242" s="6" t="s">
        <v>4</v>
      </c>
      <c r="E242" s="22" t="s">
        <v>401</v>
      </c>
      <c r="F242" s="22" t="s">
        <v>1076</v>
      </c>
      <c r="G242" s="22" t="s">
        <v>1056</v>
      </c>
      <c r="H242" s="32" t="s">
        <v>79</v>
      </c>
    </row>
    <row r="243" ht="20" customHeight="1" spans="1:8" x14ac:dyDescent="0.25">
      <c r="A243" s="24" t="s">
        <v>62</v>
      </c>
      <c r="B243" s="24" t="s">
        <v>36</v>
      </c>
      <c r="C243" s="25" t="s">
        <v>71</v>
      </c>
      <c r="D243" s="6" t="s">
        <v>4</v>
      </c>
      <c r="E243" s="24" t="s">
        <v>397</v>
      </c>
      <c r="F243" s="24" t="s">
        <v>779</v>
      </c>
      <c r="G243" s="24" t="s">
        <v>1305</v>
      </c>
      <c r="H243" s="30" t="s">
        <v>79</v>
      </c>
    </row>
    <row r="244" ht="20" customHeight="1" spans="1:8" x14ac:dyDescent="0.25">
      <c r="A244" s="22" t="s">
        <v>63</v>
      </c>
      <c r="B244" s="22" t="s">
        <v>38</v>
      </c>
      <c r="C244" s="23" t="s">
        <v>71</v>
      </c>
      <c r="D244" s="6" t="s">
        <v>4</v>
      </c>
      <c r="E244" s="22" t="s">
        <v>383</v>
      </c>
      <c r="F244" s="22" t="s">
        <v>1082</v>
      </c>
      <c r="G244" s="22" t="s">
        <v>1306</v>
      </c>
      <c r="H244" s="32" t="s">
        <v>79</v>
      </c>
    </row>
    <row r="245" ht="20" customHeight="1" spans="1:8" x14ac:dyDescent="0.25">
      <c r="A245" s="24" t="s">
        <v>64</v>
      </c>
      <c r="B245" s="24" t="s">
        <v>40</v>
      </c>
      <c r="C245" s="25" t="s">
        <v>71</v>
      </c>
      <c r="D245" s="6" t="s">
        <v>4</v>
      </c>
      <c r="E245" s="24" t="s">
        <v>401</v>
      </c>
      <c r="F245" s="24" t="s">
        <v>237</v>
      </c>
      <c r="G245" s="24" t="s">
        <v>396</v>
      </c>
      <c r="H245" s="30" t="s">
        <v>79</v>
      </c>
    </row>
    <row r="246" ht="20" customHeight="1" spans="1:8" x14ac:dyDescent="0.25">
      <c r="A246" s="22" t="s">
        <v>65</v>
      </c>
      <c r="B246" s="22" t="s">
        <v>42</v>
      </c>
      <c r="C246" s="23" t="s">
        <v>71</v>
      </c>
      <c r="D246" s="35" t="s">
        <v>86</v>
      </c>
      <c r="E246" s="22" t="s">
        <v>12</v>
      </c>
      <c r="F246" s="22" t="s">
        <v>12</v>
      </c>
      <c r="G246" s="22" t="s">
        <v>12</v>
      </c>
      <c r="H246" s="22" t="s">
        <v>32</v>
      </c>
    </row>
    <row r="247" ht="20" customHeight="1" spans="1:8" x14ac:dyDescent="0.25">
      <c r="A247" s="24" t="s">
        <v>66</v>
      </c>
      <c r="B247" s="24" t="s">
        <v>45</v>
      </c>
      <c r="C247" s="25" t="s">
        <v>71</v>
      </c>
      <c r="D247" s="6" t="s">
        <v>4</v>
      </c>
      <c r="E247" s="24" t="s">
        <v>434</v>
      </c>
      <c r="F247" s="24" t="s">
        <v>255</v>
      </c>
      <c r="G247" s="24" t="s">
        <v>20</v>
      </c>
      <c r="H247" s="30" t="s">
        <v>79</v>
      </c>
    </row>
    <row r="248" ht="20" customHeight="1" spans="1:8" x14ac:dyDescent="0.25">
      <c r="A248" s="22" t="s">
        <v>67</v>
      </c>
      <c r="B248" s="22" t="s">
        <v>31</v>
      </c>
      <c r="C248" s="23" t="s">
        <v>71</v>
      </c>
      <c r="D248" s="6" t="s">
        <v>4</v>
      </c>
      <c r="E248" s="22" t="s">
        <v>387</v>
      </c>
      <c r="F248" s="22" t="s">
        <v>997</v>
      </c>
      <c r="G248" s="22" t="s">
        <v>1106</v>
      </c>
      <c r="H248" s="32" t="s">
        <v>79</v>
      </c>
    </row>
    <row r="249" ht="20" customHeight="1" spans="1:8" x14ac:dyDescent="0.25">
      <c r="A249" s="24" t="s">
        <v>68</v>
      </c>
      <c r="B249" s="24" t="s">
        <v>34</v>
      </c>
      <c r="C249" s="25" t="s">
        <v>71</v>
      </c>
      <c r="D249" s="6" t="s">
        <v>4</v>
      </c>
      <c r="E249" s="24" t="s">
        <v>409</v>
      </c>
      <c r="F249" s="24" t="s">
        <v>376</v>
      </c>
      <c r="G249" s="24" t="s">
        <v>410</v>
      </c>
      <c r="H249" s="30" t="s">
        <v>79</v>
      </c>
    </row>
    <row r="250" ht="22" customHeight="1" spans="1:8" x14ac:dyDescent="0.25">
      <c r="A250" s="26" t="s">
        <v>69</v>
      </c>
      <c r="B250" s="26"/>
      <c r="C250" s="26"/>
      <c r="D250" s="26"/>
      <c r="E250" s="26"/>
      <c r="F250" s="26"/>
      <c r="G250" s="27" t="s">
        <v>1307</v>
      </c>
      <c r="H250" s="28" t="s">
        <v>12</v>
      </c>
    </row>
  </sheetData>
  <mergeCells count="16">
    <mergeCell ref="A1:P1"/>
    <mergeCell ref="A2:P2"/>
    <mergeCell ref="A14:H14"/>
    <mergeCell ref="A46:F46"/>
    <mergeCell ref="A48:H48"/>
    <mergeCell ref="A80:F80"/>
    <mergeCell ref="A82:H82"/>
    <mergeCell ref="A114:F114"/>
    <mergeCell ref="A116:H116"/>
    <mergeCell ref="A148:F148"/>
    <mergeCell ref="A150:H150"/>
    <mergeCell ref="A182:F182"/>
    <mergeCell ref="A184:H184"/>
    <mergeCell ref="A216:F216"/>
    <mergeCell ref="A218:H218"/>
    <mergeCell ref="A250:F25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0"/>
  <sheetViews>
    <sheetView workbookViewId="0"/>
  </sheetViews>
  <sheetFormatPr defaultRowHeight="15" outlineLevelRow="0" outlineLevelCol="0" x14ac:dyDescent="55"/>
  <cols>
    <col min="1" max="1" width="28" customWidth="1"/>
    <col min="2" max="2" width="20" customWidth="1"/>
    <col min="3" max="4" width="13" customWidth="1"/>
    <col min="5" max="7" width="18" customWidth="1"/>
    <col min="8" max="10" width="14" customWidth="1"/>
    <col min="11" max="12" width="6" customWidth="1"/>
    <col min="13" max="13" width="28" customWidth="1"/>
    <col min="14" max="14" width="14" customWidth="1"/>
    <col min="15" max="16" width="18" customWidth="1"/>
  </cols>
  <sheetData>
    <row r="1" ht="30" customHeight="1" spans="1:16" x14ac:dyDescent="0.25">
      <c r="A1" s="1" t="s">
        <v>1308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2" customHeight="1" spans="1:16" x14ac:dyDescent="0.25">
      <c r="A2" s="2" t="s">
        <v>1309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26" customHeight="1" spans="1:1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</row>
    <row r="5" ht="22" customHeight="1" spans="1:16" x14ac:dyDescent="0.25">
      <c r="A5" s="4" t="s">
        <v>1310</v>
      </c>
      <c r="B5" s="5">
        <v>29</v>
      </c>
      <c r="C5" s="6">
        <v>20.5</v>
      </c>
      <c r="D5" s="7">
        <v>0</v>
      </c>
      <c r="E5" s="8">
        <v>1</v>
      </c>
      <c r="F5" s="9">
        <v>3</v>
      </c>
      <c r="G5" s="10">
        <v>3.5</v>
      </c>
      <c r="H5" s="11">
        <v>1</v>
      </c>
      <c r="I5" s="12">
        <v>4</v>
      </c>
      <c r="J5" s="13">
        <v>1</v>
      </c>
      <c r="K5" s="14" t="s">
        <v>12</v>
      </c>
      <c r="L5" s="14" t="s">
        <v>12</v>
      </c>
      <c r="M5" s="15">
        <v>43.5</v>
      </c>
      <c r="N5" s="16">
        <v>3.5</v>
      </c>
      <c r="O5" s="17">
        <v>40</v>
      </c>
      <c r="P5" s="18" t="s">
        <v>142</v>
      </c>
    </row>
    <row r="6" ht="22" customHeight="1" spans="1:16" x14ac:dyDescent="0.25">
      <c r="A6" s="19" t="s">
        <v>1311</v>
      </c>
      <c r="B6" s="5">
        <v>30</v>
      </c>
      <c r="C6" s="6">
        <v>22</v>
      </c>
      <c r="D6" s="7">
        <v>0</v>
      </c>
      <c r="E6" s="8">
        <v>0</v>
      </c>
      <c r="F6" s="9">
        <v>2</v>
      </c>
      <c r="G6" s="10">
        <v>2</v>
      </c>
      <c r="H6" s="11">
        <v>0</v>
      </c>
      <c r="I6" s="12">
        <v>5</v>
      </c>
      <c r="J6" s="13">
        <v>1</v>
      </c>
      <c r="K6" s="14" t="s">
        <v>12</v>
      </c>
      <c r="L6" s="14" t="s">
        <v>12</v>
      </c>
      <c r="M6" s="15">
        <v>44.5</v>
      </c>
      <c r="N6" s="16">
        <v>2</v>
      </c>
      <c r="O6" s="17">
        <v>42.5</v>
      </c>
      <c r="P6" s="18" t="s">
        <v>478</v>
      </c>
    </row>
    <row r="7" ht="22" customHeight="1" spans="1:16" x14ac:dyDescent="0.25">
      <c r="A7" s="4" t="s">
        <v>1312</v>
      </c>
      <c r="B7" s="5">
        <v>30</v>
      </c>
      <c r="C7" s="6">
        <v>25</v>
      </c>
      <c r="D7" s="7">
        <v>0</v>
      </c>
      <c r="E7" s="8">
        <v>0</v>
      </c>
      <c r="F7" s="9">
        <v>0</v>
      </c>
      <c r="G7" s="10">
        <v>0</v>
      </c>
      <c r="H7" s="11">
        <v>0</v>
      </c>
      <c r="I7" s="12">
        <v>4</v>
      </c>
      <c r="J7" s="13">
        <v>1</v>
      </c>
      <c r="K7" s="14" t="s">
        <v>12</v>
      </c>
      <c r="L7" s="14" t="s">
        <v>12</v>
      </c>
      <c r="M7" s="15">
        <v>6</v>
      </c>
      <c r="N7" s="16">
        <v>0</v>
      </c>
      <c r="O7" s="17">
        <v>6</v>
      </c>
      <c r="P7" s="18" t="s">
        <v>1238</v>
      </c>
    </row>
    <row r="8" ht="22" customHeight="1" spans="1:16" x14ac:dyDescent="0.25">
      <c r="A8" s="19" t="s">
        <v>1313</v>
      </c>
      <c r="B8" s="5">
        <v>30</v>
      </c>
      <c r="C8" s="6">
        <v>22</v>
      </c>
      <c r="D8" s="7">
        <v>0</v>
      </c>
      <c r="E8" s="8">
        <v>0</v>
      </c>
      <c r="F8" s="9">
        <v>2</v>
      </c>
      <c r="G8" s="10">
        <v>2</v>
      </c>
      <c r="H8" s="11">
        <v>0</v>
      </c>
      <c r="I8" s="12">
        <v>5</v>
      </c>
      <c r="J8" s="13">
        <v>1</v>
      </c>
      <c r="K8" s="14" t="s">
        <v>12</v>
      </c>
      <c r="L8" s="14" t="s">
        <v>12</v>
      </c>
      <c r="M8" s="15">
        <v>130</v>
      </c>
      <c r="N8" s="16">
        <v>2</v>
      </c>
      <c r="O8" s="17">
        <v>128</v>
      </c>
      <c r="P8" s="18" t="s">
        <v>414</v>
      </c>
    </row>
    <row r="9" ht="22" customHeight="1" spans="1:16" x14ac:dyDescent="0.25">
      <c r="A9" s="4" t="s">
        <v>1314</v>
      </c>
      <c r="B9" s="5">
        <v>29.5</v>
      </c>
      <c r="C9" s="6">
        <v>20.5</v>
      </c>
      <c r="D9" s="7">
        <v>0.5</v>
      </c>
      <c r="E9" s="8">
        <v>0</v>
      </c>
      <c r="F9" s="9">
        <v>3</v>
      </c>
      <c r="G9" s="10">
        <v>3</v>
      </c>
      <c r="H9" s="11">
        <v>0</v>
      </c>
      <c r="I9" s="12">
        <v>5</v>
      </c>
      <c r="J9" s="13">
        <v>1</v>
      </c>
      <c r="K9" s="14" t="s">
        <v>12</v>
      </c>
      <c r="L9" s="14" t="s">
        <v>12</v>
      </c>
      <c r="M9" s="15">
        <v>37</v>
      </c>
      <c r="N9" s="16">
        <v>3</v>
      </c>
      <c r="O9" s="17">
        <v>34</v>
      </c>
      <c r="P9" s="18" t="s">
        <v>478</v>
      </c>
    </row>
    <row r="10" ht="22" customHeight="1" spans="1:16" x14ac:dyDescent="0.25">
      <c r="A10" s="19" t="s">
        <v>1315</v>
      </c>
      <c r="B10" s="5">
        <v>30</v>
      </c>
      <c r="C10" s="6">
        <v>20.5</v>
      </c>
      <c r="D10" s="7">
        <v>0</v>
      </c>
      <c r="E10" s="8">
        <v>1</v>
      </c>
      <c r="F10" s="9">
        <v>3</v>
      </c>
      <c r="G10" s="10">
        <v>3.5</v>
      </c>
      <c r="H10" s="11">
        <v>0</v>
      </c>
      <c r="I10" s="12">
        <v>5</v>
      </c>
      <c r="J10" s="13">
        <v>1</v>
      </c>
      <c r="K10" s="14" t="s">
        <v>12</v>
      </c>
      <c r="L10" s="14" t="s">
        <v>12</v>
      </c>
      <c r="M10" s="15">
        <v>52</v>
      </c>
      <c r="N10" s="16">
        <v>3.5</v>
      </c>
      <c r="O10" s="17">
        <v>48.5</v>
      </c>
      <c r="P10" s="18" t="s">
        <v>414</v>
      </c>
    </row>
    <row r="11" ht="22" customHeight="1" spans="1:16" x14ac:dyDescent="0.25">
      <c r="A11" s="4" t="s">
        <v>1316</v>
      </c>
      <c r="B11" s="5">
        <v>30</v>
      </c>
      <c r="C11" s="6">
        <v>22</v>
      </c>
      <c r="D11" s="7">
        <v>0</v>
      </c>
      <c r="E11" s="8">
        <v>0</v>
      </c>
      <c r="F11" s="9">
        <v>2</v>
      </c>
      <c r="G11" s="10">
        <v>2</v>
      </c>
      <c r="H11" s="11">
        <v>0</v>
      </c>
      <c r="I11" s="12">
        <v>5</v>
      </c>
      <c r="J11" s="13">
        <v>1</v>
      </c>
      <c r="K11" s="14" t="s">
        <v>12</v>
      </c>
      <c r="L11" s="14" t="s">
        <v>12</v>
      </c>
      <c r="M11" s="15">
        <v>9.5</v>
      </c>
      <c r="N11" s="16">
        <v>2</v>
      </c>
      <c r="O11" s="17">
        <v>7.5</v>
      </c>
      <c r="P11" s="18" t="s">
        <v>516</v>
      </c>
    </row>
    <row r="12" ht="22" customHeight="1" spans="1:16" x14ac:dyDescent="0.25">
      <c r="A12" s="19" t="s">
        <v>1317</v>
      </c>
      <c r="B12" s="5">
        <v>30</v>
      </c>
      <c r="C12" s="6">
        <v>25</v>
      </c>
      <c r="D12" s="7">
        <v>0</v>
      </c>
      <c r="E12" s="8">
        <v>0</v>
      </c>
      <c r="F12" s="9">
        <v>0</v>
      </c>
      <c r="G12" s="10">
        <v>0</v>
      </c>
      <c r="H12" s="11">
        <v>0</v>
      </c>
      <c r="I12" s="12">
        <v>4</v>
      </c>
      <c r="J12" s="13">
        <v>1</v>
      </c>
      <c r="K12" s="14" t="s">
        <v>12</v>
      </c>
      <c r="L12" s="14" t="s">
        <v>12</v>
      </c>
      <c r="M12" s="15">
        <v>10</v>
      </c>
      <c r="N12" s="16">
        <v>0</v>
      </c>
      <c r="O12" s="17">
        <v>10</v>
      </c>
      <c r="P12" s="18" t="s">
        <v>947</v>
      </c>
    </row>
    <row r="13" ht="22" customHeight="1" spans="1:16" x14ac:dyDescent="0.25">
      <c r="A13" s="4" t="s">
        <v>1318</v>
      </c>
      <c r="B13" s="5">
        <v>30</v>
      </c>
      <c r="C13" s="6">
        <v>23</v>
      </c>
      <c r="D13" s="7">
        <v>0</v>
      </c>
      <c r="E13" s="8">
        <v>0</v>
      </c>
      <c r="F13" s="9">
        <v>1</v>
      </c>
      <c r="G13" s="10">
        <v>1</v>
      </c>
      <c r="H13" s="11">
        <v>0</v>
      </c>
      <c r="I13" s="12">
        <v>5</v>
      </c>
      <c r="J13" s="13">
        <v>1</v>
      </c>
      <c r="K13" s="14" t="s">
        <v>12</v>
      </c>
      <c r="L13" s="14" t="s">
        <v>12</v>
      </c>
      <c r="M13" s="15">
        <v>22</v>
      </c>
      <c r="N13" s="16">
        <v>1</v>
      </c>
      <c r="O13" s="17">
        <v>21</v>
      </c>
      <c r="P13" s="18" t="s">
        <v>232</v>
      </c>
    </row>
    <row r="14" ht="22" customHeight="1" spans="1:16" x14ac:dyDescent="0.25">
      <c r="A14" s="19" t="s">
        <v>1319</v>
      </c>
      <c r="B14" s="5">
        <v>30</v>
      </c>
      <c r="C14" s="6">
        <v>24</v>
      </c>
      <c r="D14" s="7">
        <v>0</v>
      </c>
      <c r="E14" s="8">
        <v>0</v>
      </c>
      <c r="F14" s="9">
        <v>0</v>
      </c>
      <c r="G14" s="10">
        <v>0</v>
      </c>
      <c r="H14" s="11">
        <v>0</v>
      </c>
      <c r="I14" s="12">
        <v>5</v>
      </c>
      <c r="J14" s="13">
        <v>1</v>
      </c>
      <c r="K14" s="14" t="s">
        <v>12</v>
      </c>
      <c r="L14" s="14" t="s">
        <v>12</v>
      </c>
      <c r="M14" s="15">
        <v>30.5</v>
      </c>
      <c r="N14" s="16">
        <v>0</v>
      </c>
      <c r="O14" s="17">
        <v>30.5</v>
      </c>
      <c r="P14" s="18" t="s">
        <v>142</v>
      </c>
    </row>
    <row r="15" ht="22" customHeight="1" spans="1:16" x14ac:dyDescent="0.25">
      <c r="A15" s="4" t="s">
        <v>1320</v>
      </c>
      <c r="B15" s="5">
        <v>30</v>
      </c>
      <c r="C15" s="6">
        <v>18</v>
      </c>
      <c r="D15" s="7">
        <v>0</v>
      </c>
      <c r="E15" s="8">
        <v>0</v>
      </c>
      <c r="F15" s="9">
        <v>7</v>
      </c>
      <c r="G15" s="10">
        <v>7</v>
      </c>
      <c r="H15" s="11">
        <v>0</v>
      </c>
      <c r="I15" s="12">
        <v>4</v>
      </c>
      <c r="J15" s="13">
        <v>1</v>
      </c>
      <c r="K15" s="14" t="s">
        <v>12</v>
      </c>
      <c r="L15" s="14" t="s">
        <v>12</v>
      </c>
      <c r="M15" s="15">
        <v>10</v>
      </c>
      <c r="N15" s="16">
        <v>7</v>
      </c>
      <c r="O15" s="17">
        <v>3</v>
      </c>
      <c r="P15" s="18" t="s">
        <v>99</v>
      </c>
    </row>
    <row r="16" ht="22" customHeight="1" spans="1:16" x14ac:dyDescent="0.25">
      <c r="A16" s="19" t="s">
        <v>1321</v>
      </c>
      <c r="B16" s="5">
        <v>30</v>
      </c>
      <c r="C16" s="6">
        <v>24</v>
      </c>
      <c r="D16" s="7">
        <v>0</v>
      </c>
      <c r="E16" s="8">
        <v>0</v>
      </c>
      <c r="F16" s="9">
        <v>1</v>
      </c>
      <c r="G16" s="10">
        <v>1</v>
      </c>
      <c r="H16" s="11">
        <v>0</v>
      </c>
      <c r="I16" s="12">
        <v>4</v>
      </c>
      <c r="J16" s="13">
        <v>1</v>
      </c>
      <c r="K16" s="14" t="s">
        <v>12</v>
      </c>
      <c r="L16" s="14" t="s">
        <v>12</v>
      </c>
      <c r="M16" s="15">
        <v>48</v>
      </c>
      <c r="N16" s="16">
        <v>1</v>
      </c>
      <c r="O16" s="17">
        <v>47</v>
      </c>
      <c r="P16" s="18" t="s">
        <v>414</v>
      </c>
    </row>
    <row r="17" ht="22" customHeight="1" spans="1:16" x14ac:dyDescent="0.25">
      <c r="A17" s="4" t="s">
        <v>1322</v>
      </c>
      <c r="B17" s="5">
        <v>30</v>
      </c>
      <c r="C17" s="6">
        <v>23</v>
      </c>
      <c r="D17" s="7">
        <v>0</v>
      </c>
      <c r="E17" s="8">
        <v>0</v>
      </c>
      <c r="F17" s="9">
        <v>1</v>
      </c>
      <c r="G17" s="10">
        <v>1</v>
      </c>
      <c r="H17" s="11">
        <v>0</v>
      </c>
      <c r="I17" s="12">
        <v>5</v>
      </c>
      <c r="J17" s="13">
        <v>1</v>
      </c>
      <c r="K17" s="14" t="s">
        <v>12</v>
      </c>
      <c r="L17" s="14" t="s">
        <v>12</v>
      </c>
      <c r="M17" s="15">
        <v>22</v>
      </c>
      <c r="N17" s="16">
        <v>1</v>
      </c>
      <c r="O17" s="17">
        <v>21</v>
      </c>
      <c r="P17" s="18" t="s">
        <v>20</v>
      </c>
    </row>
    <row r="18" ht="22" customHeight="1" spans="1:16" x14ac:dyDescent="0.25">
      <c r="A18" s="19" t="s">
        <v>1323</v>
      </c>
      <c r="B18" s="5">
        <v>30</v>
      </c>
      <c r="C18" s="6">
        <v>25</v>
      </c>
      <c r="D18" s="7">
        <v>0</v>
      </c>
      <c r="E18" s="8">
        <v>0</v>
      </c>
      <c r="F18" s="9">
        <v>0</v>
      </c>
      <c r="G18" s="10">
        <v>0</v>
      </c>
      <c r="H18" s="11">
        <v>0</v>
      </c>
      <c r="I18" s="12">
        <v>4</v>
      </c>
      <c r="J18" s="13">
        <v>1</v>
      </c>
      <c r="K18" s="14" t="s">
        <v>12</v>
      </c>
      <c r="L18" s="14" t="s">
        <v>12</v>
      </c>
      <c r="M18" s="15">
        <v>27.5</v>
      </c>
      <c r="N18" s="16">
        <v>0</v>
      </c>
      <c r="O18" s="17">
        <v>27.5</v>
      </c>
      <c r="P18" s="18" t="s">
        <v>686</v>
      </c>
    </row>
    <row r="19" ht="22" customHeight="1" spans="1:16" x14ac:dyDescent="0.25">
      <c r="A19" s="4" t="s">
        <v>1324</v>
      </c>
      <c r="B19" s="5">
        <v>30</v>
      </c>
      <c r="C19" s="6">
        <v>24</v>
      </c>
      <c r="D19" s="7">
        <v>0</v>
      </c>
      <c r="E19" s="8">
        <v>0</v>
      </c>
      <c r="F19" s="9">
        <v>1</v>
      </c>
      <c r="G19" s="10">
        <v>1</v>
      </c>
      <c r="H19" s="11">
        <v>0</v>
      </c>
      <c r="I19" s="12">
        <v>4</v>
      </c>
      <c r="J19" s="13">
        <v>1</v>
      </c>
      <c r="K19" s="14" t="s">
        <v>12</v>
      </c>
      <c r="L19" s="14" t="s">
        <v>12</v>
      </c>
      <c r="M19" s="15">
        <v>31</v>
      </c>
      <c r="N19" s="16">
        <v>1</v>
      </c>
      <c r="O19" s="17">
        <v>30</v>
      </c>
      <c r="P19" s="18" t="s">
        <v>137</v>
      </c>
    </row>
    <row r="20" ht="22" customHeight="1" spans="1:16" x14ac:dyDescent="0.25">
      <c r="A20" s="19" t="s">
        <v>1325</v>
      </c>
      <c r="B20" s="5">
        <v>30</v>
      </c>
      <c r="C20" s="6">
        <v>25</v>
      </c>
      <c r="D20" s="7">
        <v>0</v>
      </c>
      <c r="E20" s="8">
        <v>0</v>
      </c>
      <c r="F20" s="9">
        <v>0</v>
      </c>
      <c r="G20" s="10">
        <v>0</v>
      </c>
      <c r="H20" s="11">
        <v>0</v>
      </c>
      <c r="I20" s="12">
        <v>4</v>
      </c>
      <c r="J20" s="13">
        <v>1</v>
      </c>
      <c r="K20" s="14" t="s">
        <v>12</v>
      </c>
      <c r="L20" s="14" t="s">
        <v>12</v>
      </c>
      <c r="M20" s="15">
        <v>36</v>
      </c>
      <c r="N20" s="16">
        <v>0</v>
      </c>
      <c r="O20" s="17">
        <v>36</v>
      </c>
      <c r="P20" s="18" t="s">
        <v>99</v>
      </c>
    </row>
    <row r="21" ht="22" customHeight="1" spans="1:16" x14ac:dyDescent="0.25">
      <c r="A21" s="4" t="s">
        <v>1326</v>
      </c>
      <c r="B21" s="5">
        <v>30</v>
      </c>
      <c r="C21" s="6">
        <v>21.5</v>
      </c>
      <c r="D21" s="7">
        <v>0</v>
      </c>
      <c r="E21" s="8">
        <v>3</v>
      </c>
      <c r="F21" s="9">
        <v>1</v>
      </c>
      <c r="G21" s="10">
        <v>2.5</v>
      </c>
      <c r="H21" s="11">
        <v>0</v>
      </c>
      <c r="I21" s="12">
        <v>5</v>
      </c>
      <c r="J21" s="13">
        <v>1</v>
      </c>
      <c r="K21" s="14" t="s">
        <v>12</v>
      </c>
      <c r="L21" s="14" t="s">
        <v>12</v>
      </c>
      <c r="M21" s="15">
        <v>157.5</v>
      </c>
      <c r="N21" s="16">
        <v>2.5</v>
      </c>
      <c r="O21" s="17">
        <v>155</v>
      </c>
      <c r="P21" s="18" t="s">
        <v>478</v>
      </c>
    </row>
    <row r="22" ht="22" customHeight="1" spans="1:16" x14ac:dyDescent="0.25">
      <c r="A22" s="19" t="s">
        <v>1327</v>
      </c>
      <c r="B22" s="5">
        <v>30</v>
      </c>
      <c r="C22" s="6">
        <v>21</v>
      </c>
      <c r="D22" s="7">
        <v>0</v>
      </c>
      <c r="E22" s="8">
        <v>0</v>
      </c>
      <c r="F22" s="9">
        <v>3</v>
      </c>
      <c r="G22" s="10">
        <v>3</v>
      </c>
      <c r="H22" s="11">
        <v>0</v>
      </c>
      <c r="I22" s="12">
        <v>5</v>
      </c>
      <c r="J22" s="13">
        <v>1</v>
      </c>
      <c r="K22" s="14" t="s">
        <v>12</v>
      </c>
      <c r="L22" s="14" t="s">
        <v>12</v>
      </c>
      <c r="M22" s="15">
        <v>35</v>
      </c>
      <c r="N22" s="16">
        <v>3</v>
      </c>
      <c r="O22" s="17">
        <v>32</v>
      </c>
      <c r="P22" s="18" t="s">
        <v>429</v>
      </c>
    </row>
    <row r="23" ht="22" customHeight="1" spans="1:16" x14ac:dyDescent="0.25">
      <c r="A23" s="4" t="s">
        <v>1328</v>
      </c>
      <c r="B23" s="5">
        <v>30</v>
      </c>
      <c r="C23" s="6">
        <v>22</v>
      </c>
      <c r="D23" s="7">
        <v>0</v>
      </c>
      <c r="E23" s="8">
        <v>0</v>
      </c>
      <c r="F23" s="9">
        <v>2</v>
      </c>
      <c r="G23" s="10">
        <v>2</v>
      </c>
      <c r="H23" s="11">
        <v>0</v>
      </c>
      <c r="I23" s="12">
        <v>5</v>
      </c>
      <c r="J23" s="13">
        <v>1</v>
      </c>
      <c r="K23" s="14" t="s">
        <v>12</v>
      </c>
      <c r="L23" s="14" t="s">
        <v>12</v>
      </c>
      <c r="M23" s="15">
        <v>97</v>
      </c>
      <c r="N23" s="16">
        <v>2</v>
      </c>
      <c r="O23" s="17">
        <v>95</v>
      </c>
      <c r="P23" s="18" t="s">
        <v>20</v>
      </c>
    </row>
    <row r="24" ht="22" customHeight="1" spans="1:16" x14ac:dyDescent="0.25">
      <c r="A24" s="19" t="s">
        <v>1329</v>
      </c>
      <c r="B24" s="5">
        <v>30</v>
      </c>
      <c r="C24" s="6">
        <v>20.5</v>
      </c>
      <c r="D24" s="7">
        <v>0</v>
      </c>
      <c r="E24" s="8">
        <v>1</v>
      </c>
      <c r="F24" s="9">
        <v>3</v>
      </c>
      <c r="G24" s="10">
        <v>3.5</v>
      </c>
      <c r="H24" s="11">
        <v>0</v>
      </c>
      <c r="I24" s="12">
        <v>5</v>
      </c>
      <c r="J24" s="13">
        <v>1</v>
      </c>
      <c r="K24" s="14" t="s">
        <v>12</v>
      </c>
      <c r="L24" s="14" t="s">
        <v>12</v>
      </c>
      <c r="M24" s="15">
        <v>60.5</v>
      </c>
      <c r="N24" s="16">
        <v>3.5</v>
      </c>
      <c r="O24" s="17">
        <v>57</v>
      </c>
      <c r="P24" s="18" t="s">
        <v>686</v>
      </c>
    </row>
    <row r="25" ht="22" customHeight="1" spans="1:16" x14ac:dyDescent="0.25">
      <c r="A25" s="4" t="s">
        <v>1330</v>
      </c>
      <c r="B25" s="5">
        <v>30</v>
      </c>
      <c r="C25" s="6">
        <v>21</v>
      </c>
      <c r="D25" s="7">
        <v>0</v>
      </c>
      <c r="E25" s="8">
        <v>0</v>
      </c>
      <c r="F25" s="9">
        <v>3</v>
      </c>
      <c r="G25" s="10">
        <v>3</v>
      </c>
      <c r="H25" s="11">
        <v>0</v>
      </c>
      <c r="I25" s="12">
        <v>5</v>
      </c>
      <c r="J25" s="13">
        <v>1</v>
      </c>
      <c r="K25" s="14" t="s">
        <v>12</v>
      </c>
      <c r="L25" s="14" t="s">
        <v>12</v>
      </c>
      <c r="M25" s="15">
        <v>126</v>
      </c>
      <c r="N25" s="16">
        <v>3</v>
      </c>
      <c r="O25" s="17">
        <v>123</v>
      </c>
      <c r="P25" s="18" t="s">
        <v>414</v>
      </c>
    </row>
    <row r="26" ht="22" customHeight="1" spans="1:16" x14ac:dyDescent="0.25">
      <c r="A26" s="19" t="s">
        <v>1331</v>
      </c>
      <c r="B26" s="5">
        <v>30</v>
      </c>
      <c r="C26" s="6">
        <v>21</v>
      </c>
      <c r="D26" s="7">
        <v>0</v>
      </c>
      <c r="E26" s="8">
        <v>0</v>
      </c>
      <c r="F26" s="9">
        <v>3</v>
      </c>
      <c r="G26" s="10">
        <v>3</v>
      </c>
      <c r="H26" s="11">
        <v>0</v>
      </c>
      <c r="I26" s="12">
        <v>5</v>
      </c>
      <c r="J26" s="13">
        <v>1</v>
      </c>
      <c r="K26" s="14" t="s">
        <v>12</v>
      </c>
      <c r="L26" s="14" t="s">
        <v>12</v>
      </c>
      <c r="M26" s="15">
        <v>23</v>
      </c>
      <c r="N26" s="16">
        <v>3</v>
      </c>
      <c r="O26" s="17">
        <v>20</v>
      </c>
      <c r="P26" s="18" t="s">
        <v>579</v>
      </c>
    </row>
    <row r="27" ht="22" customHeight="1" spans="1:16" x14ac:dyDescent="0.25">
      <c r="A27" s="4" t="s">
        <v>1332</v>
      </c>
      <c r="B27" s="5">
        <v>30</v>
      </c>
      <c r="C27" s="6">
        <v>24</v>
      </c>
      <c r="D27" s="7">
        <v>0</v>
      </c>
      <c r="E27" s="8">
        <v>0</v>
      </c>
      <c r="F27" s="9">
        <v>0</v>
      </c>
      <c r="G27" s="10">
        <v>0</v>
      </c>
      <c r="H27" s="11">
        <v>0</v>
      </c>
      <c r="I27" s="12">
        <v>5</v>
      </c>
      <c r="J27" s="13">
        <v>1</v>
      </c>
      <c r="K27" s="14" t="s">
        <v>12</v>
      </c>
      <c r="L27" s="14" t="s">
        <v>12</v>
      </c>
      <c r="M27" s="15">
        <v>40.5</v>
      </c>
      <c r="N27" s="16">
        <v>0</v>
      </c>
      <c r="O27" s="17">
        <v>40.5</v>
      </c>
      <c r="P27" s="18" t="s">
        <v>99</v>
      </c>
    </row>
    <row r="28" ht="22" customHeight="1" spans="1:16" x14ac:dyDescent="0.25">
      <c r="A28" s="19" t="s">
        <v>1333</v>
      </c>
      <c r="B28" s="5">
        <v>30</v>
      </c>
      <c r="C28" s="6">
        <v>24</v>
      </c>
      <c r="D28" s="7">
        <v>0</v>
      </c>
      <c r="E28" s="8">
        <v>0</v>
      </c>
      <c r="F28" s="9">
        <v>0</v>
      </c>
      <c r="G28" s="10">
        <v>0</v>
      </c>
      <c r="H28" s="11">
        <v>0</v>
      </c>
      <c r="I28" s="12">
        <v>5</v>
      </c>
      <c r="J28" s="13">
        <v>1</v>
      </c>
      <c r="K28" s="14" t="s">
        <v>12</v>
      </c>
      <c r="L28" s="14" t="s">
        <v>12</v>
      </c>
      <c r="M28" s="15">
        <v>0</v>
      </c>
      <c r="N28" s="16">
        <v>0</v>
      </c>
      <c r="O28" s="17">
        <v>0</v>
      </c>
      <c r="P28" s="18" t="s">
        <v>99</v>
      </c>
    </row>
    <row r="29" ht="22" customHeight="1" spans="1:16" x14ac:dyDescent="0.25">
      <c r="A29" s="4" t="s">
        <v>1334</v>
      </c>
      <c r="B29" s="5">
        <v>30</v>
      </c>
      <c r="C29" s="6">
        <v>23</v>
      </c>
      <c r="D29" s="7">
        <v>0</v>
      </c>
      <c r="E29" s="8">
        <v>0</v>
      </c>
      <c r="F29" s="9">
        <v>1</v>
      </c>
      <c r="G29" s="10">
        <v>1</v>
      </c>
      <c r="H29" s="11">
        <v>0</v>
      </c>
      <c r="I29" s="12">
        <v>5</v>
      </c>
      <c r="J29" s="13">
        <v>1</v>
      </c>
      <c r="K29" s="14" t="s">
        <v>12</v>
      </c>
      <c r="L29" s="14" t="s">
        <v>12</v>
      </c>
      <c r="M29" s="15">
        <v>72</v>
      </c>
      <c r="N29" s="16">
        <v>1</v>
      </c>
      <c r="O29" s="17">
        <v>71</v>
      </c>
      <c r="P29" s="18" t="s">
        <v>429</v>
      </c>
    </row>
    <row r="30" ht="22" customHeight="1" spans="1:16" x14ac:dyDescent="0.25">
      <c r="A30" s="19" t="s">
        <v>1335</v>
      </c>
      <c r="B30" s="5">
        <v>0</v>
      </c>
      <c r="C30" s="6">
        <v>0</v>
      </c>
      <c r="D30" s="7">
        <v>24</v>
      </c>
      <c r="E30" s="8">
        <v>0</v>
      </c>
      <c r="F30" s="9">
        <v>0</v>
      </c>
      <c r="G30" s="10">
        <v>0</v>
      </c>
      <c r="H30" s="11">
        <v>6</v>
      </c>
      <c r="I30" s="12">
        <v>0</v>
      </c>
      <c r="J30" s="13">
        <v>0</v>
      </c>
      <c r="K30" s="14" t="s">
        <v>12</v>
      </c>
      <c r="L30" s="14" t="s">
        <v>12</v>
      </c>
      <c r="M30" s="15">
        <v>0</v>
      </c>
      <c r="N30" s="16">
        <v>0</v>
      </c>
      <c r="O30" s="17">
        <v>0</v>
      </c>
      <c r="P30" s="18" t="s">
        <v>18</v>
      </c>
    </row>
    <row r="31" ht="22" customHeight="1" spans="1:16" x14ac:dyDescent="0.25">
      <c r="A31" s="4" t="s">
        <v>1336</v>
      </c>
      <c r="B31" s="5">
        <v>30</v>
      </c>
      <c r="C31" s="6">
        <v>23</v>
      </c>
      <c r="D31" s="7">
        <v>0</v>
      </c>
      <c r="E31" s="8">
        <v>0</v>
      </c>
      <c r="F31" s="9">
        <v>1</v>
      </c>
      <c r="G31" s="10">
        <v>1</v>
      </c>
      <c r="H31" s="11">
        <v>0</v>
      </c>
      <c r="I31" s="12">
        <v>5</v>
      </c>
      <c r="J31" s="13">
        <v>1</v>
      </c>
      <c r="K31" s="14" t="s">
        <v>12</v>
      </c>
      <c r="L31" s="14" t="s">
        <v>12</v>
      </c>
      <c r="M31" s="15">
        <v>61</v>
      </c>
      <c r="N31" s="16">
        <v>1</v>
      </c>
      <c r="O31" s="17">
        <v>60</v>
      </c>
      <c r="P31" s="18" t="s">
        <v>232</v>
      </c>
    </row>
    <row r="32" ht="22" customHeight="1" spans="1:16" x14ac:dyDescent="0.25">
      <c r="A32" s="19" t="s">
        <v>1337</v>
      </c>
      <c r="B32" s="5">
        <v>30</v>
      </c>
      <c r="C32" s="6">
        <v>24</v>
      </c>
      <c r="D32" s="7">
        <v>0</v>
      </c>
      <c r="E32" s="8">
        <v>0</v>
      </c>
      <c r="F32" s="9">
        <v>1</v>
      </c>
      <c r="G32" s="10">
        <v>1</v>
      </c>
      <c r="H32" s="11">
        <v>0</v>
      </c>
      <c r="I32" s="12">
        <v>4</v>
      </c>
      <c r="J32" s="13">
        <v>1</v>
      </c>
      <c r="K32" s="14" t="s">
        <v>12</v>
      </c>
      <c r="L32" s="14" t="s">
        <v>12</v>
      </c>
      <c r="M32" s="15">
        <v>18</v>
      </c>
      <c r="N32" s="16">
        <v>1</v>
      </c>
      <c r="O32" s="17">
        <v>17</v>
      </c>
      <c r="P32" s="18" t="s">
        <v>429</v>
      </c>
    </row>
    <row r="33" ht="22" customHeight="1" spans="1:16" x14ac:dyDescent="0.25">
      <c r="A33" s="4" t="s">
        <v>1338</v>
      </c>
      <c r="B33" s="5">
        <v>30</v>
      </c>
      <c r="C33" s="6">
        <v>24</v>
      </c>
      <c r="D33" s="7">
        <v>0</v>
      </c>
      <c r="E33" s="8">
        <v>0</v>
      </c>
      <c r="F33" s="9">
        <v>0</v>
      </c>
      <c r="G33" s="10">
        <v>0</v>
      </c>
      <c r="H33" s="11">
        <v>0</v>
      </c>
      <c r="I33" s="12">
        <v>5</v>
      </c>
      <c r="J33" s="13">
        <v>1</v>
      </c>
      <c r="K33" s="14" t="s">
        <v>12</v>
      </c>
      <c r="L33" s="14" t="s">
        <v>12</v>
      </c>
      <c r="M33" s="15">
        <v>0</v>
      </c>
      <c r="N33" s="16">
        <v>0</v>
      </c>
      <c r="O33" s="17">
        <v>0</v>
      </c>
      <c r="P33" s="18" t="s">
        <v>147</v>
      </c>
    </row>
    <row r="36" ht="26" customHeight="1" spans="1:8" x14ac:dyDescent="0.25">
      <c r="A36" s="20" t="s">
        <v>1339</v>
      </c>
      <c r="B36" s="20"/>
      <c r="C36" s="20"/>
      <c r="D36" s="20"/>
      <c r="E36" s="20"/>
      <c r="F36" s="20"/>
      <c r="G36" s="20"/>
      <c r="H36" s="20"/>
    </row>
    <row r="37" ht="22" customHeight="1" spans="1:8" x14ac:dyDescent="0.25">
      <c r="A37" s="21" t="s">
        <v>22</v>
      </c>
      <c r="B37" s="21" t="s">
        <v>23</v>
      </c>
      <c r="C37" s="21" t="s">
        <v>24</v>
      </c>
      <c r="D37" s="21" t="s">
        <v>25</v>
      </c>
      <c r="E37" s="21" t="s">
        <v>26</v>
      </c>
      <c r="F37" s="21" t="s">
        <v>27</v>
      </c>
      <c r="G37" s="21" t="s">
        <v>28</v>
      </c>
      <c r="H37" s="21" t="s">
        <v>29</v>
      </c>
    </row>
    <row r="38" ht="20" customHeight="1" spans="1:8" x14ac:dyDescent="0.25">
      <c r="A38" s="22" t="s">
        <v>30</v>
      </c>
      <c r="B38" s="22" t="s">
        <v>31</v>
      </c>
      <c r="C38" s="23" t="s">
        <v>71</v>
      </c>
      <c r="D38" s="6" t="s">
        <v>4</v>
      </c>
      <c r="E38" s="22" t="s">
        <v>257</v>
      </c>
      <c r="F38" s="22" t="s">
        <v>1293</v>
      </c>
      <c r="G38" s="22" t="s">
        <v>332</v>
      </c>
      <c r="H38" s="29" t="s">
        <v>260</v>
      </c>
    </row>
    <row r="39" ht="20" customHeight="1" spans="1:8" x14ac:dyDescent="0.25">
      <c r="A39" s="24" t="s">
        <v>33</v>
      </c>
      <c r="B39" s="24" t="s">
        <v>34</v>
      </c>
      <c r="C39" s="25" t="s">
        <v>71</v>
      </c>
      <c r="D39" s="6" t="s">
        <v>4</v>
      </c>
      <c r="E39" s="24" t="s">
        <v>199</v>
      </c>
      <c r="F39" s="24" t="s">
        <v>1105</v>
      </c>
      <c r="G39" s="24" t="s">
        <v>1152</v>
      </c>
      <c r="H39" s="34" t="s">
        <v>200</v>
      </c>
    </row>
    <row r="40" ht="20" customHeight="1" spans="1:8" x14ac:dyDescent="0.25">
      <c r="A40" s="22" t="s">
        <v>35</v>
      </c>
      <c r="B40" s="22" t="s">
        <v>36</v>
      </c>
      <c r="C40" s="23" t="s">
        <v>71</v>
      </c>
      <c r="D40" s="6" t="s">
        <v>4</v>
      </c>
      <c r="E40" s="22" t="s">
        <v>163</v>
      </c>
      <c r="F40" s="22" t="s">
        <v>749</v>
      </c>
      <c r="G40" s="22" t="s">
        <v>396</v>
      </c>
      <c r="H40" s="29" t="s">
        <v>166</v>
      </c>
    </row>
    <row r="41" ht="20" customHeight="1" spans="1:8" x14ac:dyDescent="0.25">
      <c r="A41" s="24" t="s">
        <v>37</v>
      </c>
      <c r="B41" s="24" t="s">
        <v>38</v>
      </c>
      <c r="C41" s="25" t="s">
        <v>71</v>
      </c>
      <c r="D41" s="31" t="s">
        <v>11</v>
      </c>
      <c r="E41" s="24" t="s">
        <v>12</v>
      </c>
      <c r="F41" s="24" t="s">
        <v>12</v>
      </c>
      <c r="G41" s="24" t="s">
        <v>12</v>
      </c>
      <c r="H41" s="24" t="s">
        <v>32</v>
      </c>
    </row>
    <row r="42" ht="20" customHeight="1" spans="1:8" x14ac:dyDescent="0.25">
      <c r="A42" s="22" t="s">
        <v>39</v>
      </c>
      <c r="B42" s="22" t="s">
        <v>40</v>
      </c>
      <c r="C42" s="23" t="s">
        <v>71</v>
      </c>
      <c r="D42" s="6" t="s">
        <v>4</v>
      </c>
      <c r="E42" s="22" t="s">
        <v>1117</v>
      </c>
      <c r="F42" s="22" t="s">
        <v>373</v>
      </c>
      <c r="G42" s="22" t="s">
        <v>1340</v>
      </c>
      <c r="H42" s="29" t="s">
        <v>850</v>
      </c>
    </row>
    <row r="43" ht="20" customHeight="1" spans="1:8" x14ac:dyDescent="0.25">
      <c r="A43" s="24" t="s">
        <v>41</v>
      </c>
      <c r="B43" s="24" t="s">
        <v>42</v>
      </c>
      <c r="C43" s="25" t="s">
        <v>71</v>
      </c>
      <c r="D43" s="33" t="s">
        <v>86</v>
      </c>
      <c r="E43" s="24" t="s">
        <v>12</v>
      </c>
      <c r="F43" s="24" t="s">
        <v>12</v>
      </c>
      <c r="G43" s="24" t="s">
        <v>12</v>
      </c>
      <c r="H43" s="24" t="s">
        <v>32</v>
      </c>
    </row>
    <row r="44" ht="20" customHeight="1" spans="1:8" x14ac:dyDescent="0.25">
      <c r="A44" s="22" t="s">
        <v>44</v>
      </c>
      <c r="B44" s="22" t="s">
        <v>45</v>
      </c>
      <c r="C44" s="23" t="s">
        <v>71</v>
      </c>
      <c r="D44" s="6" t="s">
        <v>4</v>
      </c>
      <c r="E44" s="22" t="s">
        <v>156</v>
      </c>
      <c r="F44" s="22" t="s">
        <v>998</v>
      </c>
      <c r="G44" s="22" t="s">
        <v>123</v>
      </c>
      <c r="H44" s="29" t="s">
        <v>158</v>
      </c>
    </row>
    <row r="45" ht="20" customHeight="1" spans="1:8" x14ac:dyDescent="0.25">
      <c r="A45" s="24" t="s">
        <v>46</v>
      </c>
      <c r="B45" s="24" t="s">
        <v>31</v>
      </c>
      <c r="C45" s="25" t="s">
        <v>71</v>
      </c>
      <c r="D45" s="6" t="s">
        <v>4</v>
      </c>
      <c r="E45" s="24" t="s">
        <v>1088</v>
      </c>
      <c r="F45" s="24" t="s">
        <v>197</v>
      </c>
      <c r="G45" s="24" t="s">
        <v>267</v>
      </c>
      <c r="H45" s="34" t="s">
        <v>1089</v>
      </c>
    </row>
    <row r="46" ht="20" customHeight="1" spans="1:8" x14ac:dyDescent="0.25">
      <c r="A46" s="22" t="s">
        <v>47</v>
      </c>
      <c r="B46" s="22" t="s">
        <v>34</v>
      </c>
      <c r="C46" s="23" t="s">
        <v>71</v>
      </c>
      <c r="D46" s="6" t="s">
        <v>4</v>
      </c>
      <c r="E46" s="22" t="s">
        <v>483</v>
      </c>
      <c r="F46" s="22" t="s">
        <v>1083</v>
      </c>
      <c r="G46" s="22" t="s">
        <v>572</v>
      </c>
      <c r="H46" s="29" t="s">
        <v>484</v>
      </c>
    </row>
    <row r="47" ht="20" customHeight="1" spans="1:8" x14ac:dyDescent="0.25">
      <c r="A47" s="24" t="s">
        <v>48</v>
      </c>
      <c r="B47" s="24" t="s">
        <v>36</v>
      </c>
      <c r="C47" s="25" t="s">
        <v>71</v>
      </c>
      <c r="D47" s="6" t="s">
        <v>4</v>
      </c>
      <c r="E47" s="24" t="s">
        <v>876</v>
      </c>
      <c r="F47" s="24" t="s">
        <v>458</v>
      </c>
      <c r="G47" s="24" t="s">
        <v>281</v>
      </c>
      <c r="H47" s="34" t="s">
        <v>877</v>
      </c>
    </row>
    <row r="48" ht="20" customHeight="1" spans="1:8" x14ac:dyDescent="0.25">
      <c r="A48" s="22" t="s">
        <v>49</v>
      </c>
      <c r="B48" s="22" t="s">
        <v>38</v>
      </c>
      <c r="C48" s="23" t="s">
        <v>71</v>
      </c>
      <c r="D48" s="6" t="s">
        <v>4</v>
      </c>
      <c r="E48" s="22" t="s">
        <v>463</v>
      </c>
      <c r="F48" s="22" t="s">
        <v>1341</v>
      </c>
      <c r="G48" s="22" t="s">
        <v>81</v>
      </c>
      <c r="H48" s="29" t="s">
        <v>465</v>
      </c>
    </row>
    <row r="49" ht="20" customHeight="1" spans="1:8" x14ac:dyDescent="0.25">
      <c r="A49" s="24" t="s">
        <v>50</v>
      </c>
      <c r="B49" s="24" t="s">
        <v>40</v>
      </c>
      <c r="C49" s="25" t="s">
        <v>71</v>
      </c>
      <c r="D49" s="33" t="s">
        <v>86</v>
      </c>
      <c r="E49" s="24" t="s">
        <v>12</v>
      </c>
      <c r="F49" s="24" t="s">
        <v>12</v>
      </c>
      <c r="G49" s="24" t="s">
        <v>12</v>
      </c>
      <c r="H49" s="24" t="s">
        <v>32</v>
      </c>
    </row>
    <row r="50" ht="20" customHeight="1" spans="1:8" x14ac:dyDescent="0.25">
      <c r="A50" s="22" t="s">
        <v>51</v>
      </c>
      <c r="B50" s="22" t="s">
        <v>42</v>
      </c>
      <c r="C50" s="23" t="s">
        <v>71</v>
      </c>
      <c r="D50" s="35" t="s">
        <v>86</v>
      </c>
      <c r="E50" s="22" t="s">
        <v>12</v>
      </c>
      <c r="F50" s="22" t="s">
        <v>12</v>
      </c>
      <c r="G50" s="22" t="s">
        <v>12</v>
      </c>
      <c r="H50" s="22" t="s">
        <v>32</v>
      </c>
    </row>
    <row r="51" ht="20" customHeight="1" spans="1:8" x14ac:dyDescent="0.25">
      <c r="A51" s="24" t="s">
        <v>52</v>
      </c>
      <c r="B51" s="24" t="s">
        <v>45</v>
      </c>
      <c r="C51" s="25" t="s">
        <v>71</v>
      </c>
      <c r="D51" s="10" t="s">
        <v>87</v>
      </c>
      <c r="E51" s="24" t="s">
        <v>12</v>
      </c>
      <c r="F51" s="24" t="s">
        <v>12</v>
      </c>
      <c r="G51" s="24" t="s">
        <v>12</v>
      </c>
      <c r="H51" s="24" t="s">
        <v>32</v>
      </c>
    </row>
    <row r="52" ht="20" customHeight="1" spans="1:8" x14ac:dyDescent="0.25">
      <c r="A52" s="22" t="s">
        <v>53</v>
      </c>
      <c r="B52" s="22" t="s">
        <v>31</v>
      </c>
      <c r="C52" s="23" t="s">
        <v>71</v>
      </c>
      <c r="D52" s="6" t="s">
        <v>4</v>
      </c>
      <c r="E52" s="22" t="s">
        <v>1292</v>
      </c>
      <c r="F52" s="22" t="s">
        <v>474</v>
      </c>
      <c r="G52" s="22" t="s">
        <v>263</v>
      </c>
      <c r="H52" s="29" t="s">
        <v>1294</v>
      </c>
    </row>
    <row r="53" ht="20" customHeight="1" spans="1:8" x14ac:dyDescent="0.25">
      <c r="A53" s="24" t="s">
        <v>54</v>
      </c>
      <c r="B53" s="24" t="s">
        <v>34</v>
      </c>
      <c r="C53" s="25" t="s">
        <v>71</v>
      </c>
      <c r="D53" s="6" t="s">
        <v>4</v>
      </c>
      <c r="E53" s="24" t="s">
        <v>469</v>
      </c>
      <c r="F53" s="24" t="s">
        <v>1342</v>
      </c>
      <c r="G53" s="24" t="s">
        <v>429</v>
      </c>
      <c r="H53" s="34" t="s">
        <v>471</v>
      </c>
    </row>
    <row r="54" ht="20" customHeight="1" spans="1:8" x14ac:dyDescent="0.25">
      <c r="A54" s="22" t="s">
        <v>55</v>
      </c>
      <c r="B54" s="22" t="s">
        <v>36</v>
      </c>
      <c r="C54" s="23" t="s">
        <v>71</v>
      </c>
      <c r="D54" s="6" t="s">
        <v>4</v>
      </c>
      <c r="E54" s="22" t="s">
        <v>1343</v>
      </c>
      <c r="F54" s="22" t="s">
        <v>957</v>
      </c>
      <c r="G54" s="22" t="s">
        <v>267</v>
      </c>
      <c r="H54" s="29" t="s">
        <v>1344</v>
      </c>
    </row>
    <row r="55" ht="20" customHeight="1" spans="1:8" x14ac:dyDescent="0.25">
      <c r="A55" s="24" t="s">
        <v>56</v>
      </c>
      <c r="B55" s="24" t="s">
        <v>38</v>
      </c>
      <c r="C55" s="25" t="s">
        <v>71</v>
      </c>
      <c r="D55" s="36" t="s">
        <v>218</v>
      </c>
      <c r="E55" s="24" t="s">
        <v>208</v>
      </c>
      <c r="F55" s="24" t="s">
        <v>1345</v>
      </c>
      <c r="G55" s="24" t="s">
        <v>1346</v>
      </c>
      <c r="H55" s="34" t="s">
        <v>1347</v>
      </c>
    </row>
    <row r="56" ht="20" customHeight="1" spans="1:8" x14ac:dyDescent="0.25">
      <c r="A56" s="22" t="s">
        <v>57</v>
      </c>
      <c r="B56" s="22" t="s">
        <v>40</v>
      </c>
      <c r="C56" s="23" t="s">
        <v>71</v>
      </c>
      <c r="D56" s="10" t="s">
        <v>87</v>
      </c>
      <c r="E56" s="22" t="s">
        <v>12</v>
      </c>
      <c r="F56" s="22" t="s">
        <v>12</v>
      </c>
      <c r="G56" s="22" t="s">
        <v>12</v>
      </c>
      <c r="H56" s="22" t="s">
        <v>32</v>
      </c>
    </row>
    <row r="57" ht="20" customHeight="1" spans="1:8" x14ac:dyDescent="0.25">
      <c r="A57" s="24" t="s">
        <v>58</v>
      </c>
      <c r="B57" s="24" t="s">
        <v>42</v>
      </c>
      <c r="C57" s="25" t="s">
        <v>71</v>
      </c>
      <c r="D57" s="16" t="s">
        <v>43</v>
      </c>
      <c r="E57" s="24" t="s">
        <v>12</v>
      </c>
      <c r="F57" s="24" t="s">
        <v>12</v>
      </c>
      <c r="G57" s="24" t="s">
        <v>12</v>
      </c>
      <c r="H57" s="24" t="s">
        <v>32</v>
      </c>
    </row>
    <row r="58" ht="20" customHeight="1" spans="1:8" x14ac:dyDescent="0.25">
      <c r="A58" s="22" t="s">
        <v>59</v>
      </c>
      <c r="B58" s="22" t="s">
        <v>45</v>
      </c>
      <c r="C58" s="23" t="s">
        <v>71</v>
      </c>
      <c r="D58" s="10" t="s">
        <v>87</v>
      </c>
      <c r="E58" s="22" t="s">
        <v>12</v>
      </c>
      <c r="F58" s="22" t="s">
        <v>12</v>
      </c>
      <c r="G58" s="22" t="s">
        <v>12</v>
      </c>
      <c r="H58" s="22" t="s">
        <v>32</v>
      </c>
    </row>
    <row r="59" ht="20" customHeight="1" spans="1:8" x14ac:dyDescent="0.25">
      <c r="A59" s="24" t="s">
        <v>60</v>
      </c>
      <c r="B59" s="24" t="s">
        <v>31</v>
      </c>
      <c r="C59" s="25" t="s">
        <v>71</v>
      </c>
      <c r="D59" s="6" t="s">
        <v>4</v>
      </c>
      <c r="E59" s="24" t="s">
        <v>185</v>
      </c>
      <c r="F59" s="24" t="s">
        <v>157</v>
      </c>
      <c r="G59" s="24" t="s">
        <v>285</v>
      </c>
      <c r="H59" s="34" t="s">
        <v>188</v>
      </c>
    </row>
    <row r="60" ht="20" customHeight="1" spans="1:8" x14ac:dyDescent="0.25">
      <c r="A60" s="22" t="s">
        <v>61</v>
      </c>
      <c r="B60" s="22" t="s">
        <v>34</v>
      </c>
      <c r="C60" s="23" t="s">
        <v>71</v>
      </c>
      <c r="D60" s="6" t="s">
        <v>4</v>
      </c>
      <c r="E60" s="22" t="s">
        <v>1208</v>
      </c>
      <c r="F60" s="22" t="s">
        <v>464</v>
      </c>
      <c r="G60" s="22" t="s">
        <v>123</v>
      </c>
      <c r="H60" s="29" t="s">
        <v>1209</v>
      </c>
    </row>
    <row r="61" ht="20" customHeight="1" spans="1:8" x14ac:dyDescent="0.25">
      <c r="A61" s="24" t="s">
        <v>62</v>
      </c>
      <c r="B61" s="24" t="s">
        <v>36</v>
      </c>
      <c r="C61" s="25" t="s">
        <v>71</v>
      </c>
      <c r="D61" s="6" t="s">
        <v>4</v>
      </c>
      <c r="E61" s="24" t="s">
        <v>326</v>
      </c>
      <c r="F61" s="24" t="s">
        <v>341</v>
      </c>
      <c r="G61" s="24" t="s">
        <v>407</v>
      </c>
      <c r="H61" s="34" t="s">
        <v>327</v>
      </c>
    </row>
    <row r="62" ht="20" customHeight="1" spans="1:8" x14ac:dyDescent="0.25">
      <c r="A62" s="22" t="s">
        <v>63</v>
      </c>
      <c r="B62" s="22" t="s">
        <v>38</v>
      </c>
      <c r="C62" s="23" t="s">
        <v>71</v>
      </c>
      <c r="D62" s="6" t="s">
        <v>4</v>
      </c>
      <c r="E62" s="22" t="s">
        <v>326</v>
      </c>
      <c r="F62" s="22" t="s">
        <v>341</v>
      </c>
      <c r="G62" s="22" t="s">
        <v>407</v>
      </c>
      <c r="H62" s="29" t="s">
        <v>327</v>
      </c>
    </row>
    <row r="63" ht="20" customHeight="1" spans="1:8" x14ac:dyDescent="0.25">
      <c r="A63" s="24" t="s">
        <v>64</v>
      </c>
      <c r="B63" s="24" t="s">
        <v>40</v>
      </c>
      <c r="C63" s="25" t="s">
        <v>71</v>
      </c>
      <c r="D63" s="6" t="s">
        <v>4</v>
      </c>
      <c r="E63" s="24" t="s">
        <v>976</v>
      </c>
      <c r="F63" s="24" t="s">
        <v>133</v>
      </c>
      <c r="G63" s="24" t="s">
        <v>1348</v>
      </c>
      <c r="H63" s="34" t="s">
        <v>1349</v>
      </c>
    </row>
    <row r="64" ht="20" customHeight="1" spans="1:8" x14ac:dyDescent="0.25">
      <c r="A64" s="22" t="s">
        <v>65</v>
      </c>
      <c r="B64" s="22" t="s">
        <v>42</v>
      </c>
      <c r="C64" s="23" t="s">
        <v>71</v>
      </c>
      <c r="D64" s="35" t="s">
        <v>86</v>
      </c>
      <c r="E64" s="22" t="s">
        <v>12</v>
      </c>
      <c r="F64" s="22" t="s">
        <v>12</v>
      </c>
      <c r="G64" s="22" t="s">
        <v>12</v>
      </c>
      <c r="H64" s="22" t="s">
        <v>32</v>
      </c>
    </row>
    <row r="65" ht="20" customHeight="1" spans="1:8" x14ac:dyDescent="0.25">
      <c r="A65" s="24" t="s">
        <v>66</v>
      </c>
      <c r="B65" s="24" t="s">
        <v>45</v>
      </c>
      <c r="C65" s="25" t="s">
        <v>71</v>
      </c>
      <c r="D65" s="6" t="s">
        <v>4</v>
      </c>
      <c r="E65" s="24" t="s">
        <v>1210</v>
      </c>
      <c r="F65" s="24" t="s">
        <v>1350</v>
      </c>
      <c r="G65" s="24" t="s">
        <v>161</v>
      </c>
      <c r="H65" s="34" t="s">
        <v>1212</v>
      </c>
    </row>
    <row r="66" ht="20" customHeight="1" spans="1:8" x14ac:dyDescent="0.25">
      <c r="A66" s="22" t="s">
        <v>67</v>
      </c>
      <c r="B66" s="22" t="s">
        <v>31</v>
      </c>
      <c r="C66" s="23" t="s">
        <v>71</v>
      </c>
      <c r="D66" s="6" t="s">
        <v>4</v>
      </c>
      <c r="E66" s="22" t="s">
        <v>181</v>
      </c>
      <c r="F66" s="22" t="s">
        <v>1351</v>
      </c>
      <c r="G66" s="22" t="s">
        <v>299</v>
      </c>
      <c r="H66" s="29" t="s">
        <v>184</v>
      </c>
    </row>
    <row r="67" ht="20" customHeight="1" spans="1:8" x14ac:dyDescent="0.25">
      <c r="A67" s="24" t="s">
        <v>68</v>
      </c>
      <c r="B67" s="24" t="s">
        <v>34</v>
      </c>
      <c r="C67" s="25" t="s">
        <v>71</v>
      </c>
      <c r="D67" s="6" t="s">
        <v>4</v>
      </c>
      <c r="E67" s="24" t="s">
        <v>334</v>
      </c>
      <c r="F67" s="24" t="s">
        <v>961</v>
      </c>
      <c r="G67" s="24" t="s">
        <v>563</v>
      </c>
      <c r="H67" s="34" t="s">
        <v>337</v>
      </c>
    </row>
    <row r="68" ht="22" customHeight="1" spans="1:8" x14ac:dyDescent="0.25">
      <c r="A68" s="26" t="s">
        <v>69</v>
      </c>
      <c r="B68" s="26"/>
      <c r="C68" s="26"/>
      <c r="D68" s="26"/>
      <c r="E68" s="26"/>
      <c r="F68" s="26"/>
      <c r="G68" s="27" t="s">
        <v>1352</v>
      </c>
      <c r="H68" s="28" t="s">
        <v>12</v>
      </c>
    </row>
    <row r="70" ht="26" customHeight="1" spans="1:8" x14ac:dyDescent="0.25">
      <c r="A70" s="20" t="s">
        <v>1353</v>
      </c>
      <c r="B70" s="20"/>
      <c r="C70" s="20"/>
      <c r="D70" s="20"/>
      <c r="E70" s="20"/>
      <c r="F70" s="20"/>
      <c r="G70" s="20"/>
      <c r="H70" s="20"/>
    </row>
    <row r="71" ht="22" customHeight="1" spans="1:8" x14ac:dyDescent="0.25">
      <c r="A71" s="21" t="s">
        <v>22</v>
      </c>
      <c r="B71" s="21" t="s">
        <v>23</v>
      </c>
      <c r="C71" s="21" t="s">
        <v>24</v>
      </c>
      <c r="D71" s="21" t="s">
        <v>25</v>
      </c>
      <c r="E71" s="21" t="s">
        <v>26</v>
      </c>
      <c r="F71" s="21" t="s">
        <v>27</v>
      </c>
      <c r="G71" s="21" t="s">
        <v>28</v>
      </c>
      <c r="H71" s="21" t="s">
        <v>29</v>
      </c>
    </row>
    <row r="72" ht="20" customHeight="1" spans="1:8" x14ac:dyDescent="0.25">
      <c r="A72" s="22" t="s">
        <v>30</v>
      </c>
      <c r="B72" s="22" t="s">
        <v>31</v>
      </c>
      <c r="C72" s="23" t="s">
        <v>71</v>
      </c>
      <c r="D72" s="6" t="s">
        <v>4</v>
      </c>
      <c r="E72" s="22" t="s">
        <v>307</v>
      </c>
      <c r="F72" s="22" t="s">
        <v>447</v>
      </c>
      <c r="G72" s="22" t="s">
        <v>190</v>
      </c>
      <c r="H72" s="32" t="s">
        <v>79</v>
      </c>
    </row>
    <row r="73" ht="20" customHeight="1" spans="1:8" x14ac:dyDescent="0.25">
      <c r="A73" s="24" t="s">
        <v>33</v>
      </c>
      <c r="B73" s="24" t="s">
        <v>34</v>
      </c>
      <c r="C73" s="25" t="s">
        <v>71</v>
      </c>
      <c r="D73" s="6" t="s">
        <v>4</v>
      </c>
      <c r="E73" s="24" t="s">
        <v>388</v>
      </c>
      <c r="F73" s="24" t="s">
        <v>133</v>
      </c>
      <c r="G73" s="24" t="s">
        <v>203</v>
      </c>
      <c r="H73" s="30" t="s">
        <v>79</v>
      </c>
    </row>
    <row r="74" ht="20" customHeight="1" spans="1:8" x14ac:dyDescent="0.25">
      <c r="A74" s="22" t="s">
        <v>35</v>
      </c>
      <c r="B74" s="22" t="s">
        <v>36</v>
      </c>
      <c r="C74" s="23" t="s">
        <v>71</v>
      </c>
      <c r="D74" s="6" t="s">
        <v>4</v>
      </c>
      <c r="E74" s="22" t="s">
        <v>673</v>
      </c>
      <c r="F74" s="22" t="s">
        <v>374</v>
      </c>
      <c r="G74" s="22" t="s">
        <v>578</v>
      </c>
      <c r="H74" s="32" t="s">
        <v>79</v>
      </c>
    </row>
    <row r="75" ht="20" customHeight="1" spans="1:8" x14ac:dyDescent="0.25">
      <c r="A75" s="24" t="s">
        <v>37</v>
      </c>
      <c r="B75" s="24" t="s">
        <v>38</v>
      </c>
      <c r="C75" s="25" t="s">
        <v>71</v>
      </c>
      <c r="D75" s="31" t="s">
        <v>11</v>
      </c>
      <c r="E75" s="24" t="s">
        <v>12</v>
      </c>
      <c r="F75" s="24" t="s">
        <v>12</v>
      </c>
      <c r="G75" s="24" t="s">
        <v>12</v>
      </c>
      <c r="H75" s="24" t="s">
        <v>32</v>
      </c>
    </row>
    <row r="76" ht="20" customHeight="1" spans="1:8" x14ac:dyDescent="0.25">
      <c r="A76" s="22" t="s">
        <v>39</v>
      </c>
      <c r="B76" s="22" t="s">
        <v>40</v>
      </c>
      <c r="C76" s="23" t="s">
        <v>71</v>
      </c>
      <c r="D76" s="6" t="s">
        <v>4</v>
      </c>
      <c r="E76" s="22" t="s">
        <v>554</v>
      </c>
      <c r="F76" s="22" t="s">
        <v>1354</v>
      </c>
      <c r="G76" s="22" t="s">
        <v>1355</v>
      </c>
      <c r="H76" s="29" t="s">
        <v>1356</v>
      </c>
    </row>
    <row r="77" ht="20" customHeight="1" spans="1:8" x14ac:dyDescent="0.25">
      <c r="A77" s="24" t="s">
        <v>41</v>
      </c>
      <c r="B77" s="24" t="s">
        <v>42</v>
      </c>
      <c r="C77" s="25" t="s">
        <v>71</v>
      </c>
      <c r="D77" s="33" t="s">
        <v>86</v>
      </c>
      <c r="E77" s="24" t="s">
        <v>12</v>
      </c>
      <c r="F77" s="24" t="s">
        <v>12</v>
      </c>
      <c r="G77" s="24" t="s">
        <v>12</v>
      </c>
      <c r="H77" s="24" t="s">
        <v>32</v>
      </c>
    </row>
    <row r="78" ht="20" customHeight="1" spans="1:8" x14ac:dyDescent="0.25">
      <c r="A78" s="22" t="s">
        <v>44</v>
      </c>
      <c r="B78" s="22" t="s">
        <v>45</v>
      </c>
      <c r="C78" s="23" t="s">
        <v>71</v>
      </c>
      <c r="D78" s="6" t="s">
        <v>4</v>
      </c>
      <c r="E78" s="22" t="s">
        <v>92</v>
      </c>
      <c r="F78" s="22" t="s">
        <v>374</v>
      </c>
      <c r="G78" s="22" t="s">
        <v>1152</v>
      </c>
      <c r="H78" s="32" t="s">
        <v>79</v>
      </c>
    </row>
    <row r="79" ht="20" customHeight="1" spans="1:8" x14ac:dyDescent="0.25">
      <c r="A79" s="24" t="s">
        <v>46</v>
      </c>
      <c r="B79" s="24" t="s">
        <v>31</v>
      </c>
      <c r="C79" s="25" t="s">
        <v>71</v>
      </c>
      <c r="D79" s="6" t="s">
        <v>4</v>
      </c>
      <c r="E79" s="24" t="s">
        <v>533</v>
      </c>
      <c r="F79" s="24" t="s">
        <v>402</v>
      </c>
      <c r="G79" s="24" t="s">
        <v>127</v>
      </c>
      <c r="H79" s="30" t="s">
        <v>79</v>
      </c>
    </row>
    <row r="80" ht="20" customHeight="1" spans="1:8" x14ac:dyDescent="0.25">
      <c r="A80" s="22" t="s">
        <v>47</v>
      </c>
      <c r="B80" s="22" t="s">
        <v>34</v>
      </c>
      <c r="C80" s="23" t="s">
        <v>71</v>
      </c>
      <c r="D80" s="6" t="s">
        <v>4</v>
      </c>
      <c r="E80" s="22" t="s">
        <v>660</v>
      </c>
      <c r="F80" s="22" t="s">
        <v>436</v>
      </c>
      <c r="G80" s="22" t="s">
        <v>111</v>
      </c>
      <c r="H80" s="32" t="s">
        <v>79</v>
      </c>
    </row>
    <row r="81" ht="20" customHeight="1" spans="1:8" x14ac:dyDescent="0.25">
      <c r="A81" s="24" t="s">
        <v>48</v>
      </c>
      <c r="B81" s="24" t="s">
        <v>36</v>
      </c>
      <c r="C81" s="25" t="s">
        <v>71</v>
      </c>
      <c r="D81" s="6" t="s">
        <v>4</v>
      </c>
      <c r="E81" s="24" t="s">
        <v>1357</v>
      </c>
      <c r="F81" s="24" t="s">
        <v>433</v>
      </c>
      <c r="G81" s="24" t="s">
        <v>206</v>
      </c>
      <c r="H81" s="30" t="s">
        <v>79</v>
      </c>
    </row>
    <row r="82" ht="20" customHeight="1" spans="1:8" x14ac:dyDescent="0.25">
      <c r="A82" s="22" t="s">
        <v>49</v>
      </c>
      <c r="B82" s="22" t="s">
        <v>38</v>
      </c>
      <c r="C82" s="23" t="s">
        <v>71</v>
      </c>
      <c r="D82" s="6" t="s">
        <v>4</v>
      </c>
      <c r="E82" s="22" t="s">
        <v>106</v>
      </c>
      <c r="F82" s="22" t="s">
        <v>609</v>
      </c>
      <c r="G82" s="22" t="s">
        <v>190</v>
      </c>
      <c r="H82" s="32" t="s">
        <v>79</v>
      </c>
    </row>
    <row r="83" ht="20" customHeight="1" spans="1:8" x14ac:dyDescent="0.25">
      <c r="A83" s="24" t="s">
        <v>50</v>
      </c>
      <c r="B83" s="24" t="s">
        <v>40</v>
      </c>
      <c r="C83" s="25" t="s">
        <v>71</v>
      </c>
      <c r="D83" s="33" t="s">
        <v>86</v>
      </c>
      <c r="E83" s="24" t="s">
        <v>12</v>
      </c>
      <c r="F83" s="24" t="s">
        <v>12</v>
      </c>
      <c r="G83" s="24" t="s">
        <v>12</v>
      </c>
      <c r="H83" s="24" t="s">
        <v>32</v>
      </c>
    </row>
    <row r="84" ht="20" customHeight="1" spans="1:8" x14ac:dyDescent="0.25">
      <c r="A84" s="22" t="s">
        <v>51</v>
      </c>
      <c r="B84" s="22" t="s">
        <v>42</v>
      </c>
      <c r="C84" s="23" t="s">
        <v>71</v>
      </c>
      <c r="D84" s="35" t="s">
        <v>86</v>
      </c>
      <c r="E84" s="22" t="s">
        <v>12</v>
      </c>
      <c r="F84" s="22" t="s">
        <v>12</v>
      </c>
      <c r="G84" s="22" t="s">
        <v>12</v>
      </c>
      <c r="H84" s="22" t="s">
        <v>32</v>
      </c>
    </row>
    <row r="85" ht="20" customHeight="1" spans="1:8" x14ac:dyDescent="0.25">
      <c r="A85" s="24" t="s">
        <v>52</v>
      </c>
      <c r="B85" s="24" t="s">
        <v>45</v>
      </c>
      <c r="C85" s="25" t="s">
        <v>71</v>
      </c>
      <c r="D85" s="6" t="s">
        <v>4</v>
      </c>
      <c r="E85" s="24" t="s">
        <v>674</v>
      </c>
      <c r="F85" s="24" t="s">
        <v>555</v>
      </c>
      <c r="G85" s="24" t="s">
        <v>302</v>
      </c>
      <c r="H85" s="34" t="s">
        <v>556</v>
      </c>
    </row>
    <row r="86" ht="20" customHeight="1" spans="1:8" x14ac:dyDescent="0.25">
      <c r="A86" s="22" t="s">
        <v>53</v>
      </c>
      <c r="B86" s="22" t="s">
        <v>31</v>
      </c>
      <c r="C86" s="23" t="s">
        <v>71</v>
      </c>
      <c r="D86" s="6" t="s">
        <v>4</v>
      </c>
      <c r="E86" s="22" t="s">
        <v>527</v>
      </c>
      <c r="F86" s="22" t="s">
        <v>1358</v>
      </c>
      <c r="G86" s="22" t="s">
        <v>183</v>
      </c>
      <c r="H86" s="29" t="s">
        <v>1359</v>
      </c>
    </row>
    <row r="87" ht="20" customHeight="1" spans="1:8" x14ac:dyDescent="0.25">
      <c r="A87" s="24" t="s">
        <v>54</v>
      </c>
      <c r="B87" s="24" t="s">
        <v>34</v>
      </c>
      <c r="C87" s="25" t="s">
        <v>71</v>
      </c>
      <c r="D87" s="10" t="s">
        <v>87</v>
      </c>
      <c r="E87" s="24" t="s">
        <v>12</v>
      </c>
      <c r="F87" s="24" t="s">
        <v>12</v>
      </c>
      <c r="G87" s="24" t="s">
        <v>12</v>
      </c>
      <c r="H87" s="24" t="s">
        <v>32</v>
      </c>
    </row>
    <row r="88" ht="20" customHeight="1" spans="1:8" x14ac:dyDescent="0.25">
      <c r="A88" s="22" t="s">
        <v>55</v>
      </c>
      <c r="B88" s="22" t="s">
        <v>36</v>
      </c>
      <c r="C88" s="23" t="s">
        <v>71</v>
      </c>
      <c r="D88" s="10" t="s">
        <v>87</v>
      </c>
      <c r="E88" s="22" t="s">
        <v>12</v>
      </c>
      <c r="F88" s="22" t="s">
        <v>12</v>
      </c>
      <c r="G88" s="22" t="s">
        <v>12</v>
      </c>
      <c r="H88" s="22" t="s">
        <v>32</v>
      </c>
    </row>
    <row r="89" ht="20" customHeight="1" spans="1:8" x14ac:dyDescent="0.25">
      <c r="A89" s="24" t="s">
        <v>56</v>
      </c>
      <c r="B89" s="24" t="s">
        <v>38</v>
      </c>
      <c r="C89" s="25" t="s">
        <v>71</v>
      </c>
      <c r="D89" s="6" t="s">
        <v>4</v>
      </c>
      <c r="E89" s="24" t="s">
        <v>1360</v>
      </c>
      <c r="F89" s="24" t="s">
        <v>433</v>
      </c>
      <c r="G89" s="24" t="s">
        <v>277</v>
      </c>
      <c r="H89" s="30" t="s">
        <v>79</v>
      </c>
    </row>
    <row r="90" ht="20" customHeight="1" spans="1:8" x14ac:dyDescent="0.25">
      <c r="A90" s="22" t="s">
        <v>57</v>
      </c>
      <c r="B90" s="22" t="s">
        <v>40</v>
      </c>
      <c r="C90" s="23" t="s">
        <v>71</v>
      </c>
      <c r="D90" s="6" t="s">
        <v>4</v>
      </c>
      <c r="E90" s="22" t="s">
        <v>1361</v>
      </c>
      <c r="F90" s="22" t="s">
        <v>523</v>
      </c>
      <c r="G90" s="22" t="s">
        <v>296</v>
      </c>
      <c r="H90" s="29" t="s">
        <v>524</v>
      </c>
    </row>
    <row r="91" ht="20" customHeight="1" spans="1:8" x14ac:dyDescent="0.25">
      <c r="A91" s="24" t="s">
        <v>58</v>
      </c>
      <c r="B91" s="24" t="s">
        <v>42</v>
      </c>
      <c r="C91" s="25" t="s">
        <v>71</v>
      </c>
      <c r="D91" s="33" t="s">
        <v>86</v>
      </c>
      <c r="E91" s="24" t="s">
        <v>12</v>
      </c>
      <c r="F91" s="24" t="s">
        <v>12</v>
      </c>
      <c r="G91" s="24" t="s">
        <v>12</v>
      </c>
      <c r="H91" s="24" t="s">
        <v>32</v>
      </c>
    </row>
    <row r="92" ht="20" customHeight="1" spans="1:8" x14ac:dyDescent="0.25">
      <c r="A92" s="22" t="s">
        <v>59</v>
      </c>
      <c r="B92" s="22" t="s">
        <v>45</v>
      </c>
      <c r="C92" s="23" t="s">
        <v>71</v>
      </c>
      <c r="D92" s="6" t="s">
        <v>4</v>
      </c>
      <c r="E92" s="22" t="s">
        <v>1362</v>
      </c>
      <c r="F92" s="22" t="s">
        <v>118</v>
      </c>
      <c r="G92" s="22" t="s">
        <v>794</v>
      </c>
      <c r="H92" s="29" t="s">
        <v>120</v>
      </c>
    </row>
    <row r="93" ht="20" customHeight="1" spans="1:8" x14ac:dyDescent="0.25">
      <c r="A93" s="24" t="s">
        <v>60</v>
      </c>
      <c r="B93" s="24" t="s">
        <v>31</v>
      </c>
      <c r="C93" s="25" t="s">
        <v>71</v>
      </c>
      <c r="D93" s="6" t="s">
        <v>4</v>
      </c>
      <c r="E93" s="24" t="s">
        <v>1363</v>
      </c>
      <c r="F93" s="24" t="s">
        <v>555</v>
      </c>
      <c r="G93" s="24" t="s">
        <v>788</v>
      </c>
      <c r="H93" s="34" t="s">
        <v>556</v>
      </c>
    </row>
    <row r="94" ht="20" customHeight="1" spans="1:8" x14ac:dyDescent="0.25">
      <c r="A94" s="22" t="s">
        <v>61</v>
      </c>
      <c r="B94" s="22" t="s">
        <v>34</v>
      </c>
      <c r="C94" s="23" t="s">
        <v>71</v>
      </c>
      <c r="D94" s="6" t="s">
        <v>4</v>
      </c>
      <c r="E94" s="22" t="s">
        <v>1364</v>
      </c>
      <c r="F94" s="22" t="s">
        <v>438</v>
      </c>
      <c r="G94" s="22" t="s">
        <v>752</v>
      </c>
      <c r="H94" s="32" t="s">
        <v>79</v>
      </c>
    </row>
    <row r="95" ht="20" customHeight="1" spans="1:8" x14ac:dyDescent="0.25">
      <c r="A95" s="24" t="s">
        <v>62</v>
      </c>
      <c r="B95" s="24" t="s">
        <v>36</v>
      </c>
      <c r="C95" s="25" t="s">
        <v>71</v>
      </c>
      <c r="D95" s="6" t="s">
        <v>4</v>
      </c>
      <c r="E95" s="24" t="s">
        <v>72</v>
      </c>
      <c r="F95" s="24" t="s">
        <v>136</v>
      </c>
      <c r="G95" s="24" t="s">
        <v>1365</v>
      </c>
      <c r="H95" s="30" t="s">
        <v>79</v>
      </c>
    </row>
    <row r="96" ht="20" customHeight="1" spans="1:8" x14ac:dyDescent="0.25">
      <c r="A96" s="22" t="s">
        <v>63</v>
      </c>
      <c r="B96" s="22" t="s">
        <v>38</v>
      </c>
      <c r="C96" s="23" t="s">
        <v>71</v>
      </c>
      <c r="D96" s="6" t="s">
        <v>4</v>
      </c>
      <c r="E96" s="22" t="s">
        <v>1362</v>
      </c>
      <c r="F96" s="22" t="s">
        <v>182</v>
      </c>
      <c r="G96" s="22" t="s">
        <v>1366</v>
      </c>
      <c r="H96" s="32" t="s">
        <v>79</v>
      </c>
    </row>
    <row r="97" ht="20" customHeight="1" spans="1:8" x14ac:dyDescent="0.25">
      <c r="A97" s="24" t="s">
        <v>64</v>
      </c>
      <c r="B97" s="24" t="s">
        <v>40</v>
      </c>
      <c r="C97" s="25" t="s">
        <v>71</v>
      </c>
      <c r="D97" s="6" t="s">
        <v>4</v>
      </c>
      <c r="E97" s="24" t="s">
        <v>1367</v>
      </c>
      <c r="F97" s="24" t="s">
        <v>282</v>
      </c>
      <c r="G97" s="24" t="s">
        <v>1081</v>
      </c>
      <c r="H97" s="30" t="s">
        <v>79</v>
      </c>
    </row>
    <row r="98" ht="20" customHeight="1" spans="1:8" x14ac:dyDescent="0.25">
      <c r="A98" s="22" t="s">
        <v>65</v>
      </c>
      <c r="B98" s="22" t="s">
        <v>42</v>
      </c>
      <c r="C98" s="23" t="s">
        <v>71</v>
      </c>
      <c r="D98" s="35" t="s">
        <v>86</v>
      </c>
      <c r="E98" s="22" t="s">
        <v>12</v>
      </c>
      <c r="F98" s="22" t="s">
        <v>12</v>
      </c>
      <c r="G98" s="22" t="s">
        <v>12</v>
      </c>
      <c r="H98" s="22" t="s">
        <v>32</v>
      </c>
    </row>
    <row r="99" ht="20" customHeight="1" spans="1:8" x14ac:dyDescent="0.25">
      <c r="A99" s="24" t="s">
        <v>66</v>
      </c>
      <c r="B99" s="24" t="s">
        <v>45</v>
      </c>
      <c r="C99" s="25" t="s">
        <v>71</v>
      </c>
      <c r="D99" s="6" t="s">
        <v>4</v>
      </c>
      <c r="E99" s="24" t="s">
        <v>1368</v>
      </c>
      <c r="F99" s="24" t="s">
        <v>402</v>
      </c>
      <c r="G99" s="24" t="s">
        <v>1366</v>
      </c>
      <c r="H99" s="30" t="s">
        <v>79</v>
      </c>
    </row>
    <row r="100" ht="20" customHeight="1" spans="1:8" x14ac:dyDescent="0.25">
      <c r="A100" s="22" t="s">
        <v>67</v>
      </c>
      <c r="B100" s="22" t="s">
        <v>31</v>
      </c>
      <c r="C100" s="23" t="s">
        <v>71</v>
      </c>
      <c r="D100" s="6" t="s">
        <v>4</v>
      </c>
      <c r="E100" s="22" t="s">
        <v>1363</v>
      </c>
      <c r="F100" s="22" t="s">
        <v>73</v>
      </c>
      <c r="G100" s="22" t="s">
        <v>406</v>
      </c>
      <c r="H100" s="29" t="s">
        <v>75</v>
      </c>
    </row>
    <row r="101" ht="20" customHeight="1" spans="1:8" x14ac:dyDescent="0.25">
      <c r="A101" s="24" t="s">
        <v>68</v>
      </c>
      <c r="B101" s="24" t="s">
        <v>34</v>
      </c>
      <c r="C101" s="25" t="s">
        <v>71</v>
      </c>
      <c r="D101" s="6" t="s">
        <v>4</v>
      </c>
      <c r="E101" s="24" t="s">
        <v>1369</v>
      </c>
      <c r="F101" s="24" t="s">
        <v>529</v>
      </c>
      <c r="G101" s="24" t="s">
        <v>752</v>
      </c>
      <c r="H101" s="30" t="s">
        <v>79</v>
      </c>
    </row>
    <row r="102" ht="22" customHeight="1" spans="1:8" x14ac:dyDescent="0.25">
      <c r="A102" s="26" t="s">
        <v>69</v>
      </c>
      <c r="B102" s="26"/>
      <c r="C102" s="26"/>
      <c r="D102" s="26"/>
      <c r="E102" s="26"/>
      <c r="F102" s="26"/>
      <c r="G102" s="27" t="s">
        <v>1370</v>
      </c>
      <c r="H102" s="28" t="s">
        <v>12</v>
      </c>
    </row>
    <row r="104" ht="26" customHeight="1" spans="1:8" x14ac:dyDescent="0.25">
      <c r="A104" s="20" t="s">
        <v>1371</v>
      </c>
      <c r="B104" s="20"/>
      <c r="C104" s="20"/>
      <c r="D104" s="20"/>
      <c r="E104" s="20"/>
      <c r="F104" s="20"/>
      <c r="G104" s="20"/>
      <c r="H104" s="20"/>
    </row>
    <row r="105" ht="22" customHeight="1" spans="1:8" x14ac:dyDescent="0.25">
      <c r="A105" s="21" t="s">
        <v>22</v>
      </c>
      <c r="B105" s="21" t="s">
        <v>23</v>
      </c>
      <c r="C105" s="21" t="s">
        <v>24</v>
      </c>
      <c r="D105" s="21" t="s">
        <v>25</v>
      </c>
      <c r="E105" s="21" t="s">
        <v>26</v>
      </c>
      <c r="F105" s="21" t="s">
        <v>27</v>
      </c>
      <c r="G105" s="21" t="s">
        <v>28</v>
      </c>
      <c r="H105" s="21" t="s">
        <v>29</v>
      </c>
    </row>
    <row r="106" ht="20" customHeight="1" spans="1:8" x14ac:dyDescent="0.25">
      <c r="A106" s="22" t="s">
        <v>30</v>
      </c>
      <c r="B106" s="22" t="s">
        <v>31</v>
      </c>
      <c r="C106" s="23" t="s">
        <v>71</v>
      </c>
      <c r="D106" s="6" t="s">
        <v>4</v>
      </c>
      <c r="E106" s="22" t="s">
        <v>176</v>
      </c>
      <c r="F106" s="22" t="s">
        <v>921</v>
      </c>
      <c r="G106" s="22" t="s">
        <v>1372</v>
      </c>
      <c r="H106" s="29" t="s">
        <v>178</v>
      </c>
    </row>
    <row r="107" ht="20" customHeight="1" spans="1:8" x14ac:dyDescent="0.25">
      <c r="A107" s="24" t="s">
        <v>33</v>
      </c>
      <c r="B107" s="24" t="s">
        <v>34</v>
      </c>
      <c r="C107" s="25" t="s">
        <v>71</v>
      </c>
      <c r="D107" s="6" t="s">
        <v>4</v>
      </c>
      <c r="E107" s="24" t="s">
        <v>212</v>
      </c>
      <c r="F107" s="24" t="s">
        <v>1373</v>
      </c>
      <c r="G107" s="24" t="s">
        <v>1374</v>
      </c>
      <c r="H107" s="34" t="s">
        <v>215</v>
      </c>
    </row>
    <row r="108" ht="20" customHeight="1" spans="1:8" x14ac:dyDescent="0.25">
      <c r="A108" s="22" t="s">
        <v>35</v>
      </c>
      <c r="B108" s="22" t="s">
        <v>36</v>
      </c>
      <c r="C108" s="23" t="s">
        <v>71</v>
      </c>
      <c r="D108" s="6" t="s">
        <v>4</v>
      </c>
      <c r="E108" s="22" t="s">
        <v>163</v>
      </c>
      <c r="F108" s="22" t="s">
        <v>1239</v>
      </c>
      <c r="G108" s="22" t="s">
        <v>987</v>
      </c>
      <c r="H108" s="29" t="s">
        <v>166</v>
      </c>
    </row>
    <row r="109" ht="20" customHeight="1" spans="1:8" x14ac:dyDescent="0.25">
      <c r="A109" s="24" t="s">
        <v>37</v>
      </c>
      <c r="B109" s="24" t="s">
        <v>38</v>
      </c>
      <c r="C109" s="25" t="s">
        <v>71</v>
      </c>
      <c r="D109" s="31" t="s">
        <v>11</v>
      </c>
      <c r="E109" s="24" t="s">
        <v>12</v>
      </c>
      <c r="F109" s="24" t="s">
        <v>12</v>
      </c>
      <c r="G109" s="24" t="s">
        <v>12</v>
      </c>
      <c r="H109" s="24" t="s">
        <v>32</v>
      </c>
    </row>
    <row r="110" ht="20" customHeight="1" spans="1:8" x14ac:dyDescent="0.25">
      <c r="A110" s="22" t="s">
        <v>39</v>
      </c>
      <c r="B110" s="22" t="s">
        <v>40</v>
      </c>
      <c r="C110" s="23" t="s">
        <v>71</v>
      </c>
      <c r="D110" s="6" t="s">
        <v>4</v>
      </c>
      <c r="E110" s="22" t="s">
        <v>228</v>
      </c>
      <c r="F110" s="22" t="s">
        <v>1080</v>
      </c>
      <c r="G110" s="22" t="s">
        <v>760</v>
      </c>
      <c r="H110" s="29" t="s">
        <v>229</v>
      </c>
    </row>
    <row r="111" ht="20" customHeight="1" spans="1:8" x14ac:dyDescent="0.25">
      <c r="A111" s="24" t="s">
        <v>41</v>
      </c>
      <c r="B111" s="24" t="s">
        <v>42</v>
      </c>
      <c r="C111" s="25" t="s">
        <v>71</v>
      </c>
      <c r="D111" s="33" t="s">
        <v>86</v>
      </c>
      <c r="E111" s="24" t="s">
        <v>12</v>
      </c>
      <c r="F111" s="24" t="s">
        <v>12</v>
      </c>
      <c r="G111" s="24" t="s">
        <v>12</v>
      </c>
      <c r="H111" s="24" t="s">
        <v>32</v>
      </c>
    </row>
    <row r="112" ht="20" customHeight="1" spans="1:8" x14ac:dyDescent="0.25">
      <c r="A112" s="22" t="s">
        <v>44</v>
      </c>
      <c r="B112" s="22" t="s">
        <v>45</v>
      </c>
      <c r="C112" s="23" t="s">
        <v>71</v>
      </c>
      <c r="D112" s="6" t="s">
        <v>4</v>
      </c>
      <c r="E112" s="22" t="s">
        <v>208</v>
      </c>
      <c r="F112" s="22" t="s">
        <v>945</v>
      </c>
      <c r="G112" s="22" t="s">
        <v>782</v>
      </c>
      <c r="H112" s="29" t="s">
        <v>210</v>
      </c>
    </row>
    <row r="113" ht="20" customHeight="1" spans="1:8" x14ac:dyDescent="0.25">
      <c r="A113" s="24" t="s">
        <v>46</v>
      </c>
      <c r="B113" s="24" t="s">
        <v>31</v>
      </c>
      <c r="C113" s="25" t="s">
        <v>71</v>
      </c>
      <c r="D113" s="6" t="s">
        <v>4</v>
      </c>
      <c r="E113" s="24" t="s">
        <v>392</v>
      </c>
      <c r="F113" s="24" t="s">
        <v>12</v>
      </c>
      <c r="G113" s="24" t="s">
        <v>12</v>
      </c>
      <c r="H113" s="34" t="s">
        <v>394</v>
      </c>
    </row>
    <row r="114" ht="20" customHeight="1" spans="1:8" x14ac:dyDescent="0.25">
      <c r="A114" s="22" t="s">
        <v>47</v>
      </c>
      <c r="B114" s="22" t="s">
        <v>34</v>
      </c>
      <c r="C114" s="23" t="s">
        <v>71</v>
      </c>
      <c r="D114" s="6" t="s">
        <v>4</v>
      </c>
      <c r="E114" s="22" t="s">
        <v>189</v>
      </c>
      <c r="F114" s="22" t="s">
        <v>1375</v>
      </c>
      <c r="G114" s="22" t="s">
        <v>1172</v>
      </c>
      <c r="H114" s="29" t="s">
        <v>191</v>
      </c>
    </row>
    <row r="115" ht="20" customHeight="1" spans="1:8" x14ac:dyDescent="0.25">
      <c r="A115" s="24" t="s">
        <v>48</v>
      </c>
      <c r="B115" s="24" t="s">
        <v>36</v>
      </c>
      <c r="C115" s="25" t="s">
        <v>71</v>
      </c>
      <c r="D115" s="6" t="s">
        <v>4</v>
      </c>
      <c r="E115" s="24" t="s">
        <v>322</v>
      </c>
      <c r="F115" s="24" t="s">
        <v>12</v>
      </c>
      <c r="G115" s="24" t="s">
        <v>12</v>
      </c>
      <c r="H115" s="34" t="s">
        <v>323</v>
      </c>
    </row>
    <row r="116" ht="20" customHeight="1" spans="1:8" x14ac:dyDescent="0.25">
      <c r="A116" s="22" t="s">
        <v>49</v>
      </c>
      <c r="B116" s="22" t="s">
        <v>38</v>
      </c>
      <c r="C116" s="23" t="s">
        <v>71</v>
      </c>
      <c r="D116" s="6" t="s">
        <v>4</v>
      </c>
      <c r="E116" s="22" t="s">
        <v>1343</v>
      </c>
      <c r="F116" s="22" t="s">
        <v>1376</v>
      </c>
      <c r="G116" s="22" t="s">
        <v>1102</v>
      </c>
      <c r="H116" s="29" t="s">
        <v>1344</v>
      </c>
    </row>
    <row r="117" ht="20" customHeight="1" spans="1:8" x14ac:dyDescent="0.25">
      <c r="A117" s="24" t="s">
        <v>50</v>
      </c>
      <c r="B117" s="24" t="s">
        <v>40</v>
      </c>
      <c r="C117" s="25" t="s">
        <v>71</v>
      </c>
      <c r="D117" s="6" t="s">
        <v>4</v>
      </c>
      <c r="E117" s="24" t="s">
        <v>1210</v>
      </c>
      <c r="F117" s="24" t="s">
        <v>1377</v>
      </c>
      <c r="G117" s="24" t="s">
        <v>1378</v>
      </c>
      <c r="H117" s="34" t="s">
        <v>1212</v>
      </c>
    </row>
    <row r="118" ht="20" customHeight="1" spans="1:8" x14ac:dyDescent="0.25">
      <c r="A118" s="22" t="s">
        <v>51</v>
      </c>
      <c r="B118" s="22" t="s">
        <v>42</v>
      </c>
      <c r="C118" s="23" t="s">
        <v>71</v>
      </c>
      <c r="D118" s="35" t="s">
        <v>86</v>
      </c>
      <c r="E118" s="22" t="s">
        <v>12</v>
      </c>
      <c r="F118" s="22" t="s">
        <v>12</v>
      </c>
      <c r="G118" s="22" t="s">
        <v>12</v>
      </c>
      <c r="H118" s="22" t="s">
        <v>32</v>
      </c>
    </row>
    <row r="119" ht="20" customHeight="1" spans="1:8" x14ac:dyDescent="0.25">
      <c r="A119" s="24" t="s">
        <v>52</v>
      </c>
      <c r="B119" s="24" t="s">
        <v>45</v>
      </c>
      <c r="C119" s="25" t="s">
        <v>71</v>
      </c>
      <c r="D119" s="6" t="s">
        <v>4</v>
      </c>
      <c r="E119" s="24" t="s">
        <v>369</v>
      </c>
      <c r="F119" s="24" t="s">
        <v>1237</v>
      </c>
      <c r="G119" s="24" t="s">
        <v>108</v>
      </c>
      <c r="H119" s="34" t="s">
        <v>371</v>
      </c>
    </row>
    <row r="120" ht="20" customHeight="1" spans="1:8" x14ac:dyDescent="0.25">
      <c r="A120" s="22" t="s">
        <v>53</v>
      </c>
      <c r="B120" s="22" t="s">
        <v>31</v>
      </c>
      <c r="C120" s="23" t="s">
        <v>71</v>
      </c>
      <c r="D120" s="6" t="s">
        <v>4</v>
      </c>
      <c r="E120" s="22" t="s">
        <v>201</v>
      </c>
      <c r="F120" s="22" t="s">
        <v>12</v>
      </c>
      <c r="G120" s="22" t="s">
        <v>12</v>
      </c>
      <c r="H120" s="29" t="s">
        <v>204</v>
      </c>
    </row>
    <row r="121" ht="20" customHeight="1" spans="1:8" x14ac:dyDescent="0.25">
      <c r="A121" s="24" t="s">
        <v>54</v>
      </c>
      <c r="B121" s="24" t="s">
        <v>34</v>
      </c>
      <c r="C121" s="25" t="s">
        <v>71</v>
      </c>
      <c r="D121" s="6" t="s">
        <v>4</v>
      </c>
      <c r="E121" s="24" t="s">
        <v>364</v>
      </c>
      <c r="F121" s="24" t="s">
        <v>12</v>
      </c>
      <c r="G121" s="24" t="s">
        <v>12</v>
      </c>
      <c r="H121" s="30" t="s">
        <v>79</v>
      </c>
    </row>
    <row r="122" ht="20" customHeight="1" spans="1:8" x14ac:dyDescent="0.25">
      <c r="A122" s="22" t="s">
        <v>55</v>
      </c>
      <c r="B122" s="22" t="s">
        <v>36</v>
      </c>
      <c r="C122" s="23" t="s">
        <v>71</v>
      </c>
      <c r="D122" s="6" t="s">
        <v>4</v>
      </c>
      <c r="E122" s="22" t="s">
        <v>152</v>
      </c>
      <c r="F122" s="22" t="s">
        <v>1379</v>
      </c>
      <c r="G122" s="22" t="s">
        <v>952</v>
      </c>
      <c r="H122" s="29" t="s">
        <v>155</v>
      </c>
    </row>
    <row r="123" ht="20" customHeight="1" spans="1:8" x14ac:dyDescent="0.25">
      <c r="A123" s="24" t="s">
        <v>56</v>
      </c>
      <c r="B123" s="24" t="s">
        <v>38</v>
      </c>
      <c r="C123" s="25" t="s">
        <v>71</v>
      </c>
      <c r="D123" s="6" t="s">
        <v>4</v>
      </c>
      <c r="E123" s="24" t="s">
        <v>755</v>
      </c>
      <c r="F123" s="24" t="s">
        <v>1380</v>
      </c>
      <c r="G123" s="24" t="s">
        <v>1238</v>
      </c>
      <c r="H123" s="34" t="s">
        <v>756</v>
      </c>
    </row>
    <row r="124" ht="20" customHeight="1" spans="1:8" x14ac:dyDescent="0.25">
      <c r="A124" s="22" t="s">
        <v>57</v>
      </c>
      <c r="B124" s="22" t="s">
        <v>40</v>
      </c>
      <c r="C124" s="23" t="s">
        <v>71</v>
      </c>
      <c r="D124" s="6" t="s">
        <v>4</v>
      </c>
      <c r="E124" s="22" t="s">
        <v>254</v>
      </c>
      <c r="F124" s="22" t="s">
        <v>12</v>
      </c>
      <c r="G124" s="22" t="s">
        <v>12</v>
      </c>
      <c r="H124" s="29" t="s">
        <v>256</v>
      </c>
    </row>
    <row r="125" ht="20" customHeight="1" spans="1:8" x14ac:dyDescent="0.25">
      <c r="A125" s="24" t="s">
        <v>58</v>
      </c>
      <c r="B125" s="24" t="s">
        <v>42</v>
      </c>
      <c r="C125" s="25" t="s">
        <v>71</v>
      </c>
      <c r="D125" s="33" t="s">
        <v>86</v>
      </c>
      <c r="E125" s="24" t="s">
        <v>12</v>
      </c>
      <c r="F125" s="24" t="s">
        <v>12</v>
      </c>
      <c r="G125" s="24" t="s">
        <v>12</v>
      </c>
      <c r="H125" s="24" t="s">
        <v>32</v>
      </c>
    </row>
    <row r="126" ht="20" customHeight="1" spans="1:8" x14ac:dyDescent="0.25">
      <c r="A126" s="22" t="s">
        <v>59</v>
      </c>
      <c r="B126" s="22" t="s">
        <v>45</v>
      </c>
      <c r="C126" s="23" t="s">
        <v>71</v>
      </c>
      <c r="D126" s="6" t="s">
        <v>4</v>
      </c>
      <c r="E126" s="22" t="s">
        <v>353</v>
      </c>
      <c r="F126" s="22" t="s">
        <v>1381</v>
      </c>
      <c r="G126" s="22" t="s">
        <v>782</v>
      </c>
      <c r="H126" s="29" t="s">
        <v>355</v>
      </c>
    </row>
    <row r="127" ht="20" customHeight="1" spans="1:8" x14ac:dyDescent="0.25">
      <c r="A127" s="24" t="s">
        <v>60</v>
      </c>
      <c r="B127" s="24" t="s">
        <v>31</v>
      </c>
      <c r="C127" s="25" t="s">
        <v>71</v>
      </c>
      <c r="D127" s="6" t="s">
        <v>4</v>
      </c>
      <c r="E127" s="24" t="s">
        <v>234</v>
      </c>
      <c r="F127" s="24" t="s">
        <v>1380</v>
      </c>
      <c r="G127" s="24" t="s">
        <v>1065</v>
      </c>
      <c r="H127" s="34" t="s">
        <v>236</v>
      </c>
    </row>
    <row r="128" ht="20" customHeight="1" spans="1:8" x14ac:dyDescent="0.25">
      <c r="A128" s="22" t="s">
        <v>61</v>
      </c>
      <c r="B128" s="22" t="s">
        <v>34</v>
      </c>
      <c r="C128" s="23" t="s">
        <v>71</v>
      </c>
      <c r="D128" s="6" t="s">
        <v>4</v>
      </c>
      <c r="E128" s="22" t="s">
        <v>379</v>
      </c>
      <c r="F128" s="22" t="s">
        <v>1098</v>
      </c>
      <c r="G128" s="22" t="s">
        <v>763</v>
      </c>
      <c r="H128" s="29" t="s">
        <v>380</v>
      </c>
    </row>
    <row r="129" ht="20" customHeight="1" spans="1:8" x14ac:dyDescent="0.25">
      <c r="A129" s="24" t="s">
        <v>62</v>
      </c>
      <c r="B129" s="24" t="s">
        <v>36</v>
      </c>
      <c r="C129" s="25" t="s">
        <v>71</v>
      </c>
      <c r="D129" s="6" t="s">
        <v>4</v>
      </c>
      <c r="E129" s="24" t="s">
        <v>12</v>
      </c>
      <c r="F129" s="24" t="s">
        <v>12</v>
      </c>
      <c r="G129" s="24" t="s">
        <v>12</v>
      </c>
      <c r="H129" s="24" t="s">
        <v>32</v>
      </c>
    </row>
    <row r="130" ht="20" customHeight="1" spans="1:8" x14ac:dyDescent="0.25">
      <c r="A130" s="22" t="s">
        <v>63</v>
      </c>
      <c r="B130" s="22" t="s">
        <v>38</v>
      </c>
      <c r="C130" s="23" t="s">
        <v>71</v>
      </c>
      <c r="D130" s="6" t="s">
        <v>4</v>
      </c>
      <c r="E130" s="22" t="s">
        <v>649</v>
      </c>
      <c r="F130" s="22" t="s">
        <v>12</v>
      </c>
      <c r="G130" s="22" t="s">
        <v>12</v>
      </c>
      <c r="H130" s="29" t="s">
        <v>651</v>
      </c>
    </row>
    <row r="131" ht="20" customHeight="1" spans="1:8" x14ac:dyDescent="0.25">
      <c r="A131" s="24" t="s">
        <v>64</v>
      </c>
      <c r="B131" s="24" t="s">
        <v>40</v>
      </c>
      <c r="C131" s="25" t="s">
        <v>71</v>
      </c>
      <c r="D131" s="6" t="s">
        <v>4</v>
      </c>
      <c r="E131" s="24" t="s">
        <v>518</v>
      </c>
      <c r="F131" s="24" t="s">
        <v>12</v>
      </c>
      <c r="G131" s="24" t="s">
        <v>12</v>
      </c>
      <c r="H131" s="30" t="s">
        <v>79</v>
      </c>
    </row>
    <row r="132" ht="20" customHeight="1" spans="1:8" x14ac:dyDescent="0.25">
      <c r="A132" s="22" t="s">
        <v>65</v>
      </c>
      <c r="B132" s="22" t="s">
        <v>42</v>
      </c>
      <c r="C132" s="23" t="s">
        <v>71</v>
      </c>
      <c r="D132" s="35" t="s">
        <v>86</v>
      </c>
      <c r="E132" s="22" t="s">
        <v>12</v>
      </c>
      <c r="F132" s="22" t="s">
        <v>12</v>
      </c>
      <c r="G132" s="22" t="s">
        <v>12</v>
      </c>
      <c r="H132" s="22" t="s">
        <v>32</v>
      </c>
    </row>
    <row r="133" ht="20" customHeight="1" spans="1:8" x14ac:dyDescent="0.25">
      <c r="A133" s="24" t="s">
        <v>66</v>
      </c>
      <c r="B133" s="24" t="s">
        <v>45</v>
      </c>
      <c r="C133" s="25" t="s">
        <v>71</v>
      </c>
      <c r="D133" s="6" t="s">
        <v>4</v>
      </c>
      <c r="E133" s="24" t="s">
        <v>375</v>
      </c>
      <c r="F133" s="24" t="s">
        <v>12</v>
      </c>
      <c r="G133" s="24" t="s">
        <v>12</v>
      </c>
      <c r="H133" s="30" t="s">
        <v>79</v>
      </c>
    </row>
    <row r="134" ht="20" customHeight="1" spans="1:8" x14ac:dyDescent="0.25">
      <c r="A134" s="22" t="s">
        <v>67</v>
      </c>
      <c r="B134" s="22" t="s">
        <v>31</v>
      </c>
      <c r="C134" s="23" t="s">
        <v>71</v>
      </c>
      <c r="D134" s="6" t="s">
        <v>4</v>
      </c>
      <c r="E134" s="22" t="s">
        <v>12</v>
      </c>
      <c r="F134" s="22" t="s">
        <v>12</v>
      </c>
      <c r="G134" s="22" t="s">
        <v>12</v>
      </c>
      <c r="H134" s="22" t="s">
        <v>32</v>
      </c>
    </row>
    <row r="135" ht="20" customHeight="1" spans="1:8" x14ac:dyDescent="0.25">
      <c r="A135" s="24" t="s">
        <v>68</v>
      </c>
      <c r="B135" s="24" t="s">
        <v>34</v>
      </c>
      <c r="C135" s="25" t="s">
        <v>71</v>
      </c>
      <c r="D135" s="6" t="s">
        <v>4</v>
      </c>
      <c r="E135" s="24" t="s">
        <v>1273</v>
      </c>
      <c r="F135" s="24" t="s">
        <v>12</v>
      </c>
      <c r="G135" s="24" t="s">
        <v>12</v>
      </c>
      <c r="H135" s="34" t="s">
        <v>1275</v>
      </c>
    </row>
    <row r="136" ht="22" customHeight="1" spans="1:8" x14ac:dyDescent="0.25">
      <c r="A136" s="26" t="s">
        <v>69</v>
      </c>
      <c r="B136" s="26"/>
      <c r="C136" s="26"/>
      <c r="D136" s="26"/>
      <c r="E136" s="26"/>
      <c r="F136" s="26"/>
      <c r="G136" s="27" t="s">
        <v>1382</v>
      </c>
      <c r="H136" s="28" t="s">
        <v>12</v>
      </c>
    </row>
    <row r="138" ht="26" customHeight="1" spans="1:8" x14ac:dyDescent="0.25">
      <c r="A138" s="20" t="s">
        <v>1383</v>
      </c>
      <c r="B138" s="20"/>
      <c r="C138" s="20"/>
      <c r="D138" s="20"/>
      <c r="E138" s="20"/>
      <c r="F138" s="20"/>
      <c r="G138" s="20"/>
      <c r="H138" s="20"/>
    </row>
    <row r="139" ht="22" customHeight="1" spans="1:8" x14ac:dyDescent="0.25">
      <c r="A139" s="21" t="s">
        <v>22</v>
      </c>
      <c r="B139" s="21" t="s">
        <v>23</v>
      </c>
      <c r="C139" s="21" t="s">
        <v>24</v>
      </c>
      <c r="D139" s="21" t="s">
        <v>25</v>
      </c>
      <c r="E139" s="21" t="s">
        <v>26</v>
      </c>
      <c r="F139" s="21" t="s">
        <v>27</v>
      </c>
      <c r="G139" s="21" t="s">
        <v>28</v>
      </c>
      <c r="H139" s="21" t="s">
        <v>29</v>
      </c>
    </row>
    <row r="140" ht="20" customHeight="1" spans="1:8" x14ac:dyDescent="0.25">
      <c r="A140" s="22" t="s">
        <v>30</v>
      </c>
      <c r="B140" s="22" t="s">
        <v>31</v>
      </c>
      <c r="C140" s="23" t="s">
        <v>71</v>
      </c>
      <c r="D140" s="6" t="s">
        <v>4</v>
      </c>
      <c r="E140" s="22" t="s">
        <v>125</v>
      </c>
      <c r="F140" s="22" t="s">
        <v>412</v>
      </c>
      <c r="G140" s="22" t="s">
        <v>1384</v>
      </c>
      <c r="H140" s="32" t="s">
        <v>79</v>
      </c>
    </row>
    <row r="141" ht="20" customHeight="1" spans="1:8" x14ac:dyDescent="0.25">
      <c r="A141" s="24" t="s">
        <v>33</v>
      </c>
      <c r="B141" s="24" t="s">
        <v>34</v>
      </c>
      <c r="C141" s="25" t="s">
        <v>71</v>
      </c>
      <c r="D141" s="6" t="s">
        <v>4</v>
      </c>
      <c r="E141" s="24" t="s">
        <v>216</v>
      </c>
      <c r="F141" s="24" t="s">
        <v>324</v>
      </c>
      <c r="G141" s="24" t="s">
        <v>496</v>
      </c>
      <c r="H141" s="34" t="s">
        <v>217</v>
      </c>
    </row>
    <row r="142" ht="20" customHeight="1" spans="1:8" x14ac:dyDescent="0.25">
      <c r="A142" s="22" t="s">
        <v>35</v>
      </c>
      <c r="B142" s="22" t="s">
        <v>36</v>
      </c>
      <c r="C142" s="23" t="s">
        <v>71</v>
      </c>
      <c r="D142" s="6" t="s">
        <v>4</v>
      </c>
      <c r="E142" s="22" t="s">
        <v>576</v>
      </c>
      <c r="F142" s="22" t="s">
        <v>344</v>
      </c>
      <c r="G142" s="22" t="s">
        <v>194</v>
      </c>
      <c r="H142" s="32" t="s">
        <v>79</v>
      </c>
    </row>
    <row r="143" ht="20" customHeight="1" spans="1:8" x14ac:dyDescent="0.25">
      <c r="A143" s="24" t="s">
        <v>37</v>
      </c>
      <c r="B143" s="24" t="s">
        <v>38</v>
      </c>
      <c r="C143" s="25" t="s">
        <v>71</v>
      </c>
      <c r="D143" s="31" t="s">
        <v>11</v>
      </c>
      <c r="E143" s="24" t="s">
        <v>12</v>
      </c>
      <c r="F143" s="24" t="s">
        <v>12</v>
      </c>
      <c r="G143" s="24" t="s">
        <v>12</v>
      </c>
      <c r="H143" s="24" t="s">
        <v>32</v>
      </c>
    </row>
    <row r="144" ht="20" customHeight="1" spans="1:8" x14ac:dyDescent="0.25">
      <c r="A144" s="22" t="s">
        <v>39</v>
      </c>
      <c r="B144" s="22" t="s">
        <v>40</v>
      </c>
      <c r="C144" s="23" t="s">
        <v>71</v>
      </c>
      <c r="D144" s="10" t="s">
        <v>87</v>
      </c>
      <c r="E144" s="22" t="s">
        <v>12</v>
      </c>
      <c r="F144" s="22" t="s">
        <v>12</v>
      </c>
      <c r="G144" s="22" t="s">
        <v>12</v>
      </c>
      <c r="H144" s="22" t="s">
        <v>32</v>
      </c>
    </row>
    <row r="145" ht="20" customHeight="1" spans="1:8" x14ac:dyDescent="0.25">
      <c r="A145" s="24" t="s">
        <v>41</v>
      </c>
      <c r="B145" s="24" t="s">
        <v>42</v>
      </c>
      <c r="C145" s="25" t="s">
        <v>71</v>
      </c>
      <c r="D145" s="33" t="s">
        <v>86</v>
      </c>
      <c r="E145" s="24" t="s">
        <v>12</v>
      </c>
      <c r="F145" s="24" t="s">
        <v>12</v>
      </c>
      <c r="G145" s="24" t="s">
        <v>12</v>
      </c>
      <c r="H145" s="24" t="s">
        <v>32</v>
      </c>
    </row>
    <row r="146" ht="20" customHeight="1" spans="1:8" x14ac:dyDescent="0.25">
      <c r="A146" s="22" t="s">
        <v>44</v>
      </c>
      <c r="B146" s="22" t="s">
        <v>45</v>
      </c>
      <c r="C146" s="23" t="s">
        <v>71</v>
      </c>
      <c r="D146" s="6" t="s">
        <v>4</v>
      </c>
      <c r="E146" s="22" t="s">
        <v>125</v>
      </c>
      <c r="F146" s="22" t="s">
        <v>402</v>
      </c>
      <c r="G146" s="22" t="s">
        <v>81</v>
      </c>
      <c r="H146" s="32" t="s">
        <v>79</v>
      </c>
    </row>
    <row r="147" ht="20" customHeight="1" spans="1:8" x14ac:dyDescent="0.25">
      <c r="A147" s="24" t="s">
        <v>46</v>
      </c>
      <c r="B147" s="24" t="s">
        <v>31</v>
      </c>
      <c r="C147" s="25" t="s">
        <v>71</v>
      </c>
      <c r="D147" s="6" t="s">
        <v>4</v>
      </c>
      <c r="E147" s="24" t="s">
        <v>364</v>
      </c>
      <c r="F147" s="24" t="s">
        <v>363</v>
      </c>
      <c r="G147" s="24" t="s">
        <v>177</v>
      </c>
      <c r="H147" s="30" t="s">
        <v>79</v>
      </c>
    </row>
    <row r="148" ht="20" customHeight="1" spans="1:8" x14ac:dyDescent="0.25">
      <c r="A148" s="22" t="s">
        <v>47</v>
      </c>
      <c r="B148" s="22" t="s">
        <v>34</v>
      </c>
      <c r="C148" s="23" t="s">
        <v>71</v>
      </c>
      <c r="D148" s="6" t="s">
        <v>4</v>
      </c>
      <c r="E148" s="22" t="s">
        <v>362</v>
      </c>
      <c r="F148" s="22" t="s">
        <v>133</v>
      </c>
      <c r="G148" s="22" t="s">
        <v>250</v>
      </c>
      <c r="H148" s="32" t="s">
        <v>79</v>
      </c>
    </row>
    <row r="149" ht="20" customHeight="1" spans="1:8" x14ac:dyDescent="0.25">
      <c r="A149" s="24" t="s">
        <v>48</v>
      </c>
      <c r="B149" s="24" t="s">
        <v>36</v>
      </c>
      <c r="C149" s="25" t="s">
        <v>71</v>
      </c>
      <c r="D149" s="6" t="s">
        <v>4</v>
      </c>
      <c r="E149" s="24" t="s">
        <v>639</v>
      </c>
      <c r="F149" s="24" t="s">
        <v>636</v>
      </c>
      <c r="G149" s="24" t="s">
        <v>281</v>
      </c>
      <c r="H149" s="30" t="s">
        <v>79</v>
      </c>
    </row>
    <row r="150" ht="20" customHeight="1" spans="1:8" x14ac:dyDescent="0.25">
      <c r="A150" s="22" t="s">
        <v>49</v>
      </c>
      <c r="B150" s="22" t="s">
        <v>38</v>
      </c>
      <c r="C150" s="23" t="s">
        <v>71</v>
      </c>
      <c r="D150" s="6" t="s">
        <v>4</v>
      </c>
      <c r="E150" s="22" t="s">
        <v>311</v>
      </c>
      <c r="F150" s="22" t="s">
        <v>301</v>
      </c>
      <c r="G150" s="22" t="s">
        <v>563</v>
      </c>
      <c r="H150" s="32" t="s">
        <v>79</v>
      </c>
    </row>
    <row r="151" ht="20" customHeight="1" spans="1:8" x14ac:dyDescent="0.25">
      <c r="A151" s="24" t="s">
        <v>50</v>
      </c>
      <c r="B151" s="24" t="s">
        <v>40</v>
      </c>
      <c r="C151" s="25" t="s">
        <v>71</v>
      </c>
      <c r="D151" s="33" t="s">
        <v>86</v>
      </c>
      <c r="E151" s="24" t="s">
        <v>12</v>
      </c>
      <c r="F151" s="24" t="s">
        <v>12</v>
      </c>
      <c r="G151" s="24" t="s">
        <v>12</v>
      </c>
      <c r="H151" s="24" t="s">
        <v>32</v>
      </c>
    </row>
    <row r="152" ht="20" customHeight="1" spans="1:8" x14ac:dyDescent="0.25">
      <c r="A152" s="22" t="s">
        <v>51</v>
      </c>
      <c r="B152" s="22" t="s">
        <v>42</v>
      </c>
      <c r="C152" s="23" t="s">
        <v>71</v>
      </c>
      <c r="D152" s="35" t="s">
        <v>86</v>
      </c>
      <c r="E152" s="22" t="s">
        <v>12</v>
      </c>
      <c r="F152" s="22" t="s">
        <v>12</v>
      </c>
      <c r="G152" s="22" t="s">
        <v>12</v>
      </c>
      <c r="H152" s="22" t="s">
        <v>32</v>
      </c>
    </row>
    <row r="153" ht="20" customHeight="1" spans="1:8" x14ac:dyDescent="0.25">
      <c r="A153" s="24" t="s">
        <v>52</v>
      </c>
      <c r="B153" s="24" t="s">
        <v>45</v>
      </c>
      <c r="C153" s="25" t="s">
        <v>71</v>
      </c>
      <c r="D153" s="6" t="s">
        <v>4</v>
      </c>
      <c r="E153" s="24" t="s">
        <v>239</v>
      </c>
      <c r="F153" s="24" t="s">
        <v>373</v>
      </c>
      <c r="G153" s="24" t="s">
        <v>226</v>
      </c>
      <c r="H153" s="34" t="s">
        <v>241</v>
      </c>
    </row>
    <row r="154" ht="20" customHeight="1" spans="1:8" x14ac:dyDescent="0.25">
      <c r="A154" s="22" t="s">
        <v>53</v>
      </c>
      <c r="B154" s="22" t="s">
        <v>31</v>
      </c>
      <c r="C154" s="23" t="s">
        <v>71</v>
      </c>
      <c r="D154" s="6" t="s">
        <v>4</v>
      </c>
      <c r="E154" s="22" t="s">
        <v>362</v>
      </c>
      <c r="F154" s="22" t="s">
        <v>324</v>
      </c>
      <c r="G154" s="22" t="s">
        <v>180</v>
      </c>
      <c r="H154" s="32" t="s">
        <v>79</v>
      </c>
    </row>
    <row r="155" ht="20" customHeight="1" spans="1:8" x14ac:dyDescent="0.25">
      <c r="A155" s="24" t="s">
        <v>54</v>
      </c>
      <c r="B155" s="24" t="s">
        <v>34</v>
      </c>
      <c r="C155" s="25" t="s">
        <v>71</v>
      </c>
      <c r="D155" s="6" t="s">
        <v>4</v>
      </c>
      <c r="E155" s="24" t="s">
        <v>567</v>
      </c>
      <c r="F155" s="24" t="s">
        <v>301</v>
      </c>
      <c r="G155" s="24" t="s">
        <v>142</v>
      </c>
      <c r="H155" s="30" t="s">
        <v>79</v>
      </c>
    </row>
    <row r="156" ht="20" customHeight="1" spans="1:8" x14ac:dyDescent="0.25">
      <c r="A156" s="22" t="s">
        <v>55</v>
      </c>
      <c r="B156" s="22" t="s">
        <v>36</v>
      </c>
      <c r="C156" s="23" t="s">
        <v>71</v>
      </c>
      <c r="D156" s="6" t="s">
        <v>4</v>
      </c>
      <c r="E156" s="22" t="s">
        <v>377</v>
      </c>
      <c r="F156" s="22" t="s">
        <v>252</v>
      </c>
      <c r="G156" s="22" t="s">
        <v>81</v>
      </c>
      <c r="H156" s="32" t="s">
        <v>79</v>
      </c>
    </row>
    <row r="157" ht="20" customHeight="1" spans="1:8" x14ac:dyDescent="0.25">
      <c r="A157" s="24" t="s">
        <v>56</v>
      </c>
      <c r="B157" s="24" t="s">
        <v>38</v>
      </c>
      <c r="C157" s="25" t="s">
        <v>71</v>
      </c>
      <c r="D157" s="6" t="s">
        <v>4</v>
      </c>
      <c r="E157" s="24" t="s">
        <v>383</v>
      </c>
      <c r="F157" s="24" t="s">
        <v>363</v>
      </c>
      <c r="G157" s="24" t="s">
        <v>563</v>
      </c>
      <c r="H157" s="30" t="s">
        <v>79</v>
      </c>
    </row>
    <row r="158" ht="20" customHeight="1" spans="1:8" x14ac:dyDescent="0.25">
      <c r="A158" s="22" t="s">
        <v>57</v>
      </c>
      <c r="B158" s="22" t="s">
        <v>40</v>
      </c>
      <c r="C158" s="23" t="s">
        <v>71</v>
      </c>
      <c r="D158" s="6" t="s">
        <v>4</v>
      </c>
      <c r="E158" s="22" t="s">
        <v>375</v>
      </c>
      <c r="F158" s="22" t="s">
        <v>133</v>
      </c>
      <c r="G158" s="22" t="s">
        <v>329</v>
      </c>
      <c r="H158" s="32" t="s">
        <v>79</v>
      </c>
    </row>
    <row r="159" ht="20" customHeight="1" spans="1:8" x14ac:dyDescent="0.25">
      <c r="A159" s="24" t="s">
        <v>58</v>
      </c>
      <c r="B159" s="24" t="s">
        <v>42</v>
      </c>
      <c r="C159" s="25" t="s">
        <v>71</v>
      </c>
      <c r="D159" s="33" t="s">
        <v>86</v>
      </c>
      <c r="E159" s="24" t="s">
        <v>12</v>
      </c>
      <c r="F159" s="24" t="s">
        <v>12</v>
      </c>
      <c r="G159" s="24" t="s">
        <v>12</v>
      </c>
      <c r="H159" s="24" t="s">
        <v>32</v>
      </c>
    </row>
    <row r="160" ht="20" customHeight="1" spans="1:8" x14ac:dyDescent="0.25">
      <c r="A160" s="22" t="s">
        <v>59</v>
      </c>
      <c r="B160" s="22" t="s">
        <v>45</v>
      </c>
      <c r="C160" s="23" t="s">
        <v>71</v>
      </c>
      <c r="D160" s="6" t="s">
        <v>4</v>
      </c>
      <c r="E160" s="22" t="s">
        <v>576</v>
      </c>
      <c r="F160" s="22" t="s">
        <v>298</v>
      </c>
      <c r="G160" s="22" t="s">
        <v>130</v>
      </c>
      <c r="H160" s="32" t="s">
        <v>79</v>
      </c>
    </row>
    <row r="161" ht="20" customHeight="1" spans="1:8" x14ac:dyDescent="0.25">
      <c r="A161" s="24" t="s">
        <v>60</v>
      </c>
      <c r="B161" s="24" t="s">
        <v>31</v>
      </c>
      <c r="C161" s="25" t="s">
        <v>71</v>
      </c>
      <c r="D161" s="6" t="s">
        <v>4</v>
      </c>
      <c r="E161" s="24" t="s">
        <v>348</v>
      </c>
      <c r="F161" s="24" t="s">
        <v>245</v>
      </c>
      <c r="G161" s="24" t="s">
        <v>290</v>
      </c>
      <c r="H161" s="34" t="s">
        <v>351</v>
      </c>
    </row>
    <row r="162" ht="20" customHeight="1" spans="1:8" x14ac:dyDescent="0.25">
      <c r="A162" s="22" t="s">
        <v>61</v>
      </c>
      <c r="B162" s="22" t="s">
        <v>34</v>
      </c>
      <c r="C162" s="23" t="s">
        <v>71</v>
      </c>
      <c r="D162" s="6" t="s">
        <v>4</v>
      </c>
      <c r="E162" s="22" t="s">
        <v>228</v>
      </c>
      <c r="F162" s="22" t="s">
        <v>252</v>
      </c>
      <c r="G162" s="22" t="s">
        <v>161</v>
      </c>
      <c r="H162" s="29" t="s">
        <v>229</v>
      </c>
    </row>
    <row r="163" ht="20" customHeight="1" spans="1:8" x14ac:dyDescent="0.25">
      <c r="A163" s="24" t="s">
        <v>62</v>
      </c>
      <c r="B163" s="24" t="s">
        <v>36</v>
      </c>
      <c r="C163" s="25" t="s">
        <v>71</v>
      </c>
      <c r="D163" s="6" t="s">
        <v>4</v>
      </c>
      <c r="E163" s="24" t="s">
        <v>234</v>
      </c>
      <c r="F163" s="24" t="s">
        <v>519</v>
      </c>
      <c r="G163" s="24" t="s">
        <v>171</v>
      </c>
      <c r="H163" s="34" t="s">
        <v>236</v>
      </c>
    </row>
    <row r="164" ht="20" customHeight="1" spans="1:8" x14ac:dyDescent="0.25">
      <c r="A164" s="22" t="s">
        <v>63</v>
      </c>
      <c r="B164" s="22" t="s">
        <v>38</v>
      </c>
      <c r="C164" s="23" t="s">
        <v>71</v>
      </c>
      <c r="D164" s="6" t="s">
        <v>4</v>
      </c>
      <c r="E164" s="22" t="s">
        <v>518</v>
      </c>
      <c r="F164" s="22" t="s">
        <v>258</v>
      </c>
      <c r="G164" s="22" t="s">
        <v>659</v>
      </c>
      <c r="H164" s="32" t="s">
        <v>79</v>
      </c>
    </row>
    <row r="165" ht="20" customHeight="1" spans="1:8" x14ac:dyDescent="0.25">
      <c r="A165" s="24" t="s">
        <v>64</v>
      </c>
      <c r="B165" s="24" t="s">
        <v>40</v>
      </c>
      <c r="C165" s="25" t="s">
        <v>71</v>
      </c>
      <c r="D165" s="6" t="s">
        <v>4</v>
      </c>
      <c r="E165" s="24" t="s">
        <v>379</v>
      </c>
      <c r="F165" s="24" t="s">
        <v>384</v>
      </c>
      <c r="G165" s="24" t="s">
        <v>226</v>
      </c>
      <c r="H165" s="34" t="s">
        <v>380</v>
      </c>
    </row>
    <row r="166" ht="20" customHeight="1" spans="1:8" x14ac:dyDescent="0.25">
      <c r="A166" s="22" t="s">
        <v>65</v>
      </c>
      <c r="B166" s="22" t="s">
        <v>42</v>
      </c>
      <c r="C166" s="23" t="s">
        <v>71</v>
      </c>
      <c r="D166" s="35" t="s">
        <v>86</v>
      </c>
      <c r="E166" s="22" t="s">
        <v>12</v>
      </c>
      <c r="F166" s="22" t="s">
        <v>12</v>
      </c>
      <c r="G166" s="22" t="s">
        <v>12</v>
      </c>
      <c r="H166" s="22" t="s">
        <v>32</v>
      </c>
    </row>
    <row r="167" ht="20" customHeight="1" spans="1:8" x14ac:dyDescent="0.25">
      <c r="A167" s="24" t="s">
        <v>66</v>
      </c>
      <c r="B167" s="24" t="s">
        <v>45</v>
      </c>
      <c r="C167" s="25" t="s">
        <v>71</v>
      </c>
      <c r="D167" s="10" t="s">
        <v>87</v>
      </c>
      <c r="E167" s="24" t="s">
        <v>12</v>
      </c>
      <c r="F167" s="24" t="s">
        <v>12</v>
      </c>
      <c r="G167" s="24" t="s">
        <v>12</v>
      </c>
      <c r="H167" s="24" t="s">
        <v>32</v>
      </c>
    </row>
    <row r="168" ht="20" customHeight="1" spans="1:8" x14ac:dyDescent="0.25">
      <c r="A168" s="22" t="s">
        <v>67</v>
      </c>
      <c r="B168" s="22" t="s">
        <v>31</v>
      </c>
      <c r="C168" s="23" t="s">
        <v>71</v>
      </c>
      <c r="D168" s="6" t="s">
        <v>4</v>
      </c>
      <c r="E168" s="22" t="s">
        <v>518</v>
      </c>
      <c r="F168" s="22" t="s">
        <v>373</v>
      </c>
      <c r="G168" s="22" t="s">
        <v>261</v>
      </c>
      <c r="H168" s="32" t="s">
        <v>79</v>
      </c>
    </row>
    <row r="169" ht="20" customHeight="1" spans="1:8" x14ac:dyDescent="0.25">
      <c r="A169" s="24" t="s">
        <v>68</v>
      </c>
      <c r="B169" s="24" t="s">
        <v>34</v>
      </c>
      <c r="C169" s="25" t="s">
        <v>71</v>
      </c>
      <c r="D169" s="6" t="s">
        <v>4</v>
      </c>
      <c r="E169" s="24" t="s">
        <v>635</v>
      </c>
      <c r="F169" s="24" t="s">
        <v>102</v>
      </c>
      <c r="G169" s="24" t="s">
        <v>336</v>
      </c>
      <c r="H169" s="30" t="s">
        <v>79</v>
      </c>
    </row>
    <row r="170" ht="22" customHeight="1" spans="1:8" x14ac:dyDescent="0.25">
      <c r="A170" s="26" t="s">
        <v>69</v>
      </c>
      <c r="B170" s="26"/>
      <c r="C170" s="26"/>
      <c r="D170" s="26"/>
      <c r="E170" s="26"/>
      <c r="F170" s="26"/>
      <c r="G170" s="27" t="s">
        <v>1385</v>
      </c>
      <c r="H170" s="28" t="s">
        <v>12</v>
      </c>
    </row>
    <row r="172" ht="26" customHeight="1" spans="1:8" x14ac:dyDescent="0.25">
      <c r="A172" s="20" t="s">
        <v>1386</v>
      </c>
      <c r="B172" s="20"/>
      <c r="C172" s="20"/>
      <c r="D172" s="20"/>
      <c r="E172" s="20"/>
      <c r="F172" s="20"/>
      <c r="G172" s="20"/>
      <c r="H172" s="20"/>
    </row>
    <row r="173" ht="22" customHeight="1" spans="1:8" x14ac:dyDescent="0.25">
      <c r="A173" s="21" t="s">
        <v>22</v>
      </c>
      <c r="B173" s="21" t="s">
        <v>23</v>
      </c>
      <c r="C173" s="21" t="s">
        <v>24</v>
      </c>
      <c r="D173" s="21" t="s">
        <v>25</v>
      </c>
      <c r="E173" s="21" t="s">
        <v>26</v>
      </c>
      <c r="F173" s="21" t="s">
        <v>27</v>
      </c>
      <c r="G173" s="21" t="s">
        <v>28</v>
      </c>
      <c r="H173" s="21" t="s">
        <v>29</v>
      </c>
    </row>
    <row r="174" ht="20" customHeight="1" spans="1:8" x14ac:dyDescent="0.25">
      <c r="A174" s="22" t="s">
        <v>30</v>
      </c>
      <c r="B174" s="22" t="s">
        <v>31</v>
      </c>
      <c r="C174" s="23" t="s">
        <v>71</v>
      </c>
      <c r="D174" s="6" t="s">
        <v>4</v>
      </c>
      <c r="E174" s="22" t="s">
        <v>397</v>
      </c>
      <c r="F174" s="22" t="s">
        <v>1111</v>
      </c>
      <c r="G174" s="22" t="s">
        <v>1387</v>
      </c>
      <c r="H174" s="32" t="s">
        <v>79</v>
      </c>
    </row>
    <row r="175" ht="20" customHeight="1" spans="1:8" x14ac:dyDescent="0.25">
      <c r="A175" s="24" t="s">
        <v>33</v>
      </c>
      <c r="B175" s="24" t="s">
        <v>34</v>
      </c>
      <c r="C175" s="25" t="s">
        <v>71</v>
      </c>
      <c r="D175" s="6" t="s">
        <v>4</v>
      </c>
      <c r="E175" s="24" t="s">
        <v>576</v>
      </c>
      <c r="F175" s="24" t="s">
        <v>278</v>
      </c>
      <c r="G175" s="24" t="s">
        <v>514</v>
      </c>
      <c r="H175" s="30" t="s">
        <v>79</v>
      </c>
    </row>
    <row r="176" ht="20" customHeight="1" spans="1:8" x14ac:dyDescent="0.25">
      <c r="A176" s="22" t="s">
        <v>35</v>
      </c>
      <c r="B176" s="22" t="s">
        <v>36</v>
      </c>
      <c r="C176" s="23" t="s">
        <v>71</v>
      </c>
      <c r="D176" s="36" t="s">
        <v>764</v>
      </c>
      <c r="E176" s="22" t="s">
        <v>92</v>
      </c>
      <c r="F176" s="22" t="s">
        <v>1388</v>
      </c>
      <c r="G176" s="22" t="s">
        <v>766</v>
      </c>
      <c r="H176" s="29" t="s">
        <v>1389</v>
      </c>
    </row>
    <row r="177" ht="20" customHeight="1" spans="1:8" x14ac:dyDescent="0.25">
      <c r="A177" s="24" t="s">
        <v>37</v>
      </c>
      <c r="B177" s="24" t="s">
        <v>38</v>
      </c>
      <c r="C177" s="25" t="s">
        <v>71</v>
      </c>
      <c r="D177" s="31" t="s">
        <v>11</v>
      </c>
      <c r="E177" s="24" t="s">
        <v>12</v>
      </c>
      <c r="F177" s="24" t="s">
        <v>12</v>
      </c>
      <c r="G177" s="24" t="s">
        <v>12</v>
      </c>
      <c r="H177" s="24" t="s">
        <v>32</v>
      </c>
    </row>
    <row r="178" ht="20" customHeight="1" spans="1:8" x14ac:dyDescent="0.25">
      <c r="A178" s="22" t="s">
        <v>39</v>
      </c>
      <c r="B178" s="22" t="s">
        <v>40</v>
      </c>
      <c r="C178" s="23" t="s">
        <v>71</v>
      </c>
      <c r="D178" s="6" t="s">
        <v>4</v>
      </c>
      <c r="E178" s="22" t="s">
        <v>311</v>
      </c>
      <c r="F178" s="22" t="s">
        <v>278</v>
      </c>
      <c r="G178" s="22" t="s">
        <v>154</v>
      </c>
      <c r="H178" s="32" t="s">
        <v>79</v>
      </c>
    </row>
    <row r="179" ht="20" customHeight="1" spans="1:8" x14ac:dyDescent="0.25">
      <c r="A179" s="24" t="s">
        <v>41</v>
      </c>
      <c r="B179" s="24" t="s">
        <v>42</v>
      </c>
      <c r="C179" s="25" t="s">
        <v>71</v>
      </c>
      <c r="D179" s="33" t="s">
        <v>86</v>
      </c>
      <c r="E179" s="24" t="s">
        <v>12</v>
      </c>
      <c r="F179" s="24" t="s">
        <v>12</v>
      </c>
      <c r="G179" s="24" t="s">
        <v>12</v>
      </c>
      <c r="H179" s="24" t="s">
        <v>32</v>
      </c>
    </row>
    <row r="180" ht="20" customHeight="1" spans="1:8" x14ac:dyDescent="0.25">
      <c r="A180" s="22" t="s">
        <v>44</v>
      </c>
      <c r="B180" s="22" t="s">
        <v>45</v>
      </c>
      <c r="C180" s="23" t="s">
        <v>71</v>
      </c>
      <c r="D180" s="6" t="s">
        <v>4</v>
      </c>
      <c r="E180" s="22" t="s">
        <v>466</v>
      </c>
      <c r="F180" s="22" t="s">
        <v>957</v>
      </c>
      <c r="G180" s="22" t="s">
        <v>147</v>
      </c>
      <c r="H180" s="29" t="s">
        <v>468</v>
      </c>
    </row>
    <row r="181" ht="20" customHeight="1" spans="1:8" x14ac:dyDescent="0.25">
      <c r="A181" s="24" t="s">
        <v>46</v>
      </c>
      <c r="B181" s="24" t="s">
        <v>31</v>
      </c>
      <c r="C181" s="25" t="s">
        <v>71</v>
      </c>
      <c r="D181" s="6" t="s">
        <v>4</v>
      </c>
      <c r="E181" s="24" t="s">
        <v>878</v>
      </c>
      <c r="F181" s="24" t="s">
        <v>252</v>
      </c>
      <c r="G181" s="24" t="s">
        <v>579</v>
      </c>
      <c r="H181" s="34" t="s">
        <v>879</v>
      </c>
    </row>
    <row r="182" ht="20" customHeight="1" spans="1:8" x14ac:dyDescent="0.25">
      <c r="A182" s="22" t="s">
        <v>47</v>
      </c>
      <c r="B182" s="22" t="s">
        <v>34</v>
      </c>
      <c r="C182" s="23" t="s">
        <v>71</v>
      </c>
      <c r="D182" s="6" t="s">
        <v>4</v>
      </c>
      <c r="E182" s="22" t="s">
        <v>1390</v>
      </c>
      <c r="F182" s="22" t="s">
        <v>366</v>
      </c>
      <c r="G182" s="22" t="s">
        <v>1391</v>
      </c>
      <c r="H182" s="29" t="s">
        <v>1392</v>
      </c>
    </row>
    <row r="183" ht="20" customHeight="1" spans="1:8" x14ac:dyDescent="0.25">
      <c r="A183" s="24" t="s">
        <v>48</v>
      </c>
      <c r="B183" s="24" t="s">
        <v>36</v>
      </c>
      <c r="C183" s="25" t="s">
        <v>71</v>
      </c>
      <c r="D183" s="6" t="s">
        <v>4</v>
      </c>
      <c r="E183" s="24" t="s">
        <v>156</v>
      </c>
      <c r="F183" s="24" t="s">
        <v>458</v>
      </c>
      <c r="G183" s="24" t="s">
        <v>686</v>
      </c>
      <c r="H183" s="34" t="s">
        <v>158</v>
      </c>
    </row>
    <row r="184" ht="20" customHeight="1" spans="1:8" x14ac:dyDescent="0.25">
      <c r="A184" s="22" t="s">
        <v>49</v>
      </c>
      <c r="B184" s="22" t="s">
        <v>38</v>
      </c>
      <c r="C184" s="23" t="s">
        <v>71</v>
      </c>
      <c r="D184" s="6" t="s">
        <v>4</v>
      </c>
      <c r="E184" s="22" t="s">
        <v>192</v>
      </c>
      <c r="F184" s="22" t="s">
        <v>757</v>
      </c>
      <c r="G184" s="22" t="s">
        <v>99</v>
      </c>
      <c r="H184" s="29" t="s">
        <v>195</v>
      </c>
    </row>
    <row r="185" ht="20" customHeight="1" spans="1:8" x14ac:dyDescent="0.25">
      <c r="A185" s="24" t="s">
        <v>50</v>
      </c>
      <c r="B185" s="24" t="s">
        <v>40</v>
      </c>
      <c r="C185" s="25" t="s">
        <v>71</v>
      </c>
      <c r="D185" s="33" t="s">
        <v>86</v>
      </c>
      <c r="E185" s="24" t="s">
        <v>12</v>
      </c>
      <c r="F185" s="24" t="s">
        <v>12</v>
      </c>
      <c r="G185" s="24" t="s">
        <v>12</v>
      </c>
      <c r="H185" s="24" t="s">
        <v>32</v>
      </c>
    </row>
    <row r="186" ht="20" customHeight="1" spans="1:8" x14ac:dyDescent="0.25">
      <c r="A186" s="22" t="s">
        <v>51</v>
      </c>
      <c r="B186" s="22" t="s">
        <v>42</v>
      </c>
      <c r="C186" s="23" t="s">
        <v>71</v>
      </c>
      <c r="D186" s="35" t="s">
        <v>86</v>
      </c>
      <c r="E186" s="22" t="s">
        <v>12</v>
      </c>
      <c r="F186" s="22" t="s">
        <v>12</v>
      </c>
      <c r="G186" s="22" t="s">
        <v>12</v>
      </c>
      <c r="H186" s="22" t="s">
        <v>32</v>
      </c>
    </row>
    <row r="187" ht="20" customHeight="1" spans="1:8" x14ac:dyDescent="0.25">
      <c r="A187" s="24" t="s">
        <v>52</v>
      </c>
      <c r="B187" s="24" t="s">
        <v>45</v>
      </c>
      <c r="C187" s="25" t="s">
        <v>71</v>
      </c>
      <c r="D187" s="6" t="s">
        <v>4</v>
      </c>
      <c r="E187" s="24" t="s">
        <v>230</v>
      </c>
      <c r="F187" s="24" t="s">
        <v>1105</v>
      </c>
      <c r="G187" s="24" t="s">
        <v>568</v>
      </c>
      <c r="H187" s="34" t="s">
        <v>233</v>
      </c>
    </row>
    <row r="188" ht="20" customHeight="1" spans="1:8" x14ac:dyDescent="0.25">
      <c r="A188" s="22" t="s">
        <v>53</v>
      </c>
      <c r="B188" s="22" t="s">
        <v>31</v>
      </c>
      <c r="C188" s="23" t="s">
        <v>71</v>
      </c>
      <c r="D188" s="6" t="s">
        <v>4</v>
      </c>
      <c r="E188" s="22" t="s">
        <v>409</v>
      </c>
      <c r="F188" s="22" t="s">
        <v>77</v>
      </c>
      <c r="G188" s="22" t="s">
        <v>127</v>
      </c>
      <c r="H188" s="32" t="s">
        <v>79</v>
      </c>
    </row>
    <row r="189" ht="20" customHeight="1" spans="1:8" x14ac:dyDescent="0.25">
      <c r="A189" s="24" t="s">
        <v>54</v>
      </c>
      <c r="B189" s="24" t="s">
        <v>34</v>
      </c>
      <c r="C189" s="25" t="s">
        <v>71</v>
      </c>
      <c r="D189" s="6" t="s">
        <v>4</v>
      </c>
      <c r="E189" s="24" t="s">
        <v>334</v>
      </c>
      <c r="F189" s="24" t="s">
        <v>1393</v>
      </c>
      <c r="G189" s="24" t="s">
        <v>708</v>
      </c>
      <c r="H189" s="34" t="s">
        <v>337</v>
      </c>
    </row>
    <row r="190" ht="20" customHeight="1" spans="1:8" x14ac:dyDescent="0.25">
      <c r="A190" s="22" t="s">
        <v>55</v>
      </c>
      <c r="B190" s="22" t="s">
        <v>36</v>
      </c>
      <c r="C190" s="23" t="s">
        <v>71</v>
      </c>
      <c r="D190" s="6" t="s">
        <v>4</v>
      </c>
      <c r="E190" s="22" t="s">
        <v>1208</v>
      </c>
      <c r="F190" s="22" t="s">
        <v>554</v>
      </c>
      <c r="G190" s="22" t="s">
        <v>568</v>
      </c>
      <c r="H190" s="29" t="s">
        <v>1209</v>
      </c>
    </row>
    <row r="191" ht="20" customHeight="1" spans="1:8" x14ac:dyDescent="0.25">
      <c r="A191" s="24" t="s">
        <v>56</v>
      </c>
      <c r="B191" s="24" t="s">
        <v>38</v>
      </c>
      <c r="C191" s="25" t="s">
        <v>71</v>
      </c>
      <c r="D191" s="6" t="s">
        <v>4</v>
      </c>
      <c r="E191" s="24" t="s">
        <v>1210</v>
      </c>
      <c r="F191" s="24" t="s">
        <v>749</v>
      </c>
      <c r="G191" s="24" t="s">
        <v>187</v>
      </c>
      <c r="H191" s="34" t="s">
        <v>1212</v>
      </c>
    </row>
    <row r="192" ht="20" customHeight="1" spans="1:8" x14ac:dyDescent="0.25">
      <c r="A192" s="22" t="s">
        <v>57</v>
      </c>
      <c r="B192" s="22" t="s">
        <v>40</v>
      </c>
      <c r="C192" s="23" t="s">
        <v>71</v>
      </c>
      <c r="D192" s="6" t="s">
        <v>4</v>
      </c>
      <c r="E192" s="22" t="s">
        <v>375</v>
      </c>
      <c r="F192" s="22" t="s">
        <v>1394</v>
      </c>
      <c r="G192" s="22" t="s">
        <v>952</v>
      </c>
      <c r="H192" s="32" t="s">
        <v>79</v>
      </c>
    </row>
    <row r="193" ht="20" customHeight="1" spans="1:8" x14ac:dyDescent="0.25">
      <c r="A193" s="24" t="s">
        <v>58</v>
      </c>
      <c r="B193" s="24" t="s">
        <v>42</v>
      </c>
      <c r="C193" s="25" t="s">
        <v>71</v>
      </c>
      <c r="D193" s="33" t="s">
        <v>86</v>
      </c>
      <c r="E193" s="24" t="s">
        <v>12</v>
      </c>
      <c r="F193" s="24" t="s">
        <v>12</v>
      </c>
      <c r="G193" s="24" t="s">
        <v>12</v>
      </c>
      <c r="H193" s="24" t="s">
        <v>32</v>
      </c>
    </row>
    <row r="194" ht="20" customHeight="1" spans="1:8" x14ac:dyDescent="0.25">
      <c r="A194" s="22" t="s">
        <v>59</v>
      </c>
      <c r="B194" s="22" t="s">
        <v>45</v>
      </c>
      <c r="C194" s="23" t="s">
        <v>71</v>
      </c>
      <c r="D194" s="10" t="s">
        <v>87</v>
      </c>
      <c r="E194" s="22" t="s">
        <v>12</v>
      </c>
      <c r="F194" s="22" t="s">
        <v>12</v>
      </c>
      <c r="G194" s="22" t="s">
        <v>12</v>
      </c>
      <c r="H194" s="22" t="s">
        <v>32</v>
      </c>
    </row>
    <row r="195" ht="20" customHeight="1" spans="1:8" x14ac:dyDescent="0.25">
      <c r="A195" s="24" t="s">
        <v>60</v>
      </c>
      <c r="B195" s="24" t="s">
        <v>31</v>
      </c>
      <c r="C195" s="25" t="s">
        <v>71</v>
      </c>
      <c r="D195" s="10" t="s">
        <v>87</v>
      </c>
      <c r="E195" s="24" t="s">
        <v>12</v>
      </c>
      <c r="F195" s="24" t="s">
        <v>12</v>
      </c>
      <c r="G195" s="24" t="s">
        <v>12</v>
      </c>
      <c r="H195" s="24" t="s">
        <v>32</v>
      </c>
    </row>
    <row r="196" ht="20" customHeight="1" spans="1:8" x14ac:dyDescent="0.25">
      <c r="A196" s="22" t="s">
        <v>61</v>
      </c>
      <c r="B196" s="22" t="s">
        <v>34</v>
      </c>
      <c r="C196" s="23" t="s">
        <v>71</v>
      </c>
      <c r="D196" s="6" t="s">
        <v>4</v>
      </c>
      <c r="E196" s="22" t="s">
        <v>460</v>
      </c>
      <c r="F196" s="22" t="s">
        <v>1216</v>
      </c>
      <c r="G196" s="22" t="s">
        <v>113</v>
      </c>
      <c r="H196" s="29" t="s">
        <v>462</v>
      </c>
    </row>
    <row r="197" ht="20" customHeight="1" spans="1:8" x14ac:dyDescent="0.25">
      <c r="A197" s="24" t="s">
        <v>62</v>
      </c>
      <c r="B197" s="24" t="s">
        <v>36</v>
      </c>
      <c r="C197" s="25" t="s">
        <v>71</v>
      </c>
      <c r="D197" s="6" t="s">
        <v>4</v>
      </c>
      <c r="E197" s="24" t="s">
        <v>156</v>
      </c>
      <c r="F197" s="24" t="s">
        <v>72</v>
      </c>
      <c r="G197" s="24" t="s">
        <v>1248</v>
      </c>
      <c r="H197" s="34" t="s">
        <v>158</v>
      </c>
    </row>
    <row r="198" ht="20" customHeight="1" spans="1:8" x14ac:dyDescent="0.25">
      <c r="A198" s="22" t="s">
        <v>63</v>
      </c>
      <c r="B198" s="22" t="s">
        <v>38</v>
      </c>
      <c r="C198" s="23" t="s">
        <v>71</v>
      </c>
      <c r="D198" s="6" t="s">
        <v>4</v>
      </c>
      <c r="E198" s="22" t="s">
        <v>1208</v>
      </c>
      <c r="F198" s="22" t="s">
        <v>12</v>
      </c>
      <c r="G198" s="22" t="s">
        <v>12</v>
      </c>
      <c r="H198" s="29" t="s">
        <v>1209</v>
      </c>
    </row>
    <row r="199" ht="20" customHeight="1" spans="1:8" x14ac:dyDescent="0.25">
      <c r="A199" s="24" t="s">
        <v>64</v>
      </c>
      <c r="B199" s="24" t="s">
        <v>40</v>
      </c>
      <c r="C199" s="25" t="s">
        <v>71</v>
      </c>
      <c r="D199" s="10" t="s">
        <v>87</v>
      </c>
      <c r="E199" s="24" t="s">
        <v>12</v>
      </c>
      <c r="F199" s="24" t="s">
        <v>12</v>
      </c>
      <c r="G199" s="24" t="s">
        <v>12</v>
      </c>
      <c r="H199" s="24" t="s">
        <v>32</v>
      </c>
    </row>
    <row r="200" ht="20" customHeight="1" spans="1:8" x14ac:dyDescent="0.25">
      <c r="A200" s="22" t="s">
        <v>65</v>
      </c>
      <c r="B200" s="22" t="s">
        <v>42</v>
      </c>
      <c r="C200" s="23" t="s">
        <v>71</v>
      </c>
      <c r="D200" s="35" t="s">
        <v>86</v>
      </c>
      <c r="E200" s="22" t="s">
        <v>12</v>
      </c>
      <c r="F200" s="22" t="s">
        <v>12</v>
      </c>
      <c r="G200" s="22" t="s">
        <v>12</v>
      </c>
      <c r="H200" s="22" t="s">
        <v>32</v>
      </c>
    </row>
    <row r="201" ht="20" customHeight="1" spans="1:8" x14ac:dyDescent="0.25">
      <c r="A201" s="24" t="s">
        <v>66</v>
      </c>
      <c r="B201" s="24" t="s">
        <v>45</v>
      </c>
      <c r="C201" s="25" t="s">
        <v>71</v>
      </c>
      <c r="D201" s="6" t="s">
        <v>4</v>
      </c>
      <c r="E201" s="24" t="s">
        <v>322</v>
      </c>
      <c r="F201" s="24" t="s">
        <v>338</v>
      </c>
      <c r="G201" s="24" t="s">
        <v>267</v>
      </c>
      <c r="H201" s="34" t="s">
        <v>323</v>
      </c>
    </row>
    <row r="202" ht="20" customHeight="1" spans="1:8" x14ac:dyDescent="0.25">
      <c r="A202" s="22" t="s">
        <v>67</v>
      </c>
      <c r="B202" s="22" t="s">
        <v>31</v>
      </c>
      <c r="C202" s="23" t="s">
        <v>71</v>
      </c>
      <c r="D202" s="6" t="s">
        <v>4</v>
      </c>
      <c r="E202" s="22" t="s">
        <v>348</v>
      </c>
      <c r="F202" s="22" t="s">
        <v>197</v>
      </c>
      <c r="G202" s="22" t="s">
        <v>111</v>
      </c>
      <c r="H202" s="29" t="s">
        <v>351</v>
      </c>
    </row>
    <row r="203" ht="20" customHeight="1" spans="1:8" x14ac:dyDescent="0.25">
      <c r="A203" s="24" t="s">
        <v>68</v>
      </c>
      <c r="B203" s="24" t="s">
        <v>34</v>
      </c>
      <c r="C203" s="25" t="s">
        <v>71</v>
      </c>
      <c r="D203" s="6" t="s">
        <v>4</v>
      </c>
      <c r="E203" s="24" t="s">
        <v>353</v>
      </c>
      <c r="F203" s="24" t="s">
        <v>757</v>
      </c>
      <c r="G203" s="24" t="s">
        <v>281</v>
      </c>
      <c r="H203" s="34" t="s">
        <v>355</v>
      </c>
    </row>
    <row r="204" ht="22" customHeight="1" spans="1:8" x14ac:dyDescent="0.25">
      <c r="A204" s="26" t="s">
        <v>69</v>
      </c>
      <c r="B204" s="26"/>
      <c r="C204" s="26"/>
      <c r="D204" s="26"/>
      <c r="E204" s="26"/>
      <c r="F204" s="26"/>
      <c r="G204" s="27" t="s">
        <v>1395</v>
      </c>
      <c r="H204" s="28" t="s">
        <v>12</v>
      </c>
    </row>
    <row r="206" ht="26" customHeight="1" spans="1:8" x14ac:dyDescent="0.25">
      <c r="A206" s="20" t="s">
        <v>1396</v>
      </c>
      <c r="B206" s="20"/>
      <c r="C206" s="20"/>
      <c r="D206" s="20"/>
      <c r="E206" s="20"/>
      <c r="F206" s="20"/>
      <c r="G206" s="20"/>
      <c r="H206" s="20"/>
    </row>
    <row r="207" ht="22" customHeight="1" spans="1:8" x14ac:dyDescent="0.25">
      <c r="A207" s="21" t="s">
        <v>22</v>
      </c>
      <c r="B207" s="21" t="s">
        <v>23</v>
      </c>
      <c r="C207" s="21" t="s">
        <v>24</v>
      </c>
      <c r="D207" s="21" t="s">
        <v>25</v>
      </c>
      <c r="E207" s="21" t="s">
        <v>26</v>
      </c>
      <c r="F207" s="21" t="s">
        <v>27</v>
      </c>
      <c r="G207" s="21" t="s">
        <v>28</v>
      </c>
      <c r="H207" s="21" t="s">
        <v>29</v>
      </c>
    </row>
    <row r="208" ht="20" customHeight="1" spans="1:8" x14ac:dyDescent="0.25">
      <c r="A208" s="22" t="s">
        <v>30</v>
      </c>
      <c r="B208" s="22" t="s">
        <v>31</v>
      </c>
      <c r="C208" s="23" t="s">
        <v>71</v>
      </c>
      <c r="D208" s="6" t="s">
        <v>4</v>
      </c>
      <c r="E208" s="22" t="s">
        <v>383</v>
      </c>
      <c r="F208" s="22" t="s">
        <v>237</v>
      </c>
      <c r="G208" s="22" t="s">
        <v>142</v>
      </c>
      <c r="H208" s="32" t="s">
        <v>79</v>
      </c>
    </row>
    <row r="209" ht="20" customHeight="1" spans="1:8" x14ac:dyDescent="0.25">
      <c r="A209" s="24" t="s">
        <v>33</v>
      </c>
      <c r="B209" s="24" t="s">
        <v>34</v>
      </c>
      <c r="C209" s="25" t="s">
        <v>71</v>
      </c>
      <c r="D209" s="6" t="s">
        <v>4</v>
      </c>
      <c r="E209" s="24" t="s">
        <v>397</v>
      </c>
      <c r="F209" s="24" t="s">
        <v>386</v>
      </c>
      <c r="G209" s="24" t="s">
        <v>161</v>
      </c>
      <c r="H209" s="30" t="s">
        <v>79</v>
      </c>
    </row>
    <row r="210" ht="20" customHeight="1" spans="1:8" x14ac:dyDescent="0.25">
      <c r="A210" s="22" t="s">
        <v>35</v>
      </c>
      <c r="B210" s="22" t="s">
        <v>36</v>
      </c>
      <c r="C210" s="23" t="s">
        <v>71</v>
      </c>
      <c r="D210" s="6" t="s">
        <v>4</v>
      </c>
      <c r="E210" s="22" t="s">
        <v>434</v>
      </c>
      <c r="F210" s="22" t="s">
        <v>133</v>
      </c>
      <c r="G210" s="22" t="s">
        <v>396</v>
      </c>
      <c r="H210" s="32" t="s">
        <v>79</v>
      </c>
    </row>
    <row r="211" ht="20" customHeight="1" spans="1:8" x14ac:dyDescent="0.25">
      <c r="A211" s="24" t="s">
        <v>37</v>
      </c>
      <c r="B211" s="24" t="s">
        <v>38</v>
      </c>
      <c r="C211" s="25" t="s">
        <v>71</v>
      </c>
      <c r="D211" s="31" t="s">
        <v>11</v>
      </c>
      <c r="E211" s="24" t="s">
        <v>12</v>
      </c>
      <c r="F211" s="24" t="s">
        <v>12</v>
      </c>
      <c r="G211" s="24" t="s">
        <v>12</v>
      </c>
      <c r="H211" s="24" t="s">
        <v>32</v>
      </c>
    </row>
    <row r="212" ht="20" customHeight="1" spans="1:8" x14ac:dyDescent="0.25">
      <c r="A212" s="22" t="s">
        <v>39</v>
      </c>
      <c r="B212" s="22" t="s">
        <v>40</v>
      </c>
      <c r="C212" s="23" t="s">
        <v>71</v>
      </c>
      <c r="D212" s="6" t="s">
        <v>4</v>
      </c>
      <c r="E212" s="22" t="s">
        <v>774</v>
      </c>
      <c r="F212" s="22" t="s">
        <v>386</v>
      </c>
      <c r="G212" s="22" t="s">
        <v>142</v>
      </c>
      <c r="H212" s="32" t="s">
        <v>79</v>
      </c>
    </row>
    <row r="213" ht="20" customHeight="1" spans="1:8" x14ac:dyDescent="0.25">
      <c r="A213" s="24" t="s">
        <v>41</v>
      </c>
      <c r="B213" s="24" t="s">
        <v>42</v>
      </c>
      <c r="C213" s="25" t="s">
        <v>71</v>
      </c>
      <c r="D213" s="33" t="s">
        <v>86</v>
      </c>
      <c r="E213" s="24" t="s">
        <v>12</v>
      </c>
      <c r="F213" s="24" t="s">
        <v>12</v>
      </c>
      <c r="G213" s="24" t="s">
        <v>12</v>
      </c>
      <c r="H213" s="24" t="s">
        <v>32</v>
      </c>
    </row>
    <row r="214" ht="20" customHeight="1" spans="1:8" x14ac:dyDescent="0.25">
      <c r="A214" s="22" t="s">
        <v>44</v>
      </c>
      <c r="B214" s="22" t="s">
        <v>45</v>
      </c>
      <c r="C214" s="23" t="s">
        <v>71</v>
      </c>
      <c r="D214" s="6" t="s">
        <v>4</v>
      </c>
      <c r="E214" s="22" t="s">
        <v>979</v>
      </c>
      <c r="F214" s="22" t="s">
        <v>12</v>
      </c>
      <c r="G214" s="22" t="s">
        <v>12</v>
      </c>
      <c r="H214" s="29" t="s">
        <v>982</v>
      </c>
    </row>
    <row r="215" ht="20" customHeight="1" spans="1:8" x14ac:dyDescent="0.25">
      <c r="A215" s="24" t="s">
        <v>46</v>
      </c>
      <c r="B215" s="24" t="s">
        <v>31</v>
      </c>
      <c r="C215" s="25" t="s">
        <v>71</v>
      </c>
      <c r="D215" s="6" t="s">
        <v>4</v>
      </c>
      <c r="E215" s="24" t="s">
        <v>437</v>
      </c>
      <c r="F215" s="24" t="s">
        <v>384</v>
      </c>
      <c r="G215" s="24" t="s">
        <v>279</v>
      </c>
      <c r="H215" s="30" t="s">
        <v>79</v>
      </c>
    </row>
    <row r="216" ht="20" customHeight="1" spans="1:8" x14ac:dyDescent="0.25">
      <c r="A216" s="22" t="s">
        <v>47</v>
      </c>
      <c r="B216" s="22" t="s">
        <v>34</v>
      </c>
      <c r="C216" s="23" t="s">
        <v>71</v>
      </c>
      <c r="D216" s="6" t="s">
        <v>4</v>
      </c>
      <c r="E216" s="22" t="s">
        <v>547</v>
      </c>
      <c r="F216" s="22" t="s">
        <v>936</v>
      </c>
      <c r="G216" s="22" t="s">
        <v>1238</v>
      </c>
      <c r="H216" s="29" t="s">
        <v>548</v>
      </c>
    </row>
    <row r="217" ht="20" customHeight="1" spans="1:8" x14ac:dyDescent="0.25">
      <c r="A217" s="24" t="s">
        <v>48</v>
      </c>
      <c r="B217" s="24" t="s">
        <v>36</v>
      </c>
      <c r="C217" s="25" t="s">
        <v>71</v>
      </c>
      <c r="D217" s="6" t="s">
        <v>4</v>
      </c>
      <c r="E217" s="24" t="s">
        <v>125</v>
      </c>
      <c r="F217" s="24" t="s">
        <v>389</v>
      </c>
      <c r="G217" s="24" t="s">
        <v>147</v>
      </c>
      <c r="H217" s="30" t="s">
        <v>79</v>
      </c>
    </row>
    <row r="218" ht="20" customHeight="1" spans="1:8" x14ac:dyDescent="0.25">
      <c r="A218" s="22" t="s">
        <v>49</v>
      </c>
      <c r="B218" s="22" t="s">
        <v>38</v>
      </c>
      <c r="C218" s="23" t="s">
        <v>71</v>
      </c>
      <c r="D218" s="36" t="s">
        <v>218</v>
      </c>
      <c r="E218" s="22" t="s">
        <v>409</v>
      </c>
      <c r="F218" s="22" t="s">
        <v>886</v>
      </c>
      <c r="G218" s="22" t="s">
        <v>1397</v>
      </c>
      <c r="H218" s="29" t="s">
        <v>1398</v>
      </c>
    </row>
    <row r="219" ht="20" customHeight="1" spans="1:8" x14ac:dyDescent="0.25">
      <c r="A219" s="24" t="s">
        <v>50</v>
      </c>
      <c r="B219" s="24" t="s">
        <v>40</v>
      </c>
      <c r="C219" s="25" t="s">
        <v>71</v>
      </c>
      <c r="D219" s="33" t="s">
        <v>86</v>
      </c>
      <c r="E219" s="24" t="s">
        <v>12</v>
      </c>
      <c r="F219" s="24" t="s">
        <v>12</v>
      </c>
      <c r="G219" s="24" t="s">
        <v>12</v>
      </c>
      <c r="H219" s="24" t="s">
        <v>32</v>
      </c>
    </row>
    <row r="220" ht="20" customHeight="1" spans="1:8" x14ac:dyDescent="0.25">
      <c r="A220" s="22" t="s">
        <v>51</v>
      </c>
      <c r="B220" s="22" t="s">
        <v>42</v>
      </c>
      <c r="C220" s="23" t="s">
        <v>71</v>
      </c>
      <c r="D220" s="35" t="s">
        <v>86</v>
      </c>
      <c r="E220" s="22" t="s">
        <v>12</v>
      </c>
      <c r="F220" s="22" t="s">
        <v>12</v>
      </c>
      <c r="G220" s="22" t="s">
        <v>12</v>
      </c>
      <c r="H220" s="22" t="s">
        <v>32</v>
      </c>
    </row>
    <row r="221" ht="20" customHeight="1" spans="1:8" x14ac:dyDescent="0.25">
      <c r="A221" s="24" t="s">
        <v>52</v>
      </c>
      <c r="B221" s="24" t="s">
        <v>45</v>
      </c>
      <c r="C221" s="25" t="s">
        <v>71</v>
      </c>
      <c r="D221" s="6" t="s">
        <v>4</v>
      </c>
      <c r="E221" s="24" t="s">
        <v>163</v>
      </c>
      <c r="F221" s="24" t="s">
        <v>970</v>
      </c>
      <c r="G221" s="24" t="s">
        <v>1248</v>
      </c>
      <c r="H221" s="34" t="s">
        <v>166</v>
      </c>
    </row>
    <row r="222" ht="20" customHeight="1" spans="1:8" x14ac:dyDescent="0.25">
      <c r="A222" s="22" t="s">
        <v>53</v>
      </c>
      <c r="B222" s="22" t="s">
        <v>31</v>
      </c>
      <c r="C222" s="23" t="s">
        <v>71</v>
      </c>
      <c r="D222" s="6" t="s">
        <v>4</v>
      </c>
      <c r="E222" s="22" t="s">
        <v>125</v>
      </c>
      <c r="F222" s="22" t="s">
        <v>84</v>
      </c>
      <c r="G222" s="22" t="s">
        <v>296</v>
      </c>
      <c r="H222" s="32" t="s">
        <v>79</v>
      </c>
    </row>
    <row r="223" ht="20" customHeight="1" spans="1:8" x14ac:dyDescent="0.25">
      <c r="A223" s="24" t="s">
        <v>54</v>
      </c>
      <c r="B223" s="24" t="s">
        <v>34</v>
      </c>
      <c r="C223" s="25" t="s">
        <v>71</v>
      </c>
      <c r="D223" s="10" t="s">
        <v>87</v>
      </c>
      <c r="E223" s="24" t="s">
        <v>12</v>
      </c>
      <c r="F223" s="24" t="s">
        <v>12</v>
      </c>
      <c r="G223" s="24" t="s">
        <v>12</v>
      </c>
      <c r="H223" s="24" t="s">
        <v>32</v>
      </c>
    </row>
    <row r="224" ht="20" customHeight="1" spans="1:8" x14ac:dyDescent="0.25">
      <c r="A224" s="22" t="s">
        <v>55</v>
      </c>
      <c r="B224" s="22" t="s">
        <v>36</v>
      </c>
      <c r="C224" s="23" t="s">
        <v>71</v>
      </c>
      <c r="D224" s="6" t="s">
        <v>4</v>
      </c>
      <c r="E224" s="22" t="s">
        <v>311</v>
      </c>
      <c r="F224" s="22" t="s">
        <v>395</v>
      </c>
      <c r="G224" s="22" t="s">
        <v>180</v>
      </c>
      <c r="H224" s="32" t="s">
        <v>79</v>
      </c>
    </row>
    <row r="225" ht="20" customHeight="1" spans="1:8" x14ac:dyDescent="0.25">
      <c r="A225" s="24" t="s">
        <v>56</v>
      </c>
      <c r="B225" s="24" t="s">
        <v>38</v>
      </c>
      <c r="C225" s="25" t="s">
        <v>71</v>
      </c>
      <c r="D225" s="6" t="s">
        <v>4</v>
      </c>
      <c r="E225" s="24" t="s">
        <v>311</v>
      </c>
      <c r="F225" s="24" t="s">
        <v>386</v>
      </c>
      <c r="G225" s="24" t="s">
        <v>329</v>
      </c>
      <c r="H225" s="30" t="s">
        <v>79</v>
      </c>
    </row>
    <row r="226" ht="20" customHeight="1" spans="1:8" x14ac:dyDescent="0.25">
      <c r="A226" s="22" t="s">
        <v>57</v>
      </c>
      <c r="B226" s="22" t="s">
        <v>40</v>
      </c>
      <c r="C226" s="23" t="s">
        <v>71</v>
      </c>
      <c r="D226" s="6" t="s">
        <v>4</v>
      </c>
      <c r="E226" s="22" t="s">
        <v>411</v>
      </c>
      <c r="F226" s="22" t="s">
        <v>398</v>
      </c>
      <c r="G226" s="22" t="s">
        <v>250</v>
      </c>
      <c r="H226" s="32" t="s">
        <v>79</v>
      </c>
    </row>
    <row r="227" ht="20" customHeight="1" spans="1:8" x14ac:dyDescent="0.25">
      <c r="A227" s="24" t="s">
        <v>58</v>
      </c>
      <c r="B227" s="24" t="s">
        <v>42</v>
      </c>
      <c r="C227" s="25" t="s">
        <v>71</v>
      </c>
      <c r="D227" s="33" t="s">
        <v>86</v>
      </c>
      <c r="E227" s="24" t="s">
        <v>12</v>
      </c>
      <c r="F227" s="24" t="s">
        <v>12</v>
      </c>
      <c r="G227" s="24" t="s">
        <v>12</v>
      </c>
      <c r="H227" s="24" t="s">
        <v>32</v>
      </c>
    </row>
    <row r="228" ht="20" customHeight="1" spans="1:8" x14ac:dyDescent="0.25">
      <c r="A228" s="22" t="s">
        <v>59</v>
      </c>
      <c r="B228" s="22" t="s">
        <v>45</v>
      </c>
      <c r="C228" s="23" t="s">
        <v>71</v>
      </c>
      <c r="D228" s="6" t="s">
        <v>4</v>
      </c>
      <c r="E228" s="22" t="s">
        <v>1088</v>
      </c>
      <c r="F228" s="22" t="s">
        <v>12</v>
      </c>
      <c r="G228" s="22" t="s">
        <v>12</v>
      </c>
      <c r="H228" s="29" t="s">
        <v>1089</v>
      </c>
    </row>
    <row r="229" ht="20" customHeight="1" spans="1:8" x14ac:dyDescent="0.25">
      <c r="A229" s="24" t="s">
        <v>60</v>
      </c>
      <c r="B229" s="24" t="s">
        <v>31</v>
      </c>
      <c r="C229" s="25" t="s">
        <v>71</v>
      </c>
      <c r="D229" s="10" t="s">
        <v>87</v>
      </c>
      <c r="E229" s="24" t="s">
        <v>12</v>
      </c>
      <c r="F229" s="24" t="s">
        <v>12</v>
      </c>
      <c r="G229" s="24" t="s">
        <v>12</v>
      </c>
      <c r="H229" s="24" t="s">
        <v>32</v>
      </c>
    </row>
    <row r="230" ht="20" customHeight="1" spans="1:8" x14ac:dyDescent="0.25">
      <c r="A230" s="22" t="s">
        <v>61</v>
      </c>
      <c r="B230" s="22" t="s">
        <v>34</v>
      </c>
      <c r="C230" s="23" t="s">
        <v>71</v>
      </c>
      <c r="D230" s="6" t="s">
        <v>4</v>
      </c>
      <c r="E230" s="22" t="s">
        <v>387</v>
      </c>
      <c r="F230" s="22" t="s">
        <v>321</v>
      </c>
      <c r="G230" s="22" t="s">
        <v>161</v>
      </c>
      <c r="H230" s="32" t="s">
        <v>79</v>
      </c>
    </row>
    <row r="231" ht="20" customHeight="1" spans="1:8" x14ac:dyDescent="0.25">
      <c r="A231" s="24" t="s">
        <v>62</v>
      </c>
      <c r="B231" s="24" t="s">
        <v>36</v>
      </c>
      <c r="C231" s="25" t="s">
        <v>71</v>
      </c>
      <c r="D231" s="6" t="s">
        <v>4</v>
      </c>
      <c r="E231" s="24" t="s">
        <v>387</v>
      </c>
      <c r="F231" s="24" t="s">
        <v>384</v>
      </c>
      <c r="G231" s="24" t="s">
        <v>329</v>
      </c>
      <c r="H231" s="30" t="s">
        <v>79</v>
      </c>
    </row>
    <row r="232" ht="20" customHeight="1" spans="1:8" x14ac:dyDescent="0.25">
      <c r="A232" s="22" t="s">
        <v>63</v>
      </c>
      <c r="B232" s="22" t="s">
        <v>38</v>
      </c>
      <c r="C232" s="23" t="s">
        <v>71</v>
      </c>
      <c r="D232" s="6" t="s">
        <v>4</v>
      </c>
      <c r="E232" s="22" t="s">
        <v>401</v>
      </c>
      <c r="F232" s="22" t="s">
        <v>237</v>
      </c>
      <c r="G232" s="22" t="s">
        <v>414</v>
      </c>
      <c r="H232" s="32" t="s">
        <v>79</v>
      </c>
    </row>
    <row r="233" ht="20" customHeight="1" spans="1:8" x14ac:dyDescent="0.25">
      <c r="A233" s="24" t="s">
        <v>64</v>
      </c>
      <c r="B233" s="24" t="s">
        <v>40</v>
      </c>
      <c r="C233" s="25" t="s">
        <v>71</v>
      </c>
      <c r="D233" s="6" t="s">
        <v>4</v>
      </c>
      <c r="E233" s="24" t="s">
        <v>387</v>
      </c>
      <c r="F233" s="24" t="s">
        <v>395</v>
      </c>
      <c r="G233" s="24" t="s">
        <v>250</v>
      </c>
      <c r="H233" s="30" t="s">
        <v>79</v>
      </c>
    </row>
    <row r="234" ht="20" customHeight="1" spans="1:8" x14ac:dyDescent="0.25">
      <c r="A234" s="22" t="s">
        <v>65</v>
      </c>
      <c r="B234" s="22" t="s">
        <v>42</v>
      </c>
      <c r="C234" s="23" t="s">
        <v>71</v>
      </c>
      <c r="D234" s="35" t="s">
        <v>86</v>
      </c>
      <c r="E234" s="22" t="s">
        <v>12</v>
      </c>
      <c r="F234" s="22" t="s">
        <v>12</v>
      </c>
      <c r="G234" s="22" t="s">
        <v>12</v>
      </c>
      <c r="H234" s="22" t="s">
        <v>32</v>
      </c>
    </row>
    <row r="235" ht="20" customHeight="1" spans="1:8" x14ac:dyDescent="0.25">
      <c r="A235" s="24" t="s">
        <v>66</v>
      </c>
      <c r="B235" s="24" t="s">
        <v>45</v>
      </c>
      <c r="C235" s="25" t="s">
        <v>71</v>
      </c>
      <c r="D235" s="10" t="s">
        <v>87</v>
      </c>
      <c r="E235" s="24" t="s">
        <v>12</v>
      </c>
      <c r="F235" s="24" t="s">
        <v>12</v>
      </c>
      <c r="G235" s="24" t="s">
        <v>12</v>
      </c>
      <c r="H235" s="24" t="s">
        <v>32</v>
      </c>
    </row>
    <row r="236" ht="20" customHeight="1" spans="1:8" x14ac:dyDescent="0.25">
      <c r="A236" s="22" t="s">
        <v>67</v>
      </c>
      <c r="B236" s="22" t="s">
        <v>31</v>
      </c>
      <c r="C236" s="23" t="s">
        <v>71</v>
      </c>
      <c r="D236" s="6" t="s">
        <v>4</v>
      </c>
      <c r="E236" s="22" t="s">
        <v>409</v>
      </c>
      <c r="F236" s="22" t="s">
        <v>389</v>
      </c>
      <c r="G236" s="22" t="s">
        <v>285</v>
      </c>
      <c r="H236" s="32" t="s">
        <v>79</v>
      </c>
    </row>
    <row r="237" ht="20" customHeight="1" spans="1:8" x14ac:dyDescent="0.25">
      <c r="A237" s="24" t="s">
        <v>68</v>
      </c>
      <c r="B237" s="24" t="s">
        <v>34</v>
      </c>
      <c r="C237" s="25" t="s">
        <v>71</v>
      </c>
      <c r="D237" s="6" t="s">
        <v>4</v>
      </c>
      <c r="E237" s="24" t="s">
        <v>387</v>
      </c>
      <c r="F237" s="24" t="s">
        <v>384</v>
      </c>
      <c r="G237" s="24" t="s">
        <v>267</v>
      </c>
      <c r="H237" s="30" t="s">
        <v>79</v>
      </c>
    </row>
    <row r="238" ht="22" customHeight="1" spans="1:8" x14ac:dyDescent="0.25">
      <c r="A238" s="26" t="s">
        <v>69</v>
      </c>
      <c r="B238" s="26"/>
      <c r="C238" s="26"/>
      <c r="D238" s="26"/>
      <c r="E238" s="26"/>
      <c r="F238" s="26"/>
      <c r="G238" s="27" t="s">
        <v>1399</v>
      </c>
      <c r="H238" s="28" t="s">
        <v>12</v>
      </c>
    </row>
    <row r="240" ht="26" customHeight="1" spans="1:8" x14ac:dyDescent="0.25">
      <c r="A240" s="20" t="s">
        <v>1400</v>
      </c>
      <c r="B240" s="20"/>
      <c r="C240" s="20"/>
      <c r="D240" s="20"/>
      <c r="E240" s="20"/>
      <c r="F240" s="20"/>
      <c r="G240" s="20"/>
      <c r="H240" s="20"/>
    </row>
    <row r="241" ht="22" customHeight="1" spans="1:8" x14ac:dyDescent="0.25">
      <c r="A241" s="21" t="s">
        <v>22</v>
      </c>
      <c r="B241" s="21" t="s">
        <v>23</v>
      </c>
      <c r="C241" s="21" t="s">
        <v>24</v>
      </c>
      <c r="D241" s="21" t="s">
        <v>25</v>
      </c>
      <c r="E241" s="21" t="s">
        <v>26</v>
      </c>
      <c r="F241" s="21" t="s">
        <v>27</v>
      </c>
      <c r="G241" s="21" t="s">
        <v>28</v>
      </c>
      <c r="H241" s="21" t="s">
        <v>29</v>
      </c>
    </row>
    <row r="242" ht="20" customHeight="1" spans="1:8" x14ac:dyDescent="0.25">
      <c r="A242" s="22" t="s">
        <v>30</v>
      </c>
      <c r="B242" s="22" t="s">
        <v>31</v>
      </c>
      <c r="C242" s="23" t="s">
        <v>71</v>
      </c>
      <c r="D242" s="6" t="s">
        <v>4</v>
      </c>
      <c r="E242" s="22" t="s">
        <v>167</v>
      </c>
      <c r="F242" s="22" t="s">
        <v>243</v>
      </c>
      <c r="G242" s="22" t="s">
        <v>496</v>
      </c>
      <c r="H242" s="29" t="s">
        <v>168</v>
      </c>
    </row>
    <row r="243" ht="20" customHeight="1" spans="1:8" x14ac:dyDescent="0.25">
      <c r="A243" s="24" t="s">
        <v>33</v>
      </c>
      <c r="B243" s="24" t="s">
        <v>34</v>
      </c>
      <c r="C243" s="25" t="s">
        <v>71</v>
      </c>
      <c r="D243" s="10" t="s">
        <v>87</v>
      </c>
      <c r="E243" s="24" t="s">
        <v>12</v>
      </c>
      <c r="F243" s="24" t="s">
        <v>12</v>
      </c>
      <c r="G243" s="24" t="s">
        <v>12</v>
      </c>
      <c r="H243" s="24" t="s">
        <v>32</v>
      </c>
    </row>
    <row r="244" ht="20" customHeight="1" spans="1:8" x14ac:dyDescent="0.25">
      <c r="A244" s="22" t="s">
        <v>35</v>
      </c>
      <c r="B244" s="22" t="s">
        <v>36</v>
      </c>
      <c r="C244" s="23" t="s">
        <v>71</v>
      </c>
      <c r="D244" s="10" t="s">
        <v>87</v>
      </c>
      <c r="E244" s="22" t="s">
        <v>12</v>
      </c>
      <c r="F244" s="22" t="s">
        <v>12</v>
      </c>
      <c r="G244" s="22" t="s">
        <v>12</v>
      </c>
      <c r="H244" s="22" t="s">
        <v>32</v>
      </c>
    </row>
    <row r="245" ht="20" customHeight="1" spans="1:8" x14ac:dyDescent="0.25">
      <c r="A245" s="24" t="s">
        <v>37</v>
      </c>
      <c r="B245" s="24" t="s">
        <v>38</v>
      </c>
      <c r="C245" s="25" t="s">
        <v>71</v>
      </c>
      <c r="D245" s="31" t="s">
        <v>11</v>
      </c>
      <c r="E245" s="24" t="s">
        <v>12</v>
      </c>
      <c r="F245" s="24" t="s">
        <v>12</v>
      </c>
      <c r="G245" s="24" t="s">
        <v>12</v>
      </c>
      <c r="H245" s="24" t="s">
        <v>32</v>
      </c>
    </row>
    <row r="246" ht="20" customHeight="1" spans="1:8" x14ac:dyDescent="0.25">
      <c r="A246" s="22" t="s">
        <v>39</v>
      </c>
      <c r="B246" s="22" t="s">
        <v>40</v>
      </c>
      <c r="C246" s="23" t="s">
        <v>71</v>
      </c>
      <c r="D246" s="6" t="s">
        <v>4</v>
      </c>
      <c r="E246" s="22" t="s">
        <v>1273</v>
      </c>
      <c r="F246" s="22" t="s">
        <v>1401</v>
      </c>
      <c r="G246" s="22" t="s">
        <v>1402</v>
      </c>
      <c r="H246" s="29" t="s">
        <v>1403</v>
      </c>
    </row>
    <row r="247" ht="20" customHeight="1" spans="1:8" x14ac:dyDescent="0.25">
      <c r="A247" s="24" t="s">
        <v>41</v>
      </c>
      <c r="B247" s="24" t="s">
        <v>42</v>
      </c>
      <c r="C247" s="25" t="s">
        <v>71</v>
      </c>
      <c r="D247" s="33" t="s">
        <v>86</v>
      </c>
      <c r="E247" s="24" t="s">
        <v>12</v>
      </c>
      <c r="F247" s="24" t="s">
        <v>12</v>
      </c>
      <c r="G247" s="24" t="s">
        <v>12</v>
      </c>
      <c r="H247" s="24" t="s">
        <v>32</v>
      </c>
    </row>
    <row r="248" ht="20" customHeight="1" spans="1:8" x14ac:dyDescent="0.25">
      <c r="A248" s="22" t="s">
        <v>44</v>
      </c>
      <c r="B248" s="22" t="s">
        <v>45</v>
      </c>
      <c r="C248" s="23" t="s">
        <v>71</v>
      </c>
      <c r="D248" s="6" t="s">
        <v>4</v>
      </c>
      <c r="E248" s="22" t="s">
        <v>379</v>
      </c>
      <c r="F248" s="22" t="s">
        <v>448</v>
      </c>
      <c r="G248" s="22" t="s">
        <v>496</v>
      </c>
      <c r="H248" s="29" t="s">
        <v>380</v>
      </c>
    </row>
    <row r="249" ht="20" customHeight="1" spans="1:8" x14ac:dyDescent="0.25">
      <c r="A249" s="24" t="s">
        <v>46</v>
      </c>
      <c r="B249" s="24" t="s">
        <v>31</v>
      </c>
      <c r="C249" s="25" t="s">
        <v>71</v>
      </c>
      <c r="D249" s="6" t="s">
        <v>4</v>
      </c>
      <c r="E249" s="24" t="s">
        <v>1185</v>
      </c>
      <c r="F249" s="24" t="s">
        <v>104</v>
      </c>
      <c r="G249" s="24" t="s">
        <v>496</v>
      </c>
      <c r="H249" s="34" t="s">
        <v>1187</v>
      </c>
    </row>
    <row r="250" ht="20" customHeight="1" spans="1:8" x14ac:dyDescent="0.25">
      <c r="A250" s="22" t="s">
        <v>47</v>
      </c>
      <c r="B250" s="22" t="s">
        <v>34</v>
      </c>
      <c r="C250" s="23" t="s">
        <v>71</v>
      </c>
      <c r="D250" s="6" t="s">
        <v>4</v>
      </c>
      <c r="E250" s="22" t="s">
        <v>212</v>
      </c>
      <c r="F250" s="22" t="s">
        <v>519</v>
      </c>
      <c r="G250" s="22" t="s">
        <v>339</v>
      </c>
      <c r="H250" s="29" t="s">
        <v>215</v>
      </c>
    </row>
    <row r="251" ht="20" customHeight="1" spans="1:8" x14ac:dyDescent="0.25">
      <c r="A251" s="24" t="s">
        <v>48</v>
      </c>
      <c r="B251" s="24" t="s">
        <v>36</v>
      </c>
      <c r="C251" s="25" t="s">
        <v>71</v>
      </c>
      <c r="D251" s="6" t="s">
        <v>4</v>
      </c>
      <c r="E251" s="24" t="s">
        <v>876</v>
      </c>
      <c r="F251" s="24" t="s">
        <v>160</v>
      </c>
      <c r="G251" s="24" t="s">
        <v>339</v>
      </c>
      <c r="H251" s="34" t="s">
        <v>877</v>
      </c>
    </row>
    <row r="252" ht="20" customHeight="1" spans="1:8" x14ac:dyDescent="0.25">
      <c r="A252" s="22" t="s">
        <v>49</v>
      </c>
      <c r="B252" s="22" t="s">
        <v>38</v>
      </c>
      <c r="C252" s="23" t="s">
        <v>71</v>
      </c>
      <c r="D252" s="6" t="s">
        <v>4</v>
      </c>
      <c r="E252" s="22" t="s">
        <v>230</v>
      </c>
      <c r="F252" s="22" t="s">
        <v>386</v>
      </c>
      <c r="G252" s="22" t="s">
        <v>339</v>
      </c>
      <c r="H252" s="29" t="s">
        <v>233</v>
      </c>
    </row>
    <row r="253" ht="20" customHeight="1" spans="1:8" x14ac:dyDescent="0.25">
      <c r="A253" s="24" t="s">
        <v>50</v>
      </c>
      <c r="B253" s="24" t="s">
        <v>40</v>
      </c>
      <c r="C253" s="25" t="s">
        <v>71</v>
      </c>
      <c r="D253" s="33" t="s">
        <v>86</v>
      </c>
      <c r="E253" s="24" t="s">
        <v>12</v>
      </c>
      <c r="F253" s="24" t="s">
        <v>12</v>
      </c>
      <c r="G253" s="24" t="s">
        <v>12</v>
      </c>
      <c r="H253" s="24" t="s">
        <v>32</v>
      </c>
    </row>
    <row r="254" ht="20" customHeight="1" spans="1:8" x14ac:dyDescent="0.25">
      <c r="A254" s="22" t="s">
        <v>51</v>
      </c>
      <c r="B254" s="22" t="s">
        <v>42</v>
      </c>
      <c r="C254" s="23" t="s">
        <v>71</v>
      </c>
      <c r="D254" s="35" t="s">
        <v>86</v>
      </c>
      <c r="E254" s="22" t="s">
        <v>12</v>
      </c>
      <c r="F254" s="22" t="s">
        <v>12</v>
      </c>
      <c r="G254" s="22" t="s">
        <v>12</v>
      </c>
      <c r="H254" s="22" t="s">
        <v>32</v>
      </c>
    </row>
    <row r="255" ht="20" customHeight="1" spans="1:8" x14ac:dyDescent="0.25">
      <c r="A255" s="24" t="s">
        <v>52</v>
      </c>
      <c r="B255" s="24" t="s">
        <v>45</v>
      </c>
      <c r="C255" s="25" t="s">
        <v>71</v>
      </c>
      <c r="D255" s="6" t="s">
        <v>4</v>
      </c>
      <c r="E255" s="24" t="s">
        <v>851</v>
      </c>
      <c r="F255" s="24" t="s">
        <v>252</v>
      </c>
      <c r="G255" s="24" t="s">
        <v>1118</v>
      </c>
      <c r="H255" s="34" t="s">
        <v>1404</v>
      </c>
    </row>
    <row r="256" ht="20" customHeight="1" spans="1:8" x14ac:dyDescent="0.25">
      <c r="A256" s="22" t="s">
        <v>53</v>
      </c>
      <c r="B256" s="22" t="s">
        <v>31</v>
      </c>
      <c r="C256" s="23" t="s">
        <v>71</v>
      </c>
      <c r="D256" s="6" t="s">
        <v>4</v>
      </c>
      <c r="E256" s="22" t="s">
        <v>644</v>
      </c>
      <c r="F256" s="22" t="s">
        <v>433</v>
      </c>
      <c r="G256" s="22" t="s">
        <v>339</v>
      </c>
      <c r="H256" s="29" t="s">
        <v>645</v>
      </c>
    </row>
    <row r="257" ht="20" customHeight="1" spans="1:8" x14ac:dyDescent="0.25">
      <c r="A257" s="24" t="s">
        <v>54</v>
      </c>
      <c r="B257" s="24" t="s">
        <v>34</v>
      </c>
      <c r="C257" s="25" t="s">
        <v>71</v>
      </c>
      <c r="D257" s="6" t="s">
        <v>4</v>
      </c>
      <c r="E257" s="24" t="s">
        <v>375</v>
      </c>
      <c r="F257" s="24" t="s">
        <v>508</v>
      </c>
      <c r="G257" s="24" t="s">
        <v>328</v>
      </c>
      <c r="H257" s="34" t="s">
        <v>709</v>
      </c>
    </row>
    <row r="258" ht="20" customHeight="1" spans="1:8" x14ac:dyDescent="0.25">
      <c r="A258" s="22" t="s">
        <v>55</v>
      </c>
      <c r="B258" s="22" t="s">
        <v>36</v>
      </c>
      <c r="C258" s="23" t="s">
        <v>71</v>
      </c>
      <c r="D258" s="6" t="s">
        <v>4</v>
      </c>
      <c r="E258" s="22" t="s">
        <v>390</v>
      </c>
      <c r="F258" s="22" t="s">
        <v>692</v>
      </c>
      <c r="G258" s="22" t="s">
        <v>862</v>
      </c>
      <c r="H258" s="29" t="s">
        <v>588</v>
      </c>
    </row>
    <row r="259" ht="20" customHeight="1" spans="1:8" x14ac:dyDescent="0.25">
      <c r="A259" s="24" t="s">
        <v>56</v>
      </c>
      <c r="B259" s="24" t="s">
        <v>38</v>
      </c>
      <c r="C259" s="25" t="s">
        <v>71</v>
      </c>
      <c r="D259" s="6" t="s">
        <v>4</v>
      </c>
      <c r="E259" s="24" t="s">
        <v>1057</v>
      </c>
      <c r="F259" s="24" t="s">
        <v>343</v>
      </c>
      <c r="G259" s="24" t="s">
        <v>1391</v>
      </c>
      <c r="H259" s="34" t="s">
        <v>1058</v>
      </c>
    </row>
    <row r="260" ht="20" customHeight="1" spans="1:8" x14ac:dyDescent="0.25">
      <c r="A260" s="22" t="s">
        <v>57</v>
      </c>
      <c r="B260" s="22" t="s">
        <v>40</v>
      </c>
      <c r="C260" s="23" t="s">
        <v>71</v>
      </c>
      <c r="D260" s="6" t="s">
        <v>4</v>
      </c>
      <c r="E260" s="22" t="s">
        <v>228</v>
      </c>
      <c r="F260" s="22" t="s">
        <v>282</v>
      </c>
      <c r="G260" s="22" t="s">
        <v>487</v>
      </c>
      <c r="H260" s="29" t="s">
        <v>229</v>
      </c>
    </row>
    <row r="261" ht="20" customHeight="1" spans="1:8" x14ac:dyDescent="0.25">
      <c r="A261" s="24" t="s">
        <v>58</v>
      </c>
      <c r="B261" s="24" t="s">
        <v>42</v>
      </c>
      <c r="C261" s="25" t="s">
        <v>71</v>
      </c>
      <c r="D261" s="33" t="s">
        <v>86</v>
      </c>
      <c r="E261" s="24" t="s">
        <v>12</v>
      </c>
      <c r="F261" s="24" t="s">
        <v>12</v>
      </c>
      <c r="G261" s="24" t="s">
        <v>12</v>
      </c>
      <c r="H261" s="24" t="s">
        <v>32</v>
      </c>
    </row>
    <row r="262" ht="20" customHeight="1" spans="1:8" x14ac:dyDescent="0.25">
      <c r="A262" s="22" t="s">
        <v>59</v>
      </c>
      <c r="B262" s="22" t="s">
        <v>45</v>
      </c>
      <c r="C262" s="23" t="s">
        <v>71</v>
      </c>
      <c r="D262" s="6" t="s">
        <v>4</v>
      </c>
      <c r="E262" s="22" t="s">
        <v>979</v>
      </c>
      <c r="F262" s="22" t="s">
        <v>301</v>
      </c>
      <c r="G262" s="22" t="s">
        <v>339</v>
      </c>
      <c r="H262" s="29" t="s">
        <v>982</v>
      </c>
    </row>
    <row r="263" ht="20" customHeight="1" spans="1:8" x14ac:dyDescent="0.25">
      <c r="A263" s="24" t="s">
        <v>60</v>
      </c>
      <c r="B263" s="24" t="s">
        <v>31</v>
      </c>
      <c r="C263" s="25" t="s">
        <v>71</v>
      </c>
      <c r="D263" s="6" t="s">
        <v>4</v>
      </c>
      <c r="E263" s="24" t="s">
        <v>228</v>
      </c>
      <c r="F263" s="24" t="s">
        <v>280</v>
      </c>
      <c r="G263" s="24" t="s">
        <v>339</v>
      </c>
      <c r="H263" s="34" t="s">
        <v>229</v>
      </c>
    </row>
    <row r="264" ht="20" customHeight="1" spans="1:8" x14ac:dyDescent="0.25">
      <c r="A264" s="22" t="s">
        <v>61</v>
      </c>
      <c r="B264" s="22" t="s">
        <v>34</v>
      </c>
      <c r="C264" s="23" t="s">
        <v>71</v>
      </c>
      <c r="D264" s="6" t="s">
        <v>4</v>
      </c>
      <c r="E264" s="22" t="s">
        <v>216</v>
      </c>
      <c r="F264" s="22" t="s">
        <v>757</v>
      </c>
      <c r="G264" s="22" t="s">
        <v>250</v>
      </c>
      <c r="H264" s="29" t="s">
        <v>217</v>
      </c>
    </row>
    <row r="265" ht="20" customHeight="1" spans="1:8" x14ac:dyDescent="0.25">
      <c r="A265" s="24" t="s">
        <v>62</v>
      </c>
      <c r="B265" s="24" t="s">
        <v>36</v>
      </c>
      <c r="C265" s="25" t="s">
        <v>71</v>
      </c>
      <c r="D265" s="6" t="s">
        <v>4</v>
      </c>
      <c r="E265" s="24" t="s">
        <v>257</v>
      </c>
      <c r="F265" s="24" t="s">
        <v>376</v>
      </c>
      <c r="G265" s="24" t="s">
        <v>493</v>
      </c>
      <c r="H265" s="34" t="s">
        <v>260</v>
      </c>
    </row>
    <row r="266" ht="20" customHeight="1" spans="1:8" x14ac:dyDescent="0.25">
      <c r="A266" s="22" t="s">
        <v>63</v>
      </c>
      <c r="B266" s="22" t="s">
        <v>38</v>
      </c>
      <c r="C266" s="23" t="s">
        <v>71</v>
      </c>
      <c r="D266" s="6" t="s">
        <v>4</v>
      </c>
      <c r="E266" s="22" t="s">
        <v>208</v>
      </c>
      <c r="F266" s="22" t="s">
        <v>438</v>
      </c>
      <c r="G266" s="22" t="s">
        <v>955</v>
      </c>
      <c r="H266" s="29" t="s">
        <v>210</v>
      </c>
    </row>
    <row r="267" ht="20" customHeight="1" spans="1:8" x14ac:dyDescent="0.25">
      <c r="A267" s="24" t="s">
        <v>64</v>
      </c>
      <c r="B267" s="24" t="s">
        <v>40</v>
      </c>
      <c r="C267" s="25" t="s">
        <v>71</v>
      </c>
      <c r="D267" s="6" t="s">
        <v>4</v>
      </c>
      <c r="E267" s="24" t="s">
        <v>152</v>
      </c>
      <c r="F267" s="24" t="s">
        <v>354</v>
      </c>
      <c r="G267" s="24" t="s">
        <v>339</v>
      </c>
      <c r="H267" s="34" t="s">
        <v>155</v>
      </c>
    </row>
    <row r="268" ht="20" customHeight="1" spans="1:8" x14ac:dyDescent="0.25">
      <c r="A268" s="22" t="s">
        <v>65</v>
      </c>
      <c r="B268" s="22" t="s">
        <v>42</v>
      </c>
      <c r="C268" s="23" t="s">
        <v>71</v>
      </c>
      <c r="D268" s="35" t="s">
        <v>86</v>
      </c>
      <c r="E268" s="22" t="s">
        <v>12</v>
      </c>
      <c r="F268" s="22" t="s">
        <v>12</v>
      </c>
      <c r="G268" s="22" t="s">
        <v>12</v>
      </c>
      <c r="H268" s="22" t="s">
        <v>32</v>
      </c>
    </row>
    <row r="269" ht="20" customHeight="1" spans="1:8" x14ac:dyDescent="0.25">
      <c r="A269" s="24" t="s">
        <v>66</v>
      </c>
      <c r="B269" s="24" t="s">
        <v>45</v>
      </c>
      <c r="C269" s="25" t="s">
        <v>71</v>
      </c>
      <c r="D269" s="6" t="s">
        <v>4</v>
      </c>
      <c r="E269" s="24" t="s">
        <v>176</v>
      </c>
      <c r="F269" s="24" t="s">
        <v>298</v>
      </c>
      <c r="G269" s="24" t="s">
        <v>339</v>
      </c>
      <c r="H269" s="34" t="s">
        <v>178</v>
      </c>
    </row>
    <row r="270" ht="20" customHeight="1" spans="1:8" x14ac:dyDescent="0.25">
      <c r="A270" s="22" t="s">
        <v>67</v>
      </c>
      <c r="B270" s="22" t="s">
        <v>31</v>
      </c>
      <c r="C270" s="23" t="s">
        <v>71</v>
      </c>
      <c r="D270" s="6" t="s">
        <v>4</v>
      </c>
      <c r="E270" s="22" t="s">
        <v>173</v>
      </c>
      <c r="F270" s="22" t="s">
        <v>404</v>
      </c>
      <c r="G270" s="22" t="s">
        <v>367</v>
      </c>
      <c r="H270" s="29" t="s">
        <v>175</v>
      </c>
    </row>
    <row r="271" ht="20" customHeight="1" spans="1:8" x14ac:dyDescent="0.25">
      <c r="A271" s="24" t="s">
        <v>68</v>
      </c>
      <c r="B271" s="24" t="s">
        <v>34</v>
      </c>
      <c r="C271" s="25" t="s">
        <v>71</v>
      </c>
      <c r="D271" s="6" t="s">
        <v>4</v>
      </c>
      <c r="E271" s="24" t="s">
        <v>1088</v>
      </c>
      <c r="F271" s="24" t="s">
        <v>213</v>
      </c>
      <c r="G271" s="24" t="s">
        <v>328</v>
      </c>
      <c r="H271" s="34" t="s">
        <v>1089</v>
      </c>
    </row>
    <row r="272" ht="22" customHeight="1" spans="1:8" x14ac:dyDescent="0.25">
      <c r="A272" s="26" t="s">
        <v>69</v>
      </c>
      <c r="B272" s="26"/>
      <c r="C272" s="26"/>
      <c r="D272" s="26"/>
      <c r="E272" s="26"/>
      <c r="F272" s="26"/>
      <c r="G272" s="27" t="s">
        <v>1405</v>
      </c>
      <c r="H272" s="28" t="s">
        <v>12</v>
      </c>
    </row>
    <row r="274" ht="26" customHeight="1" spans="1:8" x14ac:dyDescent="0.25">
      <c r="A274" s="20" t="s">
        <v>1406</v>
      </c>
      <c r="B274" s="20"/>
      <c r="C274" s="20"/>
      <c r="D274" s="20"/>
      <c r="E274" s="20"/>
      <c r="F274" s="20"/>
      <c r="G274" s="20"/>
      <c r="H274" s="20"/>
    </row>
    <row r="275" ht="22" customHeight="1" spans="1:8" x14ac:dyDescent="0.25">
      <c r="A275" s="21" t="s">
        <v>22</v>
      </c>
      <c r="B275" s="21" t="s">
        <v>23</v>
      </c>
      <c r="C275" s="21" t="s">
        <v>24</v>
      </c>
      <c r="D275" s="21" t="s">
        <v>25</v>
      </c>
      <c r="E275" s="21" t="s">
        <v>26</v>
      </c>
      <c r="F275" s="21" t="s">
        <v>27</v>
      </c>
      <c r="G275" s="21" t="s">
        <v>28</v>
      </c>
      <c r="H275" s="21" t="s">
        <v>29</v>
      </c>
    </row>
    <row r="276" ht="20" customHeight="1" spans="1:8" x14ac:dyDescent="0.25">
      <c r="A276" s="22" t="s">
        <v>30</v>
      </c>
      <c r="B276" s="22" t="s">
        <v>31</v>
      </c>
      <c r="C276" s="23" t="s">
        <v>71</v>
      </c>
      <c r="D276" s="6" t="s">
        <v>4</v>
      </c>
      <c r="E276" s="22" t="s">
        <v>356</v>
      </c>
      <c r="F276" s="22" t="s">
        <v>439</v>
      </c>
      <c r="G276" s="22" t="s">
        <v>123</v>
      </c>
      <c r="H276" s="29" t="s">
        <v>357</v>
      </c>
    </row>
    <row r="277" ht="20" customHeight="1" spans="1:8" x14ac:dyDescent="0.25">
      <c r="A277" s="24" t="s">
        <v>33</v>
      </c>
      <c r="B277" s="24" t="s">
        <v>34</v>
      </c>
      <c r="C277" s="25" t="s">
        <v>71</v>
      </c>
      <c r="D277" s="6" t="s">
        <v>4</v>
      </c>
      <c r="E277" s="24" t="s">
        <v>125</v>
      </c>
      <c r="F277" s="24" t="s">
        <v>12</v>
      </c>
      <c r="G277" s="24" t="s">
        <v>12</v>
      </c>
      <c r="H277" s="30" t="s">
        <v>79</v>
      </c>
    </row>
    <row r="278" ht="20" customHeight="1" spans="1:8" x14ac:dyDescent="0.25">
      <c r="A278" s="22" t="s">
        <v>35</v>
      </c>
      <c r="B278" s="22" t="s">
        <v>36</v>
      </c>
      <c r="C278" s="23" t="s">
        <v>71</v>
      </c>
      <c r="D278" s="6" t="s">
        <v>4</v>
      </c>
      <c r="E278" s="22" t="s">
        <v>411</v>
      </c>
      <c r="F278" s="22" t="s">
        <v>519</v>
      </c>
      <c r="G278" s="22" t="s">
        <v>396</v>
      </c>
      <c r="H278" s="32" t="s">
        <v>79</v>
      </c>
    </row>
    <row r="279" ht="20" customHeight="1" spans="1:8" x14ac:dyDescent="0.25">
      <c r="A279" s="24" t="s">
        <v>37</v>
      </c>
      <c r="B279" s="24" t="s">
        <v>38</v>
      </c>
      <c r="C279" s="25" t="s">
        <v>71</v>
      </c>
      <c r="D279" s="31" t="s">
        <v>11</v>
      </c>
      <c r="E279" s="24" t="s">
        <v>12</v>
      </c>
      <c r="F279" s="24" t="s">
        <v>12</v>
      </c>
      <c r="G279" s="24" t="s">
        <v>12</v>
      </c>
      <c r="H279" s="24" t="s">
        <v>32</v>
      </c>
    </row>
    <row r="280" ht="20" customHeight="1" spans="1:8" x14ac:dyDescent="0.25">
      <c r="A280" s="22" t="s">
        <v>39</v>
      </c>
      <c r="B280" s="22" t="s">
        <v>40</v>
      </c>
      <c r="C280" s="23" t="s">
        <v>71</v>
      </c>
      <c r="D280" s="6" t="s">
        <v>4</v>
      </c>
      <c r="E280" s="22" t="s">
        <v>387</v>
      </c>
      <c r="F280" s="22" t="s">
        <v>439</v>
      </c>
      <c r="G280" s="22" t="s">
        <v>578</v>
      </c>
      <c r="H280" s="32" t="s">
        <v>79</v>
      </c>
    </row>
    <row r="281" ht="20" customHeight="1" spans="1:8" x14ac:dyDescent="0.25">
      <c r="A281" s="24" t="s">
        <v>41</v>
      </c>
      <c r="B281" s="24" t="s">
        <v>42</v>
      </c>
      <c r="C281" s="25" t="s">
        <v>71</v>
      </c>
      <c r="D281" s="33" t="s">
        <v>86</v>
      </c>
      <c r="E281" s="24" t="s">
        <v>12</v>
      </c>
      <c r="F281" s="24" t="s">
        <v>12</v>
      </c>
      <c r="G281" s="24" t="s">
        <v>12</v>
      </c>
      <c r="H281" s="24" t="s">
        <v>32</v>
      </c>
    </row>
    <row r="282" ht="20" customHeight="1" spans="1:8" x14ac:dyDescent="0.25">
      <c r="A282" s="22" t="s">
        <v>44</v>
      </c>
      <c r="B282" s="22" t="s">
        <v>45</v>
      </c>
      <c r="C282" s="23" t="s">
        <v>71</v>
      </c>
      <c r="D282" s="6" t="s">
        <v>4</v>
      </c>
      <c r="E282" s="22" t="s">
        <v>125</v>
      </c>
      <c r="F282" s="22" t="s">
        <v>12</v>
      </c>
      <c r="G282" s="22" t="s">
        <v>12</v>
      </c>
      <c r="H282" s="32" t="s">
        <v>79</v>
      </c>
    </row>
    <row r="283" ht="20" customHeight="1" spans="1:8" x14ac:dyDescent="0.25">
      <c r="A283" s="24" t="s">
        <v>46</v>
      </c>
      <c r="B283" s="24" t="s">
        <v>31</v>
      </c>
      <c r="C283" s="25" t="s">
        <v>71</v>
      </c>
      <c r="D283" s="6" t="s">
        <v>4</v>
      </c>
      <c r="E283" s="24" t="s">
        <v>411</v>
      </c>
      <c r="F283" s="24" t="s">
        <v>1098</v>
      </c>
      <c r="G283" s="24" t="s">
        <v>1366</v>
      </c>
      <c r="H283" s="30" t="s">
        <v>79</v>
      </c>
    </row>
    <row r="284" ht="20" customHeight="1" spans="1:8" x14ac:dyDescent="0.25">
      <c r="A284" s="22" t="s">
        <v>47</v>
      </c>
      <c r="B284" s="22" t="s">
        <v>34</v>
      </c>
      <c r="C284" s="23" t="s">
        <v>71</v>
      </c>
      <c r="D284" s="6" t="s">
        <v>4</v>
      </c>
      <c r="E284" s="22" t="s">
        <v>311</v>
      </c>
      <c r="F284" s="22" t="s">
        <v>245</v>
      </c>
      <c r="G284" s="22" t="s">
        <v>478</v>
      </c>
      <c r="H284" s="32" t="s">
        <v>79</v>
      </c>
    </row>
    <row r="285" ht="20" customHeight="1" spans="1:8" x14ac:dyDescent="0.25">
      <c r="A285" s="24" t="s">
        <v>48</v>
      </c>
      <c r="B285" s="24" t="s">
        <v>36</v>
      </c>
      <c r="C285" s="25" t="s">
        <v>71</v>
      </c>
      <c r="D285" s="6" t="s">
        <v>4</v>
      </c>
      <c r="E285" s="24" t="s">
        <v>125</v>
      </c>
      <c r="F285" s="24" t="s">
        <v>499</v>
      </c>
      <c r="G285" s="24" t="s">
        <v>780</v>
      </c>
      <c r="H285" s="30" t="s">
        <v>79</v>
      </c>
    </row>
    <row r="286" ht="20" customHeight="1" spans="1:8" x14ac:dyDescent="0.25">
      <c r="A286" s="22" t="s">
        <v>49</v>
      </c>
      <c r="B286" s="22" t="s">
        <v>38</v>
      </c>
      <c r="C286" s="23" t="s">
        <v>71</v>
      </c>
      <c r="D286" s="6" t="s">
        <v>4</v>
      </c>
      <c r="E286" s="22" t="s">
        <v>576</v>
      </c>
      <c r="F286" s="22" t="s">
        <v>589</v>
      </c>
      <c r="G286" s="22" t="s">
        <v>1103</v>
      </c>
      <c r="H286" s="32" t="s">
        <v>79</v>
      </c>
    </row>
    <row r="287" ht="20" customHeight="1" spans="1:8" x14ac:dyDescent="0.25">
      <c r="A287" s="24" t="s">
        <v>50</v>
      </c>
      <c r="B287" s="24" t="s">
        <v>40</v>
      </c>
      <c r="C287" s="25" t="s">
        <v>71</v>
      </c>
      <c r="D287" s="6" t="s">
        <v>4</v>
      </c>
      <c r="E287" s="24" t="s">
        <v>372</v>
      </c>
      <c r="F287" s="24" t="s">
        <v>96</v>
      </c>
      <c r="G287" s="24" t="s">
        <v>578</v>
      </c>
      <c r="H287" s="30" t="s">
        <v>79</v>
      </c>
    </row>
    <row r="288" ht="20" customHeight="1" spans="1:8" x14ac:dyDescent="0.25">
      <c r="A288" s="22" t="s">
        <v>51</v>
      </c>
      <c r="B288" s="22" t="s">
        <v>42</v>
      </c>
      <c r="C288" s="23" t="s">
        <v>71</v>
      </c>
      <c r="D288" s="35" t="s">
        <v>86</v>
      </c>
      <c r="E288" s="22" t="s">
        <v>12</v>
      </c>
      <c r="F288" s="22" t="s">
        <v>12</v>
      </c>
      <c r="G288" s="22" t="s">
        <v>12</v>
      </c>
      <c r="H288" s="22" t="s">
        <v>32</v>
      </c>
    </row>
    <row r="289" ht="20" customHeight="1" spans="1:8" x14ac:dyDescent="0.25">
      <c r="A289" s="24" t="s">
        <v>52</v>
      </c>
      <c r="B289" s="24" t="s">
        <v>45</v>
      </c>
      <c r="C289" s="25" t="s">
        <v>71</v>
      </c>
      <c r="D289" s="6" t="s">
        <v>4</v>
      </c>
      <c r="E289" s="24" t="s">
        <v>348</v>
      </c>
      <c r="F289" s="24" t="s">
        <v>12</v>
      </c>
      <c r="G289" s="24" t="s">
        <v>12</v>
      </c>
      <c r="H289" s="34" t="s">
        <v>351</v>
      </c>
    </row>
    <row r="290" ht="20" customHeight="1" spans="1:8" x14ac:dyDescent="0.25">
      <c r="A290" s="22" t="s">
        <v>53</v>
      </c>
      <c r="B290" s="22" t="s">
        <v>31</v>
      </c>
      <c r="C290" s="23" t="s">
        <v>71</v>
      </c>
      <c r="D290" s="6" t="s">
        <v>4</v>
      </c>
      <c r="E290" s="22" t="s">
        <v>311</v>
      </c>
      <c r="F290" s="22" t="s">
        <v>404</v>
      </c>
      <c r="G290" s="22" t="s">
        <v>81</v>
      </c>
      <c r="H290" s="32" t="s">
        <v>79</v>
      </c>
    </row>
    <row r="291" ht="20" customHeight="1" spans="1:8" x14ac:dyDescent="0.25">
      <c r="A291" s="24" t="s">
        <v>54</v>
      </c>
      <c r="B291" s="24" t="s">
        <v>34</v>
      </c>
      <c r="C291" s="25" t="s">
        <v>71</v>
      </c>
      <c r="D291" s="6" t="s">
        <v>4</v>
      </c>
      <c r="E291" s="24" t="s">
        <v>411</v>
      </c>
      <c r="F291" s="24" t="s">
        <v>366</v>
      </c>
      <c r="G291" s="24" t="s">
        <v>475</v>
      </c>
      <c r="H291" s="30" t="s">
        <v>79</v>
      </c>
    </row>
    <row r="292" ht="20" customHeight="1" spans="1:8" x14ac:dyDescent="0.25">
      <c r="A292" s="22" t="s">
        <v>55</v>
      </c>
      <c r="B292" s="22" t="s">
        <v>36</v>
      </c>
      <c r="C292" s="23" t="s">
        <v>71</v>
      </c>
      <c r="D292" s="6" t="s">
        <v>4</v>
      </c>
      <c r="E292" s="22" t="s">
        <v>234</v>
      </c>
      <c r="F292" s="22" t="s">
        <v>12</v>
      </c>
      <c r="G292" s="22" t="s">
        <v>12</v>
      </c>
      <c r="H292" s="29" t="s">
        <v>236</v>
      </c>
    </row>
    <row r="293" ht="20" customHeight="1" spans="1:8" x14ac:dyDescent="0.25">
      <c r="A293" s="24" t="s">
        <v>56</v>
      </c>
      <c r="B293" s="24" t="s">
        <v>38</v>
      </c>
      <c r="C293" s="25" t="s">
        <v>71</v>
      </c>
      <c r="D293" s="6" t="s">
        <v>4</v>
      </c>
      <c r="E293" s="24" t="s">
        <v>383</v>
      </c>
      <c r="F293" s="24" t="s">
        <v>1074</v>
      </c>
      <c r="G293" s="24" t="s">
        <v>85</v>
      </c>
      <c r="H293" s="30" t="s">
        <v>79</v>
      </c>
    </row>
    <row r="294" ht="20" customHeight="1" spans="1:8" x14ac:dyDescent="0.25">
      <c r="A294" s="22" t="s">
        <v>57</v>
      </c>
      <c r="B294" s="22" t="s">
        <v>40</v>
      </c>
      <c r="C294" s="23" t="s">
        <v>71</v>
      </c>
      <c r="D294" s="6" t="s">
        <v>4</v>
      </c>
      <c r="E294" s="22" t="s">
        <v>125</v>
      </c>
      <c r="F294" s="22" t="s">
        <v>486</v>
      </c>
      <c r="G294" s="22" t="s">
        <v>1407</v>
      </c>
      <c r="H294" s="32" t="s">
        <v>79</v>
      </c>
    </row>
    <row r="295" ht="20" customHeight="1" spans="1:8" x14ac:dyDescent="0.25">
      <c r="A295" s="24" t="s">
        <v>58</v>
      </c>
      <c r="B295" s="24" t="s">
        <v>42</v>
      </c>
      <c r="C295" s="25" t="s">
        <v>71</v>
      </c>
      <c r="D295" s="33" t="s">
        <v>86</v>
      </c>
      <c r="E295" s="24" t="s">
        <v>12</v>
      </c>
      <c r="F295" s="24" t="s">
        <v>12</v>
      </c>
      <c r="G295" s="24" t="s">
        <v>12</v>
      </c>
      <c r="H295" s="24" t="s">
        <v>32</v>
      </c>
    </row>
    <row r="296" ht="20" customHeight="1" spans="1:8" x14ac:dyDescent="0.25">
      <c r="A296" s="22" t="s">
        <v>59</v>
      </c>
      <c r="B296" s="22" t="s">
        <v>45</v>
      </c>
      <c r="C296" s="23" t="s">
        <v>71</v>
      </c>
      <c r="D296" s="6" t="s">
        <v>4</v>
      </c>
      <c r="E296" s="22" t="s">
        <v>383</v>
      </c>
      <c r="F296" s="22" t="s">
        <v>231</v>
      </c>
      <c r="G296" s="22" t="s">
        <v>396</v>
      </c>
      <c r="H296" s="32" t="s">
        <v>79</v>
      </c>
    </row>
    <row r="297" ht="20" customHeight="1" spans="1:8" x14ac:dyDescent="0.25">
      <c r="A297" s="24" t="s">
        <v>60</v>
      </c>
      <c r="B297" s="24" t="s">
        <v>31</v>
      </c>
      <c r="C297" s="25" t="s">
        <v>71</v>
      </c>
      <c r="D297" s="6" t="s">
        <v>4</v>
      </c>
      <c r="E297" s="24" t="s">
        <v>411</v>
      </c>
      <c r="F297" s="24" t="s">
        <v>12</v>
      </c>
      <c r="G297" s="24" t="s">
        <v>12</v>
      </c>
      <c r="H297" s="30" t="s">
        <v>79</v>
      </c>
    </row>
    <row r="298" ht="20" customHeight="1" spans="1:8" x14ac:dyDescent="0.25">
      <c r="A298" s="22" t="s">
        <v>61</v>
      </c>
      <c r="B298" s="22" t="s">
        <v>34</v>
      </c>
      <c r="C298" s="23" t="s">
        <v>71</v>
      </c>
      <c r="D298" s="6" t="s">
        <v>4</v>
      </c>
      <c r="E298" s="22" t="s">
        <v>387</v>
      </c>
      <c r="F298" s="22" t="s">
        <v>12</v>
      </c>
      <c r="G298" s="22" t="s">
        <v>12</v>
      </c>
      <c r="H298" s="32" t="s">
        <v>79</v>
      </c>
    </row>
    <row r="299" ht="20" customHeight="1" spans="1:8" x14ac:dyDescent="0.25">
      <c r="A299" s="24" t="s">
        <v>62</v>
      </c>
      <c r="B299" s="24" t="s">
        <v>36</v>
      </c>
      <c r="C299" s="25" t="s">
        <v>71</v>
      </c>
      <c r="D299" s="6" t="s">
        <v>4</v>
      </c>
      <c r="E299" s="24" t="s">
        <v>387</v>
      </c>
      <c r="F299" s="24" t="s">
        <v>1350</v>
      </c>
      <c r="G299" s="24" t="s">
        <v>1408</v>
      </c>
      <c r="H299" s="30" t="s">
        <v>79</v>
      </c>
    </row>
    <row r="300" ht="20" customHeight="1" spans="1:8" x14ac:dyDescent="0.25">
      <c r="A300" s="22" t="s">
        <v>63</v>
      </c>
      <c r="B300" s="22" t="s">
        <v>38</v>
      </c>
      <c r="C300" s="23" t="s">
        <v>71</v>
      </c>
      <c r="D300" s="6" t="s">
        <v>4</v>
      </c>
      <c r="E300" s="22" t="s">
        <v>372</v>
      </c>
      <c r="F300" s="22" t="s">
        <v>112</v>
      </c>
      <c r="G300" s="22" t="s">
        <v>277</v>
      </c>
      <c r="H300" s="32" t="s">
        <v>79</v>
      </c>
    </row>
    <row r="301" ht="20" customHeight="1" spans="1:8" x14ac:dyDescent="0.25">
      <c r="A301" s="24" t="s">
        <v>64</v>
      </c>
      <c r="B301" s="24" t="s">
        <v>40</v>
      </c>
      <c r="C301" s="25" t="s">
        <v>71</v>
      </c>
      <c r="D301" s="6" t="s">
        <v>4</v>
      </c>
      <c r="E301" s="24" t="s">
        <v>383</v>
      </c>
      <c r="F301" s="24" t="s">
        <v>211</v>
      </c>
      <c r="G301" s="24" t="s">
        <v>299</v>
      </c>
      <c r="H301" s="30" t="s">
        <v>79</v>
      </c>
    </row>
    <row r="302" ht="20" customHeight="1" spans="1:8" x14ac:dyDescent="0.25">
      <c r="A302" s="22" t="s">
        <v>65</v>
      </c>
      <c r="B302" s="22" t="s">
        <v>42</v>
      </c>
      <c r="C302" s="23" t="s">
        <v>71</v>
      </c>
      <c r="D302" s="35" t="s">
        <v>86</v>
      </c>
      <c r="E302" s="22" t="s">
        <v>12</v>
      </c>
      <c r="F302" s="22" t="s">
        <v>12</v>
      </c>
      <c r="G302" s="22" t="s">
        <v>12</v>
      </c>
      <c r="H302" s="22" t="s">
        <v>32</v>
      </c>
    </row>
    <row r="303" ht="20" customHeight="1" spans="1:8" x14ac:dyDescent="0.25">
      <c r="A303" s="24" t="s">
        <v>66</v>
      </c>
      <c r="B303" s="24" t="s">
        <v>45</v>
      </c>
      <c r="C303" s="25" t="s">
        <v>71</v>
      </c>
      <c r="D303" s="6" t="s">
        <v>4</v>
      </c>
      <c r="E303" s="24" t="s">
        <v>311</v>
      </c>
      <c r="F303" s="24" t="s">
        <v>1004</v>
      </c>
      <c r="G303" s="24" t="s">
        <v>1409</v>
      </c>
      <c r="H303" s="30" t="s">
        <v>79</v>
      </c>
    </row>
    <row r="304" ht="20" customHeight="1" spans="1:8" x14ac:dyDescent="0.25">
      <c r="A304" s="22" t="s">
        <v>67</v>
      </c>
      <c r="B304" s="22" t="s">
        <v>31</v>
      </c>
      <c r="C304" s="23" t="s">
        <v>71</v>
      </c>
      <c r="D304" s="6" t="s">
        <v>4</v>
      </c>
      <c r="E304" s="22" t="s">
        <v>383</v>
      </c>
      <c r="F304" s="22" t="s">
        <v>225</v>
      </c>
      <c r="G304" s="22" t="s">
        <v>414</v>
      </c>
      <c r="H304" s="32" t="s">
        <v>79</v>
      </c>
    </row>
    <row r="305" ht="20" customHeight="1" spans="1:8" x14ac:dyDescent="0.25">
      <c r="A305" s="24" t="s">
        <v>68</v>
      </c>
      <c r="B305" s="24" t="s">
        <v>34</v>
      </c>
      <c r="C305" s="25" t="s">
        <v>71</v>
      </c>
      <c r="D305" s="6" t="s">
        <v>4</v>
      </c>
      <c r="E305" s="24" t="s">
        <v>125</v>
      </c>
      <c r="F305" s="24" t="s">
        <v>486</v>
      </c>
      <c r="G305" s="24" t="s">
        <v>1407</v>
      </c>
      <c r="H305" s="30" t="s">
        <v>79</v>
      </c>
    </row>
    <row r="306" ht="22" customHeight="1" spans="1:8" x14ac:dyDescent="0.25">
      <c r="A306" s="26" t="s">
        <v>69</v>
      </c>
      <c r="B306" s="26"/>
      <c r="C306" s="26"/>
      <c r="D306" s="26"/>
      <c r="E306" s="26"/>
      <c r="F306" s="26"/>
      <c r="G306" s="27" t="s">
        <v>642</v>
      </c>
      <c r="H306" s="28" t="s">
        <v>12</v>
      </c>
    </row>
    <row r="308" ht="26" customHeight="1" spans="1:8" x14ac:dyDescent="0.25">
      <c r="A308" s="20" t="s">
        <v>1410</v>
      </c>
      <c r="B308" s="20"/>
      <c r="C308" s="20"/>
      <c r="D308" s="20"/>
      <c r="E308" s="20"/>
      <c r="F308" s="20"/>
      <c r="G308" s="20"/>
      <c r="H308" s="20"/>
    </row>
    <row r="309" ht="22" customHeight="1" spans="1:8" x14ac:dyDescent="0.25">
      <c r="A309" s="21" t="s">
        <v>22</v>
      </c>
      <c r="B309" s="21" t="s">
        <v>23</v>
      </c>
      <c r="C309" s="21" t="s">
        <v>24</v>
      </c>
      <c r="D309" s="21" t="s">
        <v>25</v>
      </c>
      <c r="E309" s="21" t="s">
        <v>26</v>
      </c>
      <c r="F309" s="21" t="s">
        <v>27</v>
      </c>
      <c r="G309" s="21" t="s">
        <v>28</v>
      </c>
      <c r="H309" s="21" t="s">
        <v>29</v>
      </c>
    </row>
    <row r="310" ht="20" customHeight="1" spans="1:8" x14ac:dyDescent="0.25">
      <c r="A310" s="22" t="s">
        <v>30</v>
      </c>
      <c r="B310" s="22" t="s">
        <v>31</v>
      </c>
      <c r="C310" s="23" t="s">
        <v>71</v>
      </c>
      <c r="D310" s="6" t="s">
        <v>4</v>
      </c>
      <c r="E310" s="22" t="s">
        <v>372</v>
      </c>
      <c r="F310" s="22" t="s">
        <v>628</v>
      </c>
      <c r="G310" s="22" t="s">
        <v>496</v>
      </c>
      <c r="H310" s="29" t="s">
        <v>535</v>
      </c>
    </row>
    <row r="311" ht="20" customHeight="1" spans="1:8" x14ac:dyDescent="0.25">
      <c r="A311" s="24" t="s">
        <v>33</v>
      </c>
      <c r="B311" s="24" t="s">
        <v>34</v>
      </c>
      <c r="C311" s="25" t="s">
        <v>71</v>
      </c>
      <c r="D311" s="6" t="s">
        <v>4</v>
      </c>
      <c r="E311" s="24" t="s">
        <v>390</v>
      </c>
      <c r="F311" s="24" t="s">
        <v>73</v>
      </c>
      <c r="G311" s="24" t="s">
        <v>493</v>
      </c>
      <c r="H311" s="34" t="s">
        <v>75</v>
      </c>
    </row>
    <row r="312" ht="20" customHeight="1" spans="1:8" x14ac:dyDescent="0.25">
      <c r="A312" s="22" t="s">
        <v>35</v>
      </c>
      <c r="B312" s="22" t="s">
        <v>36</v>
      </c>
      <c r="C312" s="23" t="s">
        <v>71</v>
      </c>
      <c r="D312" s="6" t="s">
        <v>4</v>
      </c>
      <c r="E312" s="22" t="s">
        <v>518</v>
      </c>
      <c r="F312" s="22" t="s">
        <v>343</v>
      </c>
      <c r="G312" s="22" t="s">
        <v>161</v>
      </c>
      <c r="H312" s="32" t="s">
        <v>79</v>
      </c>
    </row>
    <row r="313" ht="20" customHeight="1" spans="1:8" x14ac:dyDescent="0.25">
      <c r="A313" s="24" t="s">
        <v>37</v>
      </c>
      <c r="B313" s="24" t="s">
        <v>38</v>
      </c>
      <c r="C313" s="25" t="s">
        <v>71</v>
      </c>
      <c r="D313" s="31" t="s">
        <v>11</v>
      </c>
      <c r="E313" s="24" t="s">
        <v>12</v>
      </c>
      <c r="F313" s="24" t="s">
        <v>12</v>
      </c>
      <c r="G313" s="24" t="s">
        <v>12</v>
      </c>
      <c r="H313" s="24" t="s">
        <v>32</v>
      </c>
    </row>
    <row r="314" ht="20" customHeight="1" spans="1:8" x14ac:dyDescent="0.25">
      <c r="A314" s="22" t="s">
        <v>39</v>
      </c>
      <c r="B314" s="22" t="s">
        <v>40</v>
      </c>
      <c r="C314" s="23" t="s">
        <v>71</v>
      </c>
      <c r="D314" s="6" t="s">
        <v>4</v>
      </c>
      <c r="E314" s="22" t="s">
        <v>320</v>
      </c>
      <c r="F314" s="22" t="s">
        <v>324</v>
      </c>
      <c r="G314" s="22" t="s">
        <v>259</v>
      </c>
      <c r="H314" s="32" t="s">
        <v>79</v>
      </c>
    </row>
    <row r="315" ht="20" customHeight="1" spans="1:8" x14ac:dyDescent="0.25">
      <c r="A315" s="24" t="s">
        <v>41</v>
      </c>
      <c r="B315" s="24" t="s">
        <v>42</v>
      </c>
      <c r="C315" s="25" t="s">
        <v>71</v>
      </c>
      <c r="D315" s="33" t="s">
        <v>86</v>
      </c>
      <c r="E315" s="24" t="s">
        <v>12</v>
      </c>
      <c r="F315" s="24" t="s">
        <v>12</v>
      </c>
      <c r="G315" s="24" t="s">
        <v>12</v>
      </c>
      <c r="H315" s="24" t="s">
        <v>32</v>
      </c>
    </row>
    <row r="316" ht="20" customHeight="1" spans="1:8" x14ac:dyDescent="0.25">
      <c r="A316" s="22" t="s">
        <v>44</v>
      </c>
      <c r="B316" s="22" t="s">
        <v>45</v>
      </c>
      <c r="C316" s="23" t="s">
        <v>71</v>
      </c>
      <c r="D316" s="6" t="s">
        <v>4</v>
      </c>
      <c r="E316" s="22" t="s">
        <v>576</v>
      </c>
      <c r="F316" s="22" t="s">
        <v>444</v>
      </c>
      <c r="G316" s="22" t="s">
        <v>496</v>
      </c>
      <c r="H316" s="29" t="s">
        <v>445</v>
      </c>
    </row>
    <row r="317" ht="20" customHeight="1" spans="1:8" x14ac:dyDescent="0.25">
      <c r="A317" s="24" t="s">
        <v>46</v>
      </c>
      <c r="B317" s="24" t="s">
        <v>31</v>
      </c>
      <c r="C317" s="25" t="s">
        <v>71</v>
      </c>
      <c r="D317" s="6" t="s">
        <v>4</v>
      </c>
      <c r="E317" s="24" t="s">
        <v>392</v>
      </c>
      <c r="F317" s="24" t="s">
        <v>278</v>
      </c>
      <c r="G317" s="24" t="s">
        <v>339</v>
      </c>
      <c r="H317" s="34" t="s">
        <v>394</v>
      </c>
    </row>
    <row r="318" ht="20" customHeight="1" spans="1:8" x14ac:dyDescent="0.25">
      <c r="A318" s="22" t="s">
        <v>47</v>
      </c>
      <c r="B318" s="22" t="s">
        <v>34</v>
      </c>
      <c r="C318" s="23" t="s">
        <v>71</v>
      </c>
      <c r="D318" s="6" t="s">
        <v>4</v>
      </c>
      <c r="E318" s="22" t="s">
        <v>125</v>
      </c>
      <c r="F318" s="22" t="s">
        <v>442</v>
      </c>
      <c r="G318" s="22" t="s">
        <v>214</v>
      </c>
      <c r="H318" s="32" t="s">
        <v>79</v>
      </c>
    </row>
    <row r="319" ht="20" customHeight="1" spans="1:8" x14ac:dyDescent="0.25">
      <c r="A319" s="24" t="s">
        <v>48</v>
      </c>
      <c r="B319" s="24" t="s">
        <v>36</v>
      </c>
      <c r="C319" s="25" t="s">
        <v>71</v>
      </c>
      <c r="D319" s="10" t="s">
        <v>87</v>
      </c>
      <c r="E319" s="24" t="s">
        <v>12</v>
      </c>
      <c r="F319" s="24" t="s">
        <v>12</v>
      </c>
      <c r="G319" s="24" t="s">
        <v>12</v>
      </c>
      <c r="H319" s="24" t="s">
        <v>32</v>
      </c>
    </row>
    <row r="320" ht="20" customHeight="1" spans="1:8" x14ac:dyDescent="0.25">
      <c r="A320" s="22" t="s">
        <v>49</v>
      </c>
      <c r="B320" s="22" t="s">
        <v>38</v>
      </c>
      <c r="C320" s="23" t="s">
        <v>71</v>
      </c>
      <c r="D320" s="6" t="s">
        <v>4</v>
      </c>
      <c r="E320" s="22" t="s">
        <v>320</v>
      </c>
      <c r="F320" s="22" t="s">
        <v>1222</v>
      </c>
      <c r="G320" s="22" t="s">
        <v>1411</v>
      </c>
      <c r="H320" s="32" t="s">
        <v>79</v>
      </c>
    </row>
    <row r="321" ht="20" customHeight="1" spans="1:8" x14ac:dyDescent="0.25">
      <c r="A321" s="24" t="s">
        <v>50</v>
      </c>
      <c r="B321" s="24" t="s">
        <v>40</v>
      </c>
      <c r="C321" s="25" t="s">
        <v>71</v>
      </c>
      <c r="D321" s="33" t="s">
        <v>86</v>
      </c>
      <c r="E321" s="24" t="s">
        <v>12</v>
      </c>
      <c r="F321" s="24" t="s">
        <v>12</v>
      </c>
      <c r="G321" s="24" t="s">
        <v>12</v>
      </c>
      <c r="H321" s="24" t="s">
        <v>32</v>
      </c>
    </row>
    <row r="322" ht="20" customHeight="1" spans="1:8" x14ac:dyDescent="0.25">
      <c r="A322" s="22" t="s">
        <v>51</v>
      </c>
      <c r="B322" s="22" t="s">
        <v>42</v>
      </c>
      <c r="C322" s="23" t="s">
        <v>71</v>
      </c>
      <c r="D322" s="35" t="s">
        <v>86</v>
      </c>
      <c r="E322" s="22" t="s">
        <v>12</v>
      </c>
      <c r="F322" s="22" t="s">
        <v>12</v>
      </c>
      <c r="G322" s="22" t="s">
        <v>12</v>
      </c>
      <c r="H322" s="22" t="s">
        <v>32</v>
      </c>
    </row>
    <row r="323" ht="20" customHeight="1" spans="1:8" x14ac:dyDescent="0.25">
      <c r="A323" s="24" t="s">
        <v>52</v>
      </c>
      <c r="B323" s="24" t="s">
        <v>45</v>
      </c>
      <c r="C323" s="25" t="s">
        <v>71</v>
      </c>
      <c r="D323" s="6" t="s">
        <v>4</v>
      </c>
      <c r="E323" s="24" t="s">
        <v>189</v>
      </c>
      <c r="F323" s="24" t="s">
        <v>402</v>
      </c>
      <c r="G323" s="24" t="s">
        <v>614</v>
      </c>
      <c r="H323" s="34" t="s">
        <v>191</v>
      </c>
    </row>
    <row r="324" ht="20" customHeight="1" spans="1:8" x14ac:dyDescent="0.25">
      <c r="A324" s="22" t="s">
        <v>53</v>
      </c>
      <c r="B324" s="22" t="s">
        <v>31</v>
      </c>
      <c r="C324" s="23" t="s">
        <v>71</v>
      </c>
      <c r="D324" s="6" t="s">
        <v>4</v>
      </c>
      <c r="E324" s="22" t="s">
        <v>518</v>
      </c>
      <c r="F324" s="22" t="s">
        <v>278</v>
      </c>
      <c r="G324" s="22" t="s">
        <v>574</v>
      </c>
      <c r="H324" s="32" t="s">
        <v>79</v>
      </c>
    </row>
    <row r="325" ht="20" customHeight="1" spans="1:8" x14ac:dyDescent="0.25">
      <c r="A325" s="24" t="s">
        <v>54</v>
      </c>
      <c r="B325" s="24" t="s">
        <v>34</v>
      </c>
      <c r="C325" s="25" t="s">
        <v>71</v>
      </c>
      <c r="D325" s="6" t="s">
        <v>4</v>
      </c>
      <c r="E325" s="24" t="s">
        <v>234</v>
      </c>
      <c r="F325" s="24" t="s">
        <v>282</v>
      </c>
      <c r="G325" s="24" t="s">
        <v>367</v>
      </c>
      <c r="H325" s="34" t="s">
        <v>236</v>
      </c>
    </row>
    <row r="326" ht="20" customHeight="1" spans="1:8" x14ac:dyDescent="0.25">
      <c r="A326" s="22" t="s">
        <v>55</v>
      </c>
      <c r="B326" s="22" t="s">
        <v>36</v>
      </c>
      <c r="C326" s="23" t="s">
        <v>71</v>
      </c>
      <c r="D326" s="6" t="s">
        <v>4</v>
      </c>
      <c r="E326" s="22" t="s">
        <v>567</v>
      </c>
      <c r="F326" s="22" t="s">
        <v>280</v>
      </c>
      <c r="G326" s="22" t="s">
        <v>238</v>
      </c>
      <c r="H326" s="32" t="s">
        <v>79</v>
      </c>
    </row>
    <row r="327" ht="20" customHeight="1" spans="1:8" x14ac:dyDescent="0.25">
      <c r="A327" s="24" t="s">
        <v>56</v>
      </c>
      <c r="B327" s="24" t="s">
        <v>38</v>
      </c>
      <c r="C327" s="25" t="s">
        <v>71</v>
      </c>
      <c r="D327" s="6" t="s">
        <v>4</v>
      </c>
      <c r="E327" s="24" t="s">
        <v>251</v>
      </c>
      <c r="F327" s="24" t="s">
        <v>282</v>
      </c>
      <c r="G327" s="24" t="s">
        <v>1412</v>
      </c>
      <c r="H327" s="34" t="s">
        <v>253</v>
      </c>
    </row>
    <row r="328" ht="20" customHeight="1" spans="1:8" x14ac:dyDescent="0.25">
      <c r="A328" s="22" t="s">
        <v>57</v>
      </c>
      <c r="B328" s="22" t="s">
        <v>40</v>
      </c>
      <c r="C328" s="23" t="s">
        <v>71</v>
      </c>
      <c r="D328" s="6" t="s">
        <v>4</v>
      </c>
      <c r="E328" s="22" t="s">
        <v>379</v>
      </c>
      <c r="F328" s="22" t="s">
        <v>609</v>
      </c>
      <c r="G328" s="22" t="s">
        <v>339</v>
      </c>
      <c r="H328" s="29" t="s">
        <v>380</v>
      </c>
    </row>
    <row r="329" ht="20" customHeight="1" spans="1:8" x14ac:dyDescent="0.25">
      <c r="A329" s="24" t="s">
        <v>58</v>
      </c>
      <c r="B329" s="24" t="s">
        <v>42</v>
      </c>
      <c r="C329" s="25" t="s">
        <v>71</v>
      </c>
      <c r="D329" s="33" t="s">
        <v>86</v>
      </c>
      <c r="E329" s="24" t="s">
        <v>12</v>
      </c>
      <c r="F329" s="24" t="s">
        <v>12</v>
      </c>
      <c r="G329" s="24" t="s">
        <v>12</v>
      </c>
      <c r="H329" s="24" t="s">
        <v>32</v>
      </c>
    </row>
    <row r="330" ht="20" customHeight="1" spans="1:8" x14ac:dyDescent="0.25">
      <c r="A330" s="22" t="s">
        <v>59</v>
      </c>
      <c r="B330" s="22" t="s">
        <v>45</v>
      </c>
      <c r="C330" s="23" t="s">
        <v>71</v>
      </c>
      <c r="D330" s="6" t="s">
        <v>4</v>
      </c>
      <c r="E330" s="22" t="s">
        <v>1206</v>
      </c>
      <c r="F330" s="22" t="s">
        <v>648</v>
      </c>
      <c r="G330" s="22" t="s">
        <v>339</v>
      </c>
      <c r="H330" s="29" t="s">
        <v>1207</v>
      </c>
    </row>
    <row r="331" ht="20" customHeight="1" spans="1:8" x14ac:dyDescent="0.25">
      <c r="A331" s="24" t="s">
        <v>60</v>
      </c>
      <c r="B331" s="24" t="s">
        <v>31</v>
      </c>
      <c r="C331" s="25" t="s">
        <v>71</v>
      </c>
      <c r="D331" s="6" t="s">
        <v>4</v>
      </c>
      <c r="E331" s="24" t="s">
        <v>1413</v>
      </c>
      <c r="F331" s="24" t="s">
        <v>1414</v>
      </c>
      <c r="G331" s="24" t="s">
        <v>1415</v>
      </c>
      <c r="H331" s="34" t="s">
        <v>1416</v>
      </c>
    </row>
    <row r="332" ht="20" customHeight="1" spans="1:8" x14ac:dyDescent="0.25">
      <c r="A332" s="22" t="s">
        <v>61</v>
      </c>
      <c r="B332" s="22" t="s">
        <v>34</v>
      </c>
      <c r="C332" s="23" t="s">
        <v>71</v>
      </c>
      <c r="D332" s="6" t="s">
        <v>4</v>
      </c>
      <c r="E332" s="22" t="s">
        <v>673</v>
      </c>
      <c r="F332" s="22" t="s">
        <v>1417</v>
      </c>
      <c r="G332" s="22" t="s">
        <v>594</v>
      </c>
      <c r="H332" s="29" t="s">
        <v>1418</v>
      </c>
    </row>
    <row r="333" ht="20" customHeight="1" spans="1:8" x14ac:dyDescent="0.25">
      <c r="A333" s="24" t="s">
        <v>62</v>
      </c>
      <c r="B333" s="24" t="s">
        <v>36</v>
      </c>
      <c r="C333" s="25" t="s">
        <v>71</v>
      </c>
      <c r="D333" s="6" t="s">
        <v>4</v>
      </c>
      <c r="E333" s="24" t="s">
        <v>454</v>
      </c>
      <c r="F333" s="24" t="s">
        <v>759</v>
      </c>
      <c r="G333" s="24" t="s">
        <v>493</v>
      </c>
      <c r="H333" s="34" t="s">
        <v>456</v>
      </c>
    </row>
    <row r="334" ht="20" customHeight="1" spans="1:8" x14ac:dyDescent="0.25">
      <c r="A334" s="22" t="s">
        <v>63</v>
      </c>
      <c r="B334" s="22" t="s">
        <v>38</v>
      </c>
      <c r="C334" s="23" t="s">
        <v>71</v>
      </c>
      <c r="D334" s="6" t="s">
        <v>4</v>
      </c>
      <c r="E334" s="22" t="s">
        <v>362</v>
      </c>
      <c r="F334" s="22" t="s">
        <v>112</v>
      </c>
      <c r="G334" s="22" t="s">
        <v>659</v>
      </c>
      <c r="H334" s="32" t="s">
        <v>79</v>
      </c>
    </row>
    <row r="335" ht="20" customHeight="1" spans="1:8" x14ac:dyDescent="0.25">
      <c r="A335" s="24" t="s">
        <v>64</v>
      </c>
      <c r="B335" s="24" t="s">
        <v>40</v>
      </c>
      <c r="C335" s="25" t="s">
        <v>71</v>
      </c>
      <c r="D335" s="6" t="s">
        <v>4</v>
      </c>
      <c r="E335" s="24" t="s">
        <v>257</v>
      </c>
      <c r="F335" s="24" t="s">
        <v>374</v>
      </c>
      <c r="G335" s="24" t="s">
        <v>496</v>
      </c>
      <c r="H335" s="34" t="s">
        <v>260</v>
      </c>
    </row>
    <row r="336" ht="20" customHeight="1" spans="1:8" x14ac:dyDescent="0.25">
      <c r="A336" s="22" t="s">
        <v>65</v>
      </c>
      <c r="B336" s="22" t="s">
        <v>42</v>
      </c>
      <c r="C336" s="23" t="s">
        <v>71</v>
      </c>
      <c r="D336" s="35" t="s">
        <v>86</v>
      </c>
      <c r="E336" s="22" t="s">
        <v>12</v>
      </c>
      <c r="F336" s="22" t="s">
        <v>12</v>
      </c>
      <c r="G336" s="22" t="s">
        <v>12</v>
      </c>
      <c r="H336" s="22" t="s">
        <v>32</v>
      </c>
    </row>
    <row r="337" ht="20" customHeight="1" spans="1:8" x14ac:dyDescent="0.25">
      <c r="A337" s="24" t="s">
        <v>66</v>
      </c>
      <c r="B337" s="24" t="s">
        <v>45</v>
      </c>
      <c r="C337" s="25" t="s">
        <v>71</v>
      </c>
      <c r="D337" s="6" t="s">
        <v>4</v>
      </c>
      <c r="E337" s="24" t="s">
        <v>379</v>
      </c>
      <c r="F337" s="24" t="s">
        <v>193</v>
      </c>
      <c r="G337" s="24" t="s">
        <v>203</v>
      </c>
      <c r="H337" s="34" t="s">
        <v>380</v>
      </c>
    </row>
    <row r="338" ht="20" customHeight="1" spans="1:8" x14ac:dyDescent="0.25">
      <c r="A338" s="22" t="s">
        <v>67</v>
      </c>
      <c r="B338" s="22" t="s">
        <v>31</v>
      </c>
      <c r="C338" s="23" t="s">
        <v>71</v>
      </c>
      <c r="D338" s="6" t="s">
        <v>4</v>
      </c>
      <c r="E338" s="22" t="s">
        <v>242</v>
      </c>
      <c r="F338" s="22" t="s">
        <v>761</v>
      </c>
      <c r="G338" s="22" t="s">
        <v>329</v>
      </c>
      <c r="H338" s="29" t="s">
        <v>244</v>
      </c>
    </row>
    <row r="339" ht="20" customHeight="1" spans="1:8" x14ac:dyDescent="0.25">
      <c r="A339" s="24" t="s">
        <v>68</v>
      </c>
      <c r="B339" s="24" t="s">
        <v>34</v>
      </c>
      <c r="C339" s="25" t="s">
        <v>71</v>
      </c>
      <c r="D339" s="6" t="s">
        <v>4</v>
      </c>
      <c r="E339" s="24" t="s">
        <v>173</v>
      </c>
      <c r="F339" s="24" t="s">
        <v>237</v>
      </c>
      <c r="G339" s="24" t="s">
        <v>496</v>
      </c>
      <c r="H339" s="34" t="s">
        <v>175</v>
      </c>
    </row>
    <row r="340" ht="22" customHeight="1" spans="1:8" x14ac:dyDescent="0.25">
      <c r="A340" s="26" t="s">
        <v>69</v>
      </c>
      <c r="B340" s="26"/>
      <c r="C340" s="26"/>
      <c r="D340" s="26"/>
      <c r="E340" s="26"/>
      <c r="F340" s="26"/>
      <c r="G340" s="27" t="s">
        <v>1419</v>
      </c>
      <c r="H340" s="28" t="s">
        <v>12</v>
      </c>
    </row>
    <row r="342" ht="26" customHeight="1" spans="1:8" x14ac:dyDescent="0.25">
      <c r="A342" s="20" t="s">
        <v>1420</v>
      </c>
      <c r="B342" s="20"/>
      <c r="C342" s="20"/>
      <c r="D342" s="20"/>
      <c r="E342" s="20"/>
      <c r="F342" s="20"/>
      <c r="G342" s="20"/>
      <c r="H342" s="20"/>
    </row>
    <row r="343" ht="22" customHeight="1" spans="1:8" x14ac:dyDescent="0.25">
      <c r="A343" s="21" t="s">
        <v>22</v>
      </c>
      <c r="B343" s="21" t="s">
        <v>23</v>
      </c>
      <c r="C343" s="21" t="s">
        <v>24</v>
      </c>
      <c r="D343" s="21" t="s">
        <v>25</v>
      </c>
      <c r="E343" s="21" t="s">
        <v>26</v>
      </c>
      <c r="F343" s="21" t="s">
        <v>27</v>
      </c>
      <c r="G343" s="21" t="s">
        <v>28</v>
      </c>
      <c r="H343" s="21" t="s">
        <v>29</v>
      </c>
    </row>
    <row r="344" ht="20" customHeight="1" spans="1:8" x14ac:dyDescent="0.25">
      <c r="A344" s="22" t="s">
        <v>30</v>
      </c>
      <c r="B344" s="22" t="s">
        <v>31</v>
      </c>
      <c r="C344" s="23" t="s">
        <v>71</v>
      </c>
      <c r="D344" s="6" t="s">
        <v>4</v>
      </c>
      <c r="E344" s="22" t="s">
        <v>361</v>
      </c>
      <c r="F344" s="22" t="s">
        <v>344</v>
      </c>
      <c r="G344" s="22" t="s">
        <v>410</v>
      </c>
      <c r="H344" s="32" t="s">
        <v>79</v>
      </c>
    </row>
    <row r="345" ht="20" customHeight="1" spans="1:8" x14ac:dyDescent="0.25">
      <c r="A345" s="24" t="s">
        <v>33</v>
      </c>
      <c r="B345" s="24" t="s">
        <v>34</v>
      </c>
      <c r="C345" s="25" t="s">
        <v>71</v>
      </c>
      <c r="D345" s="6" t="s">
        <v>4</v>
      </c>
      <c r="E345" s="24" t="s">
        <v>251</v>
      </c>
      <c r="F345" s="24" t="s">
        <v>1421</v>
      </c>
      <c r="G345" s="24" t="s">
        <v>290</v>
      </c>
      <c r="H345" s="34" t="s">
        <v>253</v>
      </c>
    </row>
    <row r="346" ht="20" customHeight="1" spans="1:8" x14ac:dyDescent="0.25">
      <c r="A346" s="22" t="s">
        <v>35</v>
      </c>
      <c r="B346" s="22" t="s">
        <v>36</v>
      </c>
      <c r="C346" s="23" t="s">
        <v>71</v>
      </c>
      <c r="D346" s="6" t="s">
        <v>4</v>
      </c>
      <c r="E346" s="22" t="s">
        <v>379</v>
      </c>
      <c r="F346" s="22" t="s">
        <v>237</v>
      </c>
      <c r="G346" s="22" t="s">
        <v>577</v>
      </c>
      <c r="H346" s="29" t="s">
        <v>380</v>
      </c>
    </row>
    <row r="347" ht="20" customHeight="1" spans="1:8" x14ac:dyDescent="0.25">
      <c r="A347" s="24" t="s">
        <v>37</v>
      </c>
      <c r="B347" s="24" t="s">
        <v>38</v>
      </c>
      <c r="C347" s="25" t="s">
        <v>71</v>
      </c>
      <c r="D347" s="31" t="s">
        <v>11</v>
      </c>
      <c r="E347" s="24" t="s">
        <v>12</v>
      </c>
      <c r="F347" s="24" t="s">
        <v>12</v>
      </c>
      <c r="G347" s="24" t="s">
        <v>12</v>
      </c>
      <c r="H347" s="24" t="s">
        <v>32</v>
      </c>
    </row>
    <row r="348" ht="20" customHeight="1" spans="1:8" x14ac:dyDescent="0.25">
      <c r="A348" s="22" t="s">
        <v>39</v>
      </c>
      <c r="B348" s="22" t="s">
        <v>40</v>
      </c>
      <c r="C348" s="23" t="s">
        <v>71</v>
      </c>
      <c r="D348" s="6" t="s">
        <v>4</v>
      </c>
      <c r="E348" s="22" t="s">
        <v>320</v>
      </c>
      <c r="F348" s="22" t="s">
        <v>278</v>
      </c>
      <c r="G348" s="22" t="s">
        <v>614</v>
      </c>
      <c r="H348" s="32" t="s">
        <v>79</v>
      </c>
    </row>
    <row r="349" ht="20" customHeight="1" spans="1:8" x14ac:dyDescent="0.25">
      <c r="A349" s="24" t="s">
        <v>41</v>
      </c>
      <c r="B349" s="24" t="s">
        <v>42</v>
      </c>
      <c r="C349" s="25" t="s">
        <v>71</v>
      </c>
      <c r="D349" s="33" t="s">
        <v>86</v>
      </c>
      <c r="E349" s="24" t="s">
        <v>12</v>
      </c>
      <c r="F349" s="24" t="s">
        <v>12</v>
      </c>
      <c r="G349" s="24" t="s">
        <v>12</v>
      </c>
      <c r="H349" s="24" t="s">
        <v>32</v>
      </c>
    </row>
    <row r="350" ht="20" customHeight="1" spans="1:8" x14ac:dyDescent="0.25">
      <c r="A350" s="22" t="s">
        <v>44</v>
      </c>
      <c r="B350" s="22" t="s">
        <v>45</v>
      </c>
      <c r="C350" s="23" t="s">
        <v>71</v>
      </c>
      <c r="D350" s="6" t="s">
        <v>4</v>
      </c>
      <c r="E350" s="22" t="s">
        <v>564</v>
      </c>
      <c r="F350" s="22" t="s">
        <v>439</v>
      </c>
      <c r="G350" s="22" t="s">
        <v>478</v>
      </c>
      <c r="H350" s="32" t="s">
        <v>79</v>
      </c>
    </row>
    <row r="351" ht="20" customHeight="1" spans="1:8" x14ac:dyDescent="0.25">
      <c r="A351" s="24" t="s">
        <v>46</v>
      </c>
      <c r="B351" s="24" t="s">
        <v>31</v>
      </c>
      <c r="C351" s="25" t="s">
        <v>71</v>
      </c>
      <c r="D351" s="6" t="s">
        <v>4</v>
      </c>
      <c r="E351" s="24" t="s">
        <v>377</v>
      </c>
      <c r="F351" s="24" t="s">
        <v>352</v>
      </c>
      <c r="G351" s="24" t="s">
        <v>1092</v>
      </c>
      <c r="H351" s="34" t="s">
        <v>378</v>
      </c>
    </row>
    <row r="352" ht="20" customHeight="1" spans="1:8" x14ac:dyDescent="0.25">
      <c r="A352" s="22" t="s">
        <v>47</v>
      </c>
      <c r="B352" s="22" t="s">
        <v>34</v>
      </c>
      <c r="C352" s="23" t="s">
        <v>71</v>
      </c>
      <c r="D352" s="6" t="s">
        <v>4</v>
      </c>
      <c r="E352" s="22" t="s">
        <v>383</v>
      </c>
      <c r="F352" s="22" t="s">
        <v>243</v>
      </c>
      <c r="G352" s="22" t="s">
        <v>283</v>
      </c>
      <c r="H352" s="32" t="s">
        <v>79</v>
      </c>
    </row>
    <row r="353" ht="20" customHeight="1" spans="1:8" x14ac:dyDescent="0.25">
      <c r="A353" s="24" t="s">
        <v>48</v>
      </c>
      <c r="B353" s="24" t="s">
        <v>36</v>
      </c>
      <c r="C353" s="25" t="s">
        <v>71</v>
      </c>
      <c r="D353" s="6" t="s">
        <v>4</v>
      </c>
      <c r="E353" s="24" t="s">
        <v>326</v>
      </c>
      <c r="F353" s="24" t="s">
        <v>749</v>
      </c>
      <c r="G353" s="24" t="s">
        <v>171</v>
      </c>
      <c r="H353" s="34" t="s">
        <v>327</v>
      </c>
    </row>
    <row r="354" ht="20" customHeight="1" spans="1:8" x14ac:dyDescent="0.25">
      <c r="A354" s="22" t="s">
        <v>49</v>
      </c>
      <c r="B354" s="22" t="s">
        <v>38</v>
      </c>
      <c r="C354" s="23" t="s">
        <v>71</v>
      </c>
      <c r="D354" s="6" t="s">
        <v>4</v>
      </c>
      <c r="E354" s="22" t="s">
        <v>185</v>
      </c>
      <c r="F354" s="22" t="s">
        <v>957</v>
      </c>
      <c r="G354" s="22" t="s">
        <v>283</v>
      </c>
      <c r="H354" s="29" t="s">
        <v>188</v>
      </c>
    </row>
    <row r="355" ht="20" customHeight="1" spans="1:8" x14ac:dyDescent="0.25">
      <c r="A355" s="24" t="s">
        <v>50</v>
      </c>
      <c r="B355" s="24" t="s">
        <v>40</v>
      </c>
      <c r="C355" s="25" t="s">
        <v>71</v>
      </c>
      <c r="D355" s="33" t="s">
        <v>86</v>
      </c>
      <c r="E355" s="24" t="s">
        <v>12</v>
      </c>
      <c r="F355" s="24" t="s">
        <v>12</v>
      </c>
      <c r="G355" s="24" t="s">
        <v>12</v>
      </c>
      <c r="H355" s="24" t="s">
        <v>32</v>
      </c>
    </row>
    <row r="356" ht="20" customHeight="1" spans="1:8" x14ac:dyDescent="0.25">
      <c r="A356" s="22" t="s">
        <v>51</v>
      </c>
      <c r="B356" s="22" t="s">
        <v>42</v>
      </c>
      <c r="C356" s="23" t="s">
        <v>71</v>
      </c>
      <c r="D356" s="35" t="s">
        <v>86</v>
      </c>
      <c r="E356" s="22" t="s">
        <v>12</v>
      </c>
      <c r="F356" s="22" t="s">
        <v>12</v>
      </c>
      <c r="G356" s="22" t="s">
        <v>12</v>
      </c>
      <c r="H356" s="22" t="s">
        <v>32</v>
      </c>
    </row>
    <row r="357" ht="20" customHeight="1" spans="1:8" x14ac:dyDescent="0.25">
      <c r="A357" s="24" t="s">
        <v>52</v>
      </c>
      <c r="B357" s="24" t="s">
        <v>45</v>
      </c>
      <c r="C357" s="25" t="s">
        <v>71</v>
      </c>
      <c r="D357" s="6" t="s">
        <v>4</v>
      </c>
      <c r="E357" s="24" t="s">
        <v>518</v>
      </c>
      <c r="F357" s="24" t="s">
        <v>772</v>
      </c>
      <c r="G357" s="24" t="s">
        <v>134</v>
      </c>
      <c r="H357" s="30" t="s">
        <v>79</v>
      </c>
    </row>
    <row r="358" ht="20" customHeight="1" spans="1:8" x14ac:dyDescent="0.25">
      <c r="A358" s="22" t="s">
        <v>53</v>
      </c>
      <c r="B358" s="22" t="s">
        <v>31</v>
      </c>
      <c r="C358" s="23" t="s">
        <v>71</v>
      </c>
      <c r="D358" s="6" t="s">
        <v>4</v>
      </c>
      <c r="E358" s="22" t="s">
        <v>348</v>
      </c>
      <c r="F358" s="22" t="s">
        <v>560</v>
      </c>
      <c r="G358" s="22" t="s">
        <v>194</v>
      </c>
      <c r="H358" s="29" t="s">
        <v>351</v>
      </c>
    </row>
    <row r="359" ht="20" customHeight="1" spans="1:8" x14ac:dyDescent="0.25">
      <c r="A359" s="24" t="s">
        <v>54</v>
      </c>
      <c r="B359" s="24" t="s">
        <v>34</v>
      </c>
      <c r="C359" s="25" t="s">
        <v>71</v>
      </c>
      <c r="D359" s="6" t="s">
        <v>4</v>
      </c>
      <c r="E359" s="24" t="s">
        <v>576</v>
      </c>
      <c r="F359" s="24" t="s">
        <v>354</v>
      </c>
      <c r="G359" s="24" t="s">
        <v>147</v>
      </c>
      <c r="H359" s="30" t="s">
        <v>79</v>
      </c>
    </row>
    <row r="360" ht="20" customHeight="1" spans="1:8" x14ac:dyDescent="0.25">
      <c r="A360" s="22" t="s">
        <v>55</v>
      </c>
      <c r="B360" s="22" t="s">
        <v>36</v>
      </c>
      <c r="C360" s="23" t="s">
        <v>71</v>
      </c>
      <c r="D360" s="6" t="s">
        <v>4</v>
      </c>
      <c r="E360" s="22" t="s">
        <v>364</v>
      </c>
      <c r="F360" s="22" t="s">
        <v>373</v>
      </c>
      <c r="G360" s="22" t="s">
        <v>99</v>
      </c>
      <c r="H360" s="32" t="s">
        <v>79</v>
      </c>
    </row>
    <row r="361" ht="20" customHeight="1" spans="1:8" x14ac:dyDescent="0.25">
      <c r="A361" s="24" t="s">
        <v>56</v>
      </c>
      <c r="B361" s="24" t="s">
        <v>38</v>
      </c>
      <c r="C361" s="25" t="s">
        <v>71</v>
      </c>
      <c r="D361" s="6" t="s">
        <v>4</v>
      </c>
      <c r="E361" s="24" t="s">
        <v>635</v>
      </c>
      <c r="F361" s="24" t="s">
        <v>404</v>
      </c>
      <c r="G361" s="24" t="s">
        <v>147</v>
      </c>
      <c r="H361" s="30" t="s">
        <v>79</v>
      </c>
    </row>
    <row r="362" ht="20" customHeight="1" spans="1:8" x14ac:dyDescent="0.25">
      <c r="A362" s="22" t="s">
        <v>57</v>
      </c>
      <c r="B362" s="22" t="s">
        <v>40</v>
      </c>
      <c r="C362" s="23" t="s">
        <v>71</v>
      </c>
      <c r="D362" s="6" t="s">
        <v>4</v>
      </c>
      <c r="E362" s="22" t="s">
        <v>125</v>
      </c>
      <c r="F362" s="22" t="s">
        <v>110</v>
      </c>
      <c r="G362" s="22" t="s">
        <v>646</v>
      </c>
      <c r="H362" s="32" t="s">
        <v>79</v>
      </c>
    </row>
    <row r="363" ht="20" customHeight="1" spans="1:8" x14ac:dyDescent="0.25">
      <c r="A363" s="24" t="s">
        <v>58</v>
      </c>
      <c r="B363" s="24" t="s">
        <v>42</v>
      </c>
      <c r="C363" s="25" t="s">
        <v>71</v>
      </c>
      <c r="D363" s="33" t="s">
        <v>86</v>
      </c>
      <c r="E363" s="24" t="s">
        <v>12</v>
      </c>
      <c r="F363" s="24" t="s">
        <v>12</v>
      </c>
      <c r="G363" s="24" t="s">
        <v>12</v>
      </c>
      <c r="H363" s="24" t="s">
        <v>32</v>
      </c>
    </row>
    <row r="364" ht="20" customHeight="1" spans="1:8" x14ac:dyDescent="0.25">
      <c r="A364" s="22" t="s">
        <v>59</v>
      </c>
      <c r="B364" s="22" t="s">
        <v>45</v>
      </c>
      <c r="C364" s="23" t="s">
        <v>71</v>
      </c>
      <c r="D364" s="6" t="s">
        <v>4</v>
      </c>
      <c r="E364" s="22" t="s">
        <v>383</v>
      </c>
      <c r="F364" s="22" t="s">
        <v>562</v>
      </c>
      <c r="G364" s="22" t="s">
        <v>111</v>
      </c>
      <c r="H364" s="32" t="s">
        <v>79</v>
      </c>
    </row>
    <row r="365" ht="20" customHeight="1" spans="1:8" x14ac:dyDescent="0.25">
      <c r="A365" s="24" t="s">
        <v>60</v>
      </c>
      <c r="B365" s="24" t="s">
        <v>31</v>
      </c>
      <c r="C365" s="25" t="s">
        <v>71</v>
      </c>
      <c r="D365" s="6" t="s">
        <v>4</v>
      </c>
      <c r="E365" s="24" t="s">
        <v>353</v>
      </c>
      <c r="F365" s="24" t="s">
        <v>345</v>
      </c>
      <c r="G365" s="24" t="s">
        <v>475</v>
      </c>
      <c r="H365" s="34" t="s">
        <v>355</v>
      </c>
    </row>
    <row r="366" ht="20" customHeight="1" spans="1:8" x14ac:dyDescent="0.25">
      <c r="A366" s="22" t="s">
        <v>61</v>
      </c>
      <c r="B366" s="22" t="s">
        <v>34</v>
      </c>
      <c r="C366" s="23" t="s">
        <v>71</v>
      </c>
      <c r="D366" s="6" t="s">
        <v>4</v>
      </c>
      <c r="E366" s="22" t="s">
        <v>348</v>
      </c>
      <c r="F366" s="22" t="s">
        <v>376</v>
      </c>
      <c r="G366" s="22" t="s">
        <v>614</v>
      </c>
      <c r="H366" s="29" t="s">
        <v>351</v>
      </c>
    </row>
    <row r="367" ht="20" customHeight="1" spans="1:8" x14ac:dyDescent="0.25">
      <c r="A367" s="24" t="s">
        <v>62</v>
      </c>
      <c r="B367" s="24" t="s">
        <v>36</v>
      </c>
      <c r="C367" s="25" t="s">
        <v>71</v>
      </c>
      <c r="D367" s="6" t="s">
        <v>4</v>
      </c>
      <c r="E367" s="24" t="s">
        <v>518</v>
      </c>
      <c r="F367" s="24" t="s">
        <v>276</v>
      </c>
      <c r="G367" s="24" t="s">
        <v>579</v>
      </c>
      <c r="H367" s="30" t="s">
        <v>79</v>
      </c>
    </row>
    <row r="368" ht="20" customHeight="1" spans="1:8" x14ac:dyDescent="0.25">
      <c r="A368" s="22" t="s">
        <v>63</v>
      </c>
      <c r="B368" s="22" t="s">
        <v>38</v>
      </c>
      <c r="C368" s="23" t="s">
        <v>71</v>
      </c>
      <c r="D368" s="6" t="s">
        <v>4</v>
      </c>
      <c r="E368" s="22" t="s">
        <v>330</v>
      </c>
      <c r="F368" s="22" t="s">
        <v>96</v>
      </c>
      <c r="G368" s="22" t="s">
        <v>614</v>
      </c>
      <c r="H368" s="29" t="s">
        <v>333</v>
      </c>
    </row>
    <row r="369" ht="20" customHeight="1" spans="1:8" x14ac:dyDescent="0.25">
      <c r="A369" s="24" t="s">
        <v>64</v>
      </c>
      <c r="B369" s="24" t="s">
        <v>40</v>
      </c>
      <c r="C369" s="25" t="s">
        <v>71</v>
      </c>
      <c r="D369" s="6" t="s">
        <v>4</v>
      </c>
      <c r="E369" s="24" t="s">
        <v>635</v>
      </c>
      <c r="F369" s="24" t="s">
        <v>112</v>
      </c>
      <c r="G369" s="24" t="s">
        <v>206</v>
      </c>
      <c r="H369" s="30" t="s">
        <v>79</v>
      </c>
    </row>
    <row r="370" ht="20" customHeight="1" spans="1:8" x14ac:dyDescent="0.25">
      <c r="A370" s="22" t="s">
        <v>65</v>
      </c>
      <c r="B370" s="22" t="s">
        <v>42</v>
      </c>
      <c r="C370" s="23" t="s">
        <v>71</v>
      </c>
      <c r="D370" s="35" t="s">
        <v>86</v>
      </c>
      <c r="E370" s="22" t="s">
        <v>12</v>
      </c>
      <c r="F370" s="22" t="s">
        <v>12</v>
      </c>
      <c r="G370" s="22" t="s">
        <v>12</v>
      </c>
      <c r="H370" s="22" t="s">
        <v>32</v>
      </c>
    </row>
    <row r="371" ht="20" customHeight="1" spans="1:8" x14ac:dyDescent="0.25">
      <c r="A371" s="24" t="s">
        <v>66</v>
      </c>
      <c r="B371" s="24" t="s">
        <v>45</v>
      </c>
      <c r="C371" s="25" t="s">
        <v>71</v>
      </c>
      <c r="D371" s="6" t="s">
        <v>4</v>
      </c>
      <c r="E371" s="24" t="s">
        <v>515</v>
      </c>
      <c r="F371" s="24" t="s">
        <v>376</v>
      </c>
      <c r="G371" s="24" t="s">
        <v>165</v>
      </c>
      <c r="H371" s="34" t="s">
        <v>517</v>
      </c>
    </row>
    <row r="372" ht="20" customHeight="1" spans="1:8" x14ac:dyDescent="0.25">
      <c r="A372" s="22" t="s">
        <v>67</v>
      </c>
      <c r="B372" s="22" t="s">
        <v>31</v>
      </c>
      <c r="C372" s="23" t="s">
        <v>71</v>
      </c>
      <c r="D372" s="6" t="s">
        <v>4</v>
      </c>
      <c r="E372" s="22" t="s">
        <v>411</v>
      </c>
      <c r="F372" s="22" t="s">
        <v>374</v>
      </c>
      <c r="G372" s="22" t="s">
        <v>267</v>
      </c>
      <c r="H372" s="32" t="s">
        <v>79</v>
      </c>
    </row>
    <row r="373" ht="20" customHeight="1" spans="1:8" x14ac:dyDescent="0.25">
      <c r="A373" s="24" t="s">
        <v>68</v>
      </c>
      <c r="B373" s="24" t="s">
        <v>34</v>
      </c>
      <c r="C373" s="25" t="s">
        <v>71</v>
      </c>
      <c r="D373" s="6" t="s">
        <v>4</v>
      </c>
      <c r="E373" s="24" t="s">
        <v>361</v>
      </c>
      <c r="F373" s="24" t="s">
        <v>343</v>
      </c>
      <c r="G373" s="24" t="s">
        <v>81</v>
      </c>
      <c r="H373" s="30" t="s">
        <v>79</v>
      </c>
    </row>
    <row r="374" ht="22" customHeight="1" spans="1:8" x14ac:dyDescent="0.25">
      <c r="A374" s="26" t="s">
        <v>69</v>
      </c>
      <c r="B374" s="26"/>
      <c r="C374" s="26"/>
      <c r="D374" s="26"/>
      <c r="E374" s="26"/>
      <c r="F374" s="26"/>
      <c r="G374" s="27" t="s">
        <v>1422</v>
      </c>
      <c r="H374" s="28" t="s">
        <v>12</v>
      </c>
    </row>
    <row r="376" ht="26" customHeight="1" spans="1:8" x14ac:dyDescent="0.25">
      <c r="A376" s="20" t="s">
        <v>1423</v>
      </c>
      <c r="B376" s="20"/>
      <c r="C376" s="20"/>
      <c r="D376" s="20"/>
      <c r="E376" s="20"/>
      <c r="F376" s="20"/>
      <c r="G376" s="20"/>
      <c r="H376" s="20"/>
    </row>
    <row r="377" ht="22" customHeight="1" spans="1:8" x14ac:dyDescent="0.25">
      <c r="A377" s="21" t="s">
        <v>22</v>
      </c>
      <c r="B377" s="21" t="s">
        <v>23</v>
      </c>
      <c r="C377" s="21" t="s">
        <v>24</v>
      </c>
      <c r="D377" s="21" t="s">
        <v>25</v>
      </c>
      <c r="E377" s="21" t="s">
        <v>26</v>
      </c>
      <c r="F377" s="21" t="s">
        <v>27</v>
      </c>
      <c r="G377" s="21" t="s">
        <v>28</v>
      </c>
      <c r="H377" s="21" t="s">
        <v>29</v>
      </c>
    </row>
    <row r="378" ht="20" customHeight="1" spans="1:8" x14ac:dyDescent="0.25">
      <c r="A378" s="22" t="s">
        <v>30</v>
      </c>
      <c r="B378" s="22" t="s">
        <v>31</v>
      </c>
      <c r="C378" s="23" t="s">
        <v>605</v>
      </c>
      <c r="D378" s="6" t="s">
        <v>4</v>
      </c>
      <c r="E378" s="22" t="s">
        <v>262</v>
      </c>
      <c r="F378" s="22" t="s">
        <v>750</v>
      </c>
      <c r="G378" s="22" t="s">
        <v>279</v>
      </c>
      <c r="H378" s="29" t="s">
        <v>264</v>
      </c>
    </row>
    <row r="379" ht="20" customHeight="1" spans="1:8" x14ac:dyDescent="0.25">
      <c r="A379" s="24" t="s">
        <v>33</v>
      </c>
      <c r="B379" s="24" t="s">
        <v>34</v>
      </c>
      <c r="C379" s="25" t="s">
        <v>605</v>
      </c>
      <c r="D379" s="6" t="s">
        <v>4</v>
      </c>
      <c r="E379" s="24" t="s">
        <v>125</v>
      </c>
      <c r="F379" s="24" t="s">
        <v>110</v>
      </c>
      <c r="G379" s="24" t="s">
        <v>187</v>
      </c>
      <c r="H379" s="30" t="s">
        <v>79</v>
      </c>
    </row>
    <row r="380" ht="20" customHeight="1" spans="1:8" x14ac:dyDescent="0.25">
      <c r="A380" s="22" t="s">
        <v>35</v>
      </c>
      <c r="B380" s="22" t="s">
        <v>36</v>
      </c>
      <c r="C380" s="23" t="s">
        <v>605</v>
      </c>
      <c r="D380" s="6" t="s">
        <v>4</v>
      </c>
      <c r="E380" s="22" t="s">
        <v>377</v>
      </c>
      <c r="F380" s="22" t="s">
        <v>344</v>
      </c>
      <c r="G380" s="22" t="s">
        <v>259</v>
      </c>
      <c r="H380" s="29" t="s">
        <v>378</v>
      </c>
    </row>
    <row r="381" ht="20" customHeight="1" spans="1:8" x14ac:dyDescent="0.25">
      <c r="A381" s="24" t="s">
        <v>37</v>
      </c>
      <c r="B381" s="24" t="s">
        <v>38</v>
      </c>
      <c r="C381" s="25" t="s">
        <v>605</v>
      </c>
      <c r="D381" s="31" t="s">
        <v>11</v>
      </c>
      <c r="E381" s="24" t="s">
        <v>12</v>
      </c>
      <c r="F381" s="24" t="s">
        <v>12</v>
      </c>
      <c r="G381" s="24" t="s">
        <v>12</v>
      </c>
      <c r="H381" s="24" t="s">
        <v>32</v>
      </c>
    </row>
    <row r="382" ht="20" customHeight="1" spans="1:8" x14ac:dyDescent="0.25">
      <c r="A382" s="22" t="s">
        <v>39</v>
      </c>
      <c r="B382" s="22" t="s">
        <v>40</v>
      </c>
      <c r="C382" s="23" t="s">
        <v>605</v>
      </c>
      <c r="D382" s="6" t="s">
        <v>4</v>
      </c>
      <c r="E382" s="22" t="s">
        <v>239</v>
      </c>
      <c r="F382" s="22" t="s">
        <v>560</v>
      </c>
      <c r="G382" s="22" t="s">
        <v>267</v>
      </c>
      <c r="H382" s="29" t="s">
        <v>241</v>
      </c>
    </row>
    <row r="383" ht="20" customHeight="1" spans="1:8" x14ac:dyDescent="0.25">
      <c r="A383" s="24" t="s">
        <v>41</v>
      </c>
      <c r="B383" s="24" t="s">
        <v>42</v>
      </c>
      <c r="C383" s="25" t="s">
        <v>605</v>
      </c>
      <c r="D383" s="33" t="s">
        <v>86</v>
      </c>
      <c r="E383" s="24" t="s">
        <v>12</v>
      </c>
      <c r="F383" s="24" t="s">
        <v>12</v>
      </c>
      <c r="G383" s="24" t="s">
        <v>12</v>
      </c>
      <c r="H383" s="24" t="s">
        <v>32</v>
      </c>
    </row>
    <row r="384" ht="20" customHeight="1" spans="1:8" x14ac:dyDescent="0.25">
      <c r="A384" s="22" t="s">
        <v>44</v>
      </c>
      <c r="B384" s="22" t="s">
        <v>45</v>
      </c>
      <c r="C384" s="23" t="s">
        <v>605</v>
      </c>
      <c r="D384" s="6" t="s">
        <v>4</v>
      </c>
      <c r="E384" s="22" t="s">
        <v>515</v>
      </c>
      <c r="F384" s="22" t="s">
        <v>447</v>
      </c>
      <c r="G384" s="22" t="s">
        <v>328</v>
      </c>
      <c r="H384" s="29" t="s">
        <v>517</v>
      </c>
    </row>
    <row r="385" ht="20" customHeight="1" spans="1:8" x14ac:dyDescent="0.25">
      <c r="A385" s="24" t="s">
        <v>46</v>
      </c>
      <c r="B385" s="24" t="s">
        <v>31</v>
      </c>
      <c r="C385" s="25" t="s">
        <v>605</v>
      </c>
      <c r="D385" s="6" t="s">
        <v>4</v>
      </c>
      <c r="E385" s="24" t="s">
        <v>208</v>
      </c>
      <c r="F385" s="24" t="s">
        <v>170</v>
      </c>
      <c r="G385" s="24" t="s">
        <v>259</v>
      </c>
      <c r="H385" s="34" t="s">
        <v>210</v>
      </c>
    </row>
    <row r="386" ht="20" customHeight="1" spans="1:8" x14ac:dyDescent="0.25">
      <c r="A386" s="22" t="s">
        <v>47</v>
      </c>
      <c r="B386" s="22" t="s">
        <v>34</v>
      </c>
      <c r="C386" s="23" t="s">
        <v>605</v>
      </c>
      <c r="D386" s="6" t="s">
        <v>4</v>
      </c>
      <c r="E386" s="22" t="s">
        <v>152</v>
      </c>
      <c r="F386" s="22" t="s">
        <v>237</v>
      </c>
      <c r="G386" s="22" t="s">
        <v>493</v>
      </c>
      <c r="H386" s="29" t="s">
        <v>155</v>
      </c>
    </row>
    <row r="387" ht="20" customHeight="1" spans="1:8" x14ac:dyDescent="0.25">
      <c r="A387" s="24" t="s">
        <v>48</v>
      </c>
      <c r="B387" s="24" t="s">
        <v>36</v>
      </c>
      <c r="C387" s="25" t="s">
        <v>605</v>
      </c>
      <c r="D387" s="6" t="s">
        <v>4</v>
      </c>
      <c r="E387" s="24" t="s">
        <v>239</v>
      </c>
      <c r="F387" s="24" t="s">
        <v>153</v>
      </c>
      <c r="G387" s="24" t="s">
        <v>194</v>
      </c>
      <c r="H387" s="34" t="s">
        <v>241</v>
      </c>
    </row>
    <row r="388" ht="20" customHeight="1" spans="1:8" x14ac:dyDescent="0.25">
      <c r="A388" s="22" t="s">
        <v>49</v>
      </c>
      <c r="B388" s="22" t="s">
        <v>38</v>
      </c>
      <c r="C388" s="23" t="s">
        <v>605</v>
      </c>
      <c r="D388" s="6" t="s">
        <v>4</v>
      </c>
      <c r="E388" s="22" t="s">
        <v>234</v>
      </c>
      <c r="F388" s="22" t="s">
        <v>301</v>
      </c>
      <c r="G388" s="22" t="s">
        <v>267</v>
      </c>
      <c r="H388" s="29" t="s">
        <v>236</v>
      </c>
    </row>
    <row r="389" ht="20" customHeight="1" spans="1:8" x14ac:dyDescent="0.25">
      <c r="A389" s="24" t="s">
        <v>50</v>
      </c>
      <c r="B389" s="24" t="s">
        <v>40</v>
      </c>
      <c r="C389" s="25" t="s">
        <v>605</v>
      </c>
      <c r="D389" s="33" t="s">
        <v>86</v>
      </c>
      <c r="E389" s="24" t="s">
        <v>12</v>
      </c>
      <c r="F389" s="24" t="s">
        <v>12</v>
      </c>
      <c r="G389" s="24" t="s">
        <v>12</v>
      </c>
      <c r="H389" s="24" t="s">
        <v>32</v>
      </c>
    </row>
    <row r="390" ht="20" customHeight="1" spans="1:8" x14ac:dyDescent="0.25">
      <c r="A390" s="22" t="s">
        <v>51</v>
      </c>
      <c r="B390" s="22" t="s">
        <v>42</v>
      </c>
      <c r="C390" s="23" t="s">
        <v>605</v>
      </c>
      <c r="D390" s="35" t="s">
        <v>86</v>
      </c>
      <c r="E390" s="22" t="s">
        <v>12</v>
      </c>
      <c r="F390" s="22" t="s">
        <v>12</v>
      </c>
      <c r="G390" s="22" t="s">
        <v>12</v>
      </c>
      <c r="H390" s="22" t="s">
        <v>32</v>
      </c>
    </row>
    <row r="391" ht="20" customHeight="1" spans="1:8" x14ac:dyDescent="0.25">
      <c r="A391" s="24" t="s">
        <v>52</v>
      </c>
      <c r="B391" s="24" t="s">
        <v>45</v>
      </c>
      <c r="C391" s="25" t="s">
        <v>605</v>
      </c>
      <c r="D391" s="6" t="s">
        <v>4</v>
      </c>
      <c r="E391" s="24" t="s">
        <v>644</v>
      </c>
      <c r="F391" s="24" t="s">
        <v>235</v>
      </c>
      <c r="G391" s="24" t="s">
        <v>259</v>
      </c>
      <c r="H391" s="34" t="s">
        <v>645</v>
      </c>
    </row>
    <row r="392" ht="20" customHeight="1" spans="1:8" x14ac:dyDescent="0.25">
      <c r="A392" s="22" t="s">
        <v>53</v>
      </c>
      <c r="B392" s="22" t="s">
        <v>31</v>
      </c>
      <c r="C392" s="23" t="s">
        <v>605</v>
      </c>
      <c r="D392" s="6" t="s">
        <v>4</v>
      </c>
      <c r="E392" s="22" t="s">
        <v>356</v>
      </c>
      <c r="F392" s="22" t="s">
        <v>376</v>
      </c>
      <c r="G392" s="22" t="s">
        <v>614</v>
      </c>
      <c r="H392" s="29" t="s">
        <v>357</v>
      </c>
    </row>
    <row r="393" ht="20" customHeight="1" spans="1:8" x14ac:dyDescent="0.25">
      <c r="A393" s="24" t="s">
        <v>54</v>
      </c>
      <c r="B393" s="24" t="s">
        <v>34</v>
      </c>
      <c r="C393" s="25" t="s">
        <v>605</v>
      </c>
      <c r="D393" s="6" t="s">
        <v>4</v>
      </c>
      <c r="E393" s="24" t="s">
        <v>515</v>
      </c>
      <c r="F393" s="24" t="s">
        <v>436</v>
      </c>
      <c r="G393" s="24" t="s">
        <v>496</v>
      </c>
      <c r="H393" s="34" t="s">
        <v>517</v>
      </c>
    </row>
    <row r="394" ht="20" customHeight="1" spans="1:8" x14ac:dyDescent="0.25">
      <c r="A394" s="22" t="s">
        <v>55</v>
      </c>
      <c r="B394" s="22" t="s">
        <v>36</v>
      </c>
      <c r="C394" s="23" t="s">
        <v>605</v>
      </c>
      <c r="D394" s="6" t="s">
        <v>4</v>
      </c>
      <c r="E394" s="22" t="s">
        <v>224</v>
      </c>
      <c r="F394" s="22" t="s">
        <v>301</v>
      </c>
      <c r="G394" s="22" t="s">
        <v>232</v>
      </c>
      <c r="H394" s="29" t="s">
        <v>227</v>
      </c>
    </row>
    <row r="395" ht="20" customHeight="1" spans="1:8" x14ac:dyDescent="0.25">
      <c r="A395" s="24" t="s">
        <v>56</v>
      </c>
      <c r="B395" s="24" t="s">
        <v>38</v>
      </c>
      <c r="C395" s="25" t="s">
        <v>605</v>
      </c>
      <c r="D395" s="6" t="s">
        <v>4</v>
      </c>
      <c r="E395" s="24" t="s">
        <v>547</v>
      </c>
      <c r="F395" s="24" t="s">
        <v>293</v>
      </c>
      <c r="G395" s="24" t="s">
        <v>496</v>
      </c>
      <c r="H395" s="34" t="s">
        <v>548</v>
      </c>
    </row>
    <row r="396" ht="20" customHeight="1" spans="1:8" x14ac:dyDescent="0.25">
      <c r="A396" s="22" t="s">
        <v>57</v>
      </c>
      <c r="B396" s="22" t="s">
        <v>40</v>
      </c>
      <c r="C396" s="23" t="s">
        <v>605</v>
      </c>
      <c r="D396" s="6" t="s">
        <v>4</v>
      </c>
      <c r="E396" s="22" t="s">
        <v>564</v>
      </c>
      <c r="F396" s="22" t="s">
        <v>438</v>
      </c>
      <c r="G396" s="22" t="s">
        <v>328</v>
      </c>
      <c r="H396" s="32" t="s">
        <v>79</v>
      </c>
    </row>
    <row r="397" ht="20" customHeight="1" spans="1:8" x14ac:dyDescent="0.25">
      <c r="A397" s="24" t="s">
        <v>58</v>
      </c>
      <c r="B397" s="24" t="s">
        <v>42</v>
      </c>
      <c r="C397" s="25" t="s">
        <v>605</v>
      </c>
      <c r="D397" s="33" t="s">
        <v>86</v>
      </c>
      <c r="E397" s="24" t="s">
        <v>12</v>
      </c>
      <c r="F397" s="24" t="s">
        <v>12</v>
      </c>
      <c r="G397" s="24" t="s">
        <v>12</v>
      </c>
      <c r="H397" s="24" t="s">
        <v>32</v>
      </c>
    </row>
    <row r="398" ht="20" customHeight="1" spans="1:8" x14ac:dyDescent="0.25">
      <c r="A398" s="22" t="s">
        <v>59</v>
      </c>
      <c r="B398" s="22" t="s">
        <v>45</v>
      </c>
      <c r="C398" s="23" t="s">
        <v>605</v>
      </c>
      <c r="D398" s="6" t="s">
        <v>4</v>
      </c>
      <c r="E398" s="22" t="s">
        <v>234</v>
      </c>
      <c r="F398" s="22" t="s">
        <v>349</v>
      </c>
      <c r="G398" s="22" t="s">
        <v>1384</v>
      </c>
      <c r="H398" s="29" t="s">
        <v>236</v>
      </c>
    </row>
    <row r="399" ht="20" customHeight="1" spans="1:8" x14ac:dyDescent="0.25">
      <c r="A399" s="24" t="s">
        <v>60</v>
      </c>
      <c r="B399" s="24" t="s">
        <v>31</v>
      </c>
      <c r="C399" s="25" t="s">
        <v>605</v>
      </c>
      <c r="D399" s="6" t="s">
        <v>4</v>
      </c>
      <c r="E399" s="24" t="s">
        <v>644</v>
      </c>
      <c r="F399" s="24" t="s">
        <v>255</v>
      </c>
      <c r="G399" s="24" t="s">
        <v>81</v>
      </c>
      <c r="H399" s="34" t="s">
        <v>645</v>
      </c>
    </row>
    <row r="400" ht="20" customHeight="1" spans="1:8" x14ac:dyDescent="0.25">
      <c r="A400" s="22" t="s">
        <v>61</v>
      </c>
      <c r="B400" s="22" t="s">
        <v>34</v>
      </c>
      <c r="C400" s="23" t="s">
        <v>605</v>
      </c>
      <c r="D400" s="6" t="s">
        <v>4</v>
      </c>
      <c r="E400" s="22" t="s">
        <v>201</v>
      </c>
      <c r="F400" s="22" t="s">
        <v>12</v>
      </c>
      <c r="G400" s="22" t="s">
        <v>12</v>
      </c>
      <c r="H400" s="29" t="s">
        <v>204</v>
      </c>
    </row>
    <row r="401" ht="20" customHeight="1" spans="1:8" x14ac:dyDescent="0.25">
      <c r="A401" s="24" t="s">
        <v>62</v>
      </c>
      <c r="B401" s="24" t="s">
        <v>36</v>
      </c>
      <c r="C401" s="25" t="s">
        <v>605</v>
      </c>
      <c r="D401" s="10" t="s">
        <v>87</v>
      </c>
      <c r="E401" s="24" t="s">
        <v>12</v>
      </c>
      <c r="F401" s="24" t="s">
        <v>12</v>
      </c>
      <c r="G401" s="24" t="s">
        <v>12</v>
      </c>
      <c r="H401" s="24" t="s">
        <v>32</v>
      </c>
    </row>
    <row r="402" ht="20" customHeight="1" spans="1:8" x14ac:dyDescent="0.25">
      <c r="A402" s="22" t="s">
        <v>63</v>
      </c>
      <c r="B402" s="22" t="s">
        <v>38</v>
      </c>
      <c r="C402" s="23" t="s">
        <v>605</v>
      </c>
      <c r="D402" s="10" t="s">
        <v>87</v>
      </c>
      <c r="E402" s="22" t="s">
        <v>12</v>
      </c>
      <c r="F402" s="22" t="s">
        <v>12</v>
      </c>
      <c r="G402" s="22" t="s">
        <v>12</v>
      </c>
      <c r="H402" s="22" t="s">
        <v>32</v>
      </c>
    </row>
    <row r="403" ht="20" customHeight="1" spans="1:8" x14ac:dyDescent="0.25">
      <c r="A403" s="24" t="s">
        <v>64</v>
      </c>
      <c r="B403" s="24" t="s">
        <v>40</v>
      </c>
      <c r="C403" s="25" t="s">
        <v>605</v>
      </c>
      <c r="D403" s="10" t="s">
        <v>87</v>
      </c>
      <c r="E403" s="24" t="s">
        <v>12</v>
      </c>
      <c r="F403" s="24" t="s">
        <v>12</v>
      </c>
      <c r="G403" s="24" t="s">
        <v>12</v>
      </c>
      <c r="H403" s="24" t="s">
        <v>32</v>
      </c>
    </row>
    <row r="404" ht="20" customHeight="1" spans="1:8" x14ac:dyDescent="0.25">
      <c r="A404" s="22" t="s">
        <v>65</v>
      </c>
      <c r="B404" s="22" t="s">
        <v>42</v>
      </c>
      <c r="C404" s="23" t="s">
        <v>605</v>
      </c>
      <c r="D404" s="10" t="s">
        <v>87</v>
      </c>
      <c r="E404" s="22" t="s">
        <v>12</v>
      </c>
      <c r="F404" s="22" t="s">
        <v>12</v>
      </c>
      <c r="G404" s="22" t="s">
        <v>12</v>
      </c>
      <c r="H404" s="22" t="s">
        <v>32</v>
      </c>
    </row>
    <row r="405" ht="20" customHeight="1" spans="1:8" x14ac:dyDescent="0.25">
      <c r="A405" s="24" t="s">
        <v>66</v>
      </c>
      <c r="B405" s="24" t="s">
        <v>45</v>
      </c>
      <c r="C405" s="25" t="s">
        <v>605</v>
      </c>
      <c r="D405" s="10" t="s">
        <v>87</v>
      </c>
      <c r="E405" s="24" t="s">
        <v>12</v>
      </c>
      <c r="F405" s="24" t="s">
        <v>12</v>
      </c>
      <c r="G405" s="24" t="s">
        <v>12</v>
      </c>
      <c r="H405" s="24" t="s">
        <v>32</v>
      </c>
    </row>
    <row r="406" ht="20" customHeight="1" spans="1:8" x14ac:dyDescent="0.25">
      <c r="A406" s="22" t="s">
        <v>67</v>
      </c>
      <c r="B406" s="22" t="s">
        <v>31</v>
      </c>
      <c r="C406" s="23" t="s">
        <v>605</v>
      </c>
      <c r="D406" s="10" t="s">
        <v>87</v>
      </c>
      <c r="E406" s="22" t="s">
        <v>12</v>
      </c>
      <c r="F406" s="22" t="s">
        <v>12</v>
      </c>
      <c r="G406" s="22" t="s">
        <v>12</v>
      </c>
      <c r="H406" s="22" t="s">
        <v>32</v>
      </c>
    </row>
    <row r="407" ht="20" customHeight="1" spans="1:8" x14ac:dyDescent="0.25">
      <c r="A407" s="24" t="s">
        <v>68</v>
      </c>
      <c r="B407" s="24" t="s">
        <v>34</v>
      </c>
      <c r="C407" s="25" t="s">
        <v>605</v>
      </c>
      <c r="D407" s="10" t="s">
        <v>87</v>
      </c>
      <c r="E407" s="24" t="s">
        <v>12</v>
      </c>
      <c r="F407" s="24" t="s">
        <v>12</v>
      </c>
      <c r="G407" s="24" t="s">
        <v>12</v>
      </c>
      <c r="H407" s="24" t="s">
        <v>32</v>
      </c>
    </row>
    <row r="408" ht="22" customHeight="1" spans="1:8" x14ac:dyDescent="0.25">
      <c r="A408" s="26" t="s">
        <v>69</v>
      </c>
      <c r="B408" s="26"/>
      <c r="C408" s="26"/>
      <c r="D408" s="26"/>
      <c r="E408" s="26"/>
      <c r="F408" s="26"/>
      <c r="G408" s="27" t="s">
        <v>1424</v>
      </c>
      <c r="H408" s="28" t="s">
        <v>12</v>
      </c>
    </row>
    <row r="410" ht="26" customHeight="1" spans="1:8" x14ac:dyDescent="0.25">
      <c r="A410" s="20" t="s">
        <v>1425</v>
      </c>
      <c r="B410" s="20"/>
      <c r="C410" s="20"/>
      <c r="D410" s="20"/>
      <c r="E410" s="20"/>
      <c r="F410" s="20"/>
      <c r="G410" s="20"/>
      <c r="H410" s="20"/>
    </row>
    <row r="411" ht="22" customHeight="1" spans="1:8" x14ac:dyDescent="0.25">
      <c r="A411" s="21" t="s">
        <v>22</v>
      </c>
      <c r="B411" s="21" t="s">
        <v>23</v>
      </c>
      <c r="C411" s="21" t="s">
        <v>24</v>
      </c>
      <c r="D411" s="21" t="s">
        <v>25</v>
      </c>
      <c r="E411" s="21" t="s">
        <v>26</v>
      </c>
      <c r="F411" s="21" t="s">
        <v>27</v>
      </c>
      <c r="G411" s="21" t="s">
        <v>28</v>
      </c>
      <c r="H411" s="21" t="s">
        <v>29</v>
      </c>
    </row>
    <row r="412" ht="20" customHeight="1" spans="1:8" x14ac:dyDescent="0.25">
      <c r="A412" s="22" t="s">
        <v>30</v>
      </c>
      <c r="B412" s="22" t="s">
        <v>31</v>
      </c>
      <c r="C412" s="23" t="s">
        <v>71</v>
      </c>
      <c r="D412" s="6" t="s">
        <v>4</v>
      </c>
      <c r="E412" s="22" t="s">
        <v>322</v>
      </c>
      <c r="F412" s="22" t="s">
        <v>338</v>
      </c>
      <c r="G412" s="22" t="s">
        <v>259</v>
      </c>
      <c r="H412" s="29" t="s">
        <v>323</v>
      </c>
    </row>
    <row r="413" ht="20" customHeight="1" spans="1:8" x14ac:dyDescent="0.25">
      <c r="A413" s="24" t="s">
        <v>33</v>
      </c>
      <c r="B413" s="24" t="s">
        <v>34</v>
      </c>
      <c r="C413" s="25" t="s">
        <v>71</v>
      </c>
      <c r="D413" s="6" t="s">
        <v>4</v>
      </c>
      <c r="E413" s="24" t="s">
        <v>169</v>
      </c>
      <c r="F413" s="24" t="s">
        <v>170</v>
      </c>
      <c r="G413" s="24" t="s">
        <v>171</v>
      </c>
      <c r="H413" s="34" t="s">
        <v>172</v>
      </c>
    </row>
    <row r="414" ht="20" customHeight="1" spans="1:8" x14ac:dyDescent="0.25">
      <c r="A414" s="22" t="s">
        <v>35</v>
      </c>
      <c r="B414" s="22" t="s">
        <v>36</v>
      </c>
      <c r="C414" s="23" t="s">
        <v>71</v>
      </c>
      <c r="D414" s="6" t="s">
        <v>4</v>
      </c>
      <c r="E414" s="22" t="s">
        <v>230</v>
      </c>
      <c r="F414" s="22" t="s">
        <v>636</v>
      </c>
      <c r="G414" s="22" t="s">
        <v>99</v>
      </c>
      <c r="H414" s="29" t="s">
        <v>233</v>
      </c>
    </row>
    <row r="415" ht="20" customHeight="1" spans="1:8" x14ac:dyDescent="0.25">
      <c r="A415" s="24" t="s">
        <v>37</v>
      </c>
      <c r="B415" s="24" t="s">
        <v>38</v>
      </c>
      <c r="C415" s="25" t="s">
        <v>71</v>
      </c>
      <c r="D415" s="31" t="s">
        <v>11</v>
      </c>
      <c r="E415" s="24" t="s">
        <v>12</v>
      </c>
      <c r="F415" s="24" t="s">
        <v>12</v>
      </c>
      <c r="G415" s="24" t="s">
        <v>12</v>
      </c>
      <c r="H415" s="24" t="s">
        <v>32</v>
      </c>
    </row>
    <row r="416" ht="20" customHeight="1" spans="1:8" x14ac:dyDescent="0.25">
      <c r="A416" s="22" t="s">
        <v>39</v>
      </c>
      <c r="B416" s="22" t="s">
        <v>40</v>
      </c>
      <c r="C416" s="23" t="s">
        <v>71</v>
      </c>
      <c r="D416" s="6" t="s">
        <v>4</v>
      </c>
      <c r="E416" s="22" t="s">
        <v>639</v>
      </c>
      <c r="F416" s="22" t="s">
        <v>373</v>
      </c>
      <c r="G416" s="22" t="s">
        <v>267</v>
      </c>
      <c r="H416" s="32" t="s">
        <v>79</v>
      </c>
    </row>
    <row r="417" ht="20" customHeight="1" spans="1:8" x14ac:dyDescent="0.25">
      <c r="A417" s="24" t="s">
        <v>41</v>
      </c>
      <c r="B417" s="24" t="s">
        <v>42</v>
      </c>
      <c r="C417" s="25" t="s">
        <v>71</v>
      </c>
      <c r="D417" s="33" t="s">
        <v>86</v>
      </c>
      <c r="E417" s="24" t="s">
        <v>12</v>
      </c>
      <c r="F417" s="24" t="s">
        <v>12</v>
      </c>
      <c r="G417" s="24" t="s">
        <v>12</v>
      </c>
      <c r="H417" s="24" t="s">
        <v>32</v>
      </c>
    </row>
    <row r="418" ht="20" customHeight="1" spans="1:8" x14ac:dyDescent="0.25">
      <c r="A418" s="22" t="s">
        <v>44</v>
      </c>
      <c r="B418" s="22" t="s">
        <v>45</v>
      </c>
      <c r="C418" s="23" t="s">
        <v>71</v>
      </c>
      <c r="D418" s="6" t="s">
        <v>4</v>
      </c>
      <c r="E418" s="22" t="s">
        <v>320</v>
      </c>
      <c r="F418" s="22" t="s">
        <v>182</v>
      </c>
      <c r="G418" s="22" t="s">
        <v>279</v>
      </c>
      <c r="H418" s="32" t="s">
        <v>79</v>
      </c>
    </row>
    <row r="419" ht="20" customHeight="1" spans="1:8" x14ac:dyDescent="0.25">
      <c r="A419" s="24" t="s">
        <v>46</v>
      </c>
      <c r="B419" s="24" t="s">
        <v>31</v>
      </c>
      <c r="C419" s="25" t="s">
        <v>71</v>
      </c>
      <c r="D419" s="6" t="s">
        <v>4</v>
      </c>
      <c r="E419" s="24" t="s">
        <v>199</v>
      </c>
      <c r="F419" s="24" t="s">
        <v>560</v>
      </c>
      <c r="G419" s="24" t="s">
        <v>99</v>
      </c>
      <c r="H419" s="34" t="s">
        <v>200</v>
      </c>
    </row>
    <row r="420" ht="20" customHeight="1" spans="1:8" x14ac:dyDescent="0.25">
      <c r="A420" s="22" t="s">
        <v>47</v>
      </c>
      <c r="B420" s="22" t="s">
        <v>34</v>
      </c>
      <c r="C420" s="23" t="s">
        <v>71</v>
      </c>
      <c r="D420" s="6" t="s">
        <v>4</v>
      </c>
      <c r="E420" s="22" t="s">
        <v>251</v>
      </c>
      <c r="F420" s="22" t="s">
        <v>252</v>
      </c>
      <c r="G420" s="22" t="s">
        <v>99</v>
      </c>
      <c r="H420" s="29" t="s">
        <v>253</v>
      </c>
    </row>
    <row r="421" ht="20" customHeight="1" spans="1:8" x14ac:dyDescent="0.25">
      <c r="A421" s="24" t="s">
        <v>48</v>
      </c>
      <c r="B421" s="24" t="s">
        <v>36</v>
      </c>
      <c r="C421" s="25" t="s">
        <v>71</v>
      </c>
      <c r="D421" s="6" t="s">
        <v>4</v>
      </c>
      <c r="E421" s="24" t="s">
        <v>199</v>
      </c>
      <c r="F421" s="24" t="s">
        <v>153</v>
      </c>
      <c r="G421" s="24" t="s">
        <v>161</v>
      </c>
      <c r="H421" s="34" t="s">
        <v>200</v>
      </c>
    </row>
    <row r="422" ht="20" customHeight="1" spans="1:8" x14ac:dyDescent="0.25">
      <c r="A422" s="22" t="s">
        <v>49</v>
      </c>
      <c r="B422" s="22" t="s">
        <v>38</v>
      </c>
      <c r="C422" s="23" t="s">
        <v>71</v>
      </c>
      <c r="D422" s="6" t="s">
        <v>4</v>
      </c>
      <c r="E422" s="22" t="s">
        <v>441</v>
      </c>
      <c r="F422" s="22" t="s">
        <v>12</v>
      </c>
      <c r="G422" s="22" t="s">
        <v>12</v>
      </c>
      <c r="H422" s="32" t="s">
        <v>79</v>
      </c>
    </row>
    <row r="423" ht="20" customHeight="1" spans="1:8" x14ac:dyDescent="0.25">
      <c r="A423" s="24" t="s">
        <v>50</v>
      </c>
      <c r="B423" s="24" t="s">
        <v>40</v>
      </c>
      <c r="C423" s="25" t="s">
        <v>71</v>
      </c>
      <c r="D423" s="33" t="s">
        <v>86</v>
      </c>
      <c r="E423" s="24" t="s">
        <v>12</v>
      </c>
      <c r="F423" s="24" t="s">
        <v>12</v>
      </c>
      <c r="G423" s="24" t="s">
        <v>12</v>
      </c>
      <c r="H423" s="24" t="s">
        <v>32</v>
      </c>
    </row>
    <row r="424" ht="20" customHeight="1" spans="1:8" x14ac:dyDescent="0.25">
      <c r="A424" s="22" t="s">
        <v>51</v>
      </c>
      <c r="B424" s="22" t="s">
        <v>42</v>
      </c>
      <c r="C424" s="23" t="s">
        <v>71</v>
      </c>
      <c r="D424" s="35" t="s">
        <v>86</v>
      </c>
      <c r="E424" s="22" t="s">
        <v>12</v>
      </c>
      <c r="F424" s="22" t="s">
        <v>12</v>
      </c>
      <c r="G424" s="22" t="s">
        <v>12</v>
      </c>
      <c r="H424" s="22" t="s">
        <v>32</v>
      </c>
    </row>
    <row r="425" ht="20" customHeight="1" spans="1:8" x14ac:dyDescent="0.25">
      <c r="A425" s="24" t="s">
        <v>52</v>
      </c>
      <c r="B425" s="24" t="s">
        <v>45</v>
      </c>
      <c r="C425" s="25" t="s">
        <v>71</v>
      </c>
      <c r="D425" s="6" t="s">
        <v>4</v>
      </c>
      <c r="E425" s="24" t="s">
        <v>547</v>
      </c>
      <c r="F425" s="24" t="s">
        <v>12</v>
      </c>
      <c r="G425" s="24" t="s">
        <v>12</v>
      </c>
      <c r="H425" s="34" t="s">
        <v>548</v>
      </c>
    </row>
    <row r="426" ht="20" customHeight="1" spans="1:8" x14ac:dyDescent="0.25">
      <c r="A426" s="22" t="s">
        <v>53</v>
      </c>
      <c r="B426" s="22" t="s">
        <v>31</v>
      </c>
      <c r="C426" s="23" t="s">
        <v>71</v>
      </c>
      <c r="D426" s="6" t="s">
        <v>4</v>
      </c>
      <c r="E426" s="22" t="s">
        <v>403</v>
      </c>
      <c r="F426" s="22" t="s">
        <v>112</v>
      </c>
      <c r="G426" s="22" t="s">
        <v>481</v>
      </c>
      <c r="H426" s="32" t="s">
        <v>79</v>
      </c>
    </row>
    <row r="427" ht="20" customHeight="1" spans="1:8" x14ac:dyDescent="0.25">
      <c r="A427" s="24" t="s">
        <v>54</v>
      </c>
      <c r="B427" s="24" t="s">
        <v>34</v>
      </c>
      <c r="C427" s="25" t="s">
        <v>71</v>
      </c>
      <c r="D427" s="6" t="s">
        <v>4</v>
      </c>
      <c r="E427" s="24" t="s">
        <v>224</v>
      </c>
      <c r="F427" s="24" t="s">
        <v>213</v>
      </c>
      <c r="G427" s="24" t="s">
        <v>99</v>
      </c>
      <c r="H427" s="34" t="s">
        <v>227</v>
      </c>
    </row>
    <row r="428" ht="20" customHeight="1" spans="1:8" x14ac:dyDescent="0.25">
      <c r="A428" s="22" t="s">
        <v>55</v>
      </c>
      <c r="B428" s="22" t="s">
        <v>36</v>
      </c>
      <c r="C428" s="23" t="s">
        <v>71</v>
      </c>
      <c r="D428" s="6" t="s">
        <v>4</v>
      </c>
      <c r="E428" s="22" t="s">
        <v>1357</v>
      </c>
      <c r="F428" s="22" t="s">
        <v>772</v>
      </c>
      <c r="G428" s="22" t="s">
        <v>1167</v>
      </c>
      <c r="H428" s="32" t="s">
        <v>79</v>
      </c>
    </row>
    <row r="429" ht="20" customHeight="1" spans="1:8" x14ac:dyDescent="0.25">
      <c r="A429" s="24" t="s">
        <v>56</v>
      </c>
      <c r="B429" s="24" t="s">
        <v>38</v>
      </c>
      <c r="C429" s="25" t="s">
        <v>71</v>
      </c>
      <c r="D429" s="10" t="s">
        <v>87</v>
      </c>
      <c r="E429" s="24" t="s">
        <v>12</v>
      </c>
      <c r="F429" s="24" t="s">
        <v>12</v>
      </c>
      <c r="G429" s="24" t="s">
        <v>12</v>
      </c>
      <c r="H429" s="24" t="s">
        <v>32</v>
      </c>
    </row>
    <row r="430" ht="20" customHeight="1" spans="1:8" x14ac:dyDescent="0.25">
      <c r="A430" s="22" t="s">
        <v>57</v>
      </c>
      <c r="B430" s="22" t="s">
        <v>40</v>
      </c>
      <c r="C430" s="23" t="s">
        <v>71</v>
      </c>
      <c r="D430" s="6" t="s">
        <v>4</v>
      </c>
      <c r="E430" s="22" t="s">
        <v>409</v>
      </c>
      <c r="F430" s="22" t="s">
        <v>225</v>
      </c>
      <c r="G430" s="22" t="s">
        <v>281</v>
      </c>
      <c r="H430" s="32" t="s">
        <v>79</v>
      </c>
    </row>
    <row r="431" ht="20" customHeight="1" spans="1:8" x14ac:dyDescent="0.25">
      <c r="A431" s="24" t="s">
        <v>58</v>
      </c>
      <c r="B431" s="24" t="s">
        <v>42</v>
      </c>
      <c r="C431" s="25" t="s">
        <v>71</v>
      </c>
      <c r="D431" s="33" t="s">
        <v>86</v>
      </c>
      <c r="E431" s="24" t="s">
        <v>12</v>
      </c>
      <c r="F431" s="24" t="s">
        <v>12</v>
      </c>
      <c r="G431" s="24" t="s">
        <v>12</v>
      </c>
      <c r="H431" s="24" t="s">
        <v>32</v>
      </c>
    </row>
    <row r="432" ht="20" customHeight="1" spans="1:8" x14ac:dyDescent="0.25">
      <c r="A432" s="22" t="s">
        <v>59</v>
      </c>
      <c r="B432" s="22" t="s">
        <v>45</v>
      </c>
      <c r="C432" s="23" t="s">
        <v>71</v>
      </c>
      <c r="D432" s="6" t="s">
        <v>4</v>
      </c>
      <c r="E432" s="22" t="s">
        <v>205</v>
      </c>
      <c r="F432" s="22" t="s">
        <v>998</v>
      </c>
      <c r="G432" s="22" t="s">
        <v>291</v>
      </c>
      <c r="H432" s="29" t="s">
        <v>207</v>
      </c>
    </row>
    <row r="433" ht="20" customHeight="1" spans="1:8" x14ac:dyDescent="0.25">
      <c r="A433" s="24" t="s">
        <v>60</v>
      </c>
      <c r="B433" s="24" t="s">
        <v>31</v>
      </c>
      <c r="C433" s="25" t="s">
        <v>71</v>
      </c>
      <c r="D433" s="6" t="s">
        <v>4</v>
      </c>
      <c r="E433" s="24" t="s">
        <v>576</v>
      </c>
      <c r="F433" s="24" t="s">
        <v>404</v>
      </c>
      <c r="G433" s="24" t="s">
        <v>285</v>
      </c>
      <c r="H433" s="30" t="s">
        <v>79</v>
      </c>
    </row>
    <row r="434" ht="20" customHeight="1" spans="1:8" x14ac:dyDescent="0.25">
      <c r="A434" s="22" t="s">
        <v>61</v>
      </c>
      <c r="B434" s="22" t="s">
        <v>34</v>
      </c>
      <c r="C434" s="23" t="s">
        <v>71</v>
      </c>
      <c r="D434" s="6" t="s">
        <v>4</v>
      </c>
      <c r="E434" s="22" t="s">
        <v>125</v>
      </c>
      <c r="F434" s="22" t="s">
        <v>636</v>
      </c>
      <c r="G434" s="22" t="s">
        <v>203</v>
      </c>
      <c r="H434" s="32" t="s">
        <v>79</v>
      </c>
    </row>
    <row r="435" ht="20" customHeight="1" spans="1:8" x14ac:dyDescent="0.25">
      <c r="A435" s="24" t="s">
        <v>62</v>
      </c>
      <c r="B435" s="24" t="s">
        <v>36</v>
      </c>
      <c r="C435" s="25" t="s">
        <v>71</v>
      </c>
      <c r="D435" s="6" t="s">
        <v>4</v>
      </c>
      <c r="E435" s="24" t="s">
        <v>322</v>
      </c>
      <c r="F435" s="24" t="s">
        <v>636</v>
      </c>
      <c r="G435" s="24" t="s">
        <v>206</v>
      </c>
      <c r="H435" s="34" t="s">
        <v>323</v>
      </c>
    </row>
    <row r="436" ht="20" customHeight="1" spans="1:8" x14ac:dyDescent="0.25">
      <c r="A436" s="22" t="s">
        <v>63</v>
      </c>
      <c r="B436" s="22" t="s">
        <v>38</v>
      </c>
      <c r="C436" s="23" t="s">
        <v>71</v>
      </c>
      <c r="D436" s="6" t="s">
        <v>4</v>
      </c>
      <c r="E436" s="22" t="s">
        <v>125</v>
      </c>
      <c r="F436" s="22" t="s">
        <v>235</v>
      </c>
      <c r="G436" s="22" t="s">
        <v>281</v>
      </c>
      <c r="H436" s="32" t="s">
        <v>79</v>
      </c>
    </row>
    <row r="437" ht="20" customHeight="1" spans="1:8" x14ac:dyDescent="0.25">
      <c r="A437" s="24" t="s">
        <v>64</v>
      </c>
      <c r="B437" s="24" t="s">
        <v>40</v>
      </c>
      <c r="C437" s="25" t="s">
        <v>71</v>
      </c>
      <c r="D437" s="6" t="s">
        <v>4</v>
      </c>
      <c r="E437" s="24" t="s">
        <v>567</v>
      </c>
      <c r="F437" s="24" t="s">
        <v>231</v>
      </c>
      <c r="G437" s="24" t="s">
        <v>161</v>
      </c>
      <c r="H437" s="30" t="s">
        <v>79</v>
      </c>
    </row>
    <row r="438" ht="20" customHeight="1" spans="1:8" x14ac:dyDescent="0.25">
      <c r="A438" s="22" t="s">
        <v>65</v>
      </c>
      <c r="B438" s="22" t="s">
        <v>42</v>
      </c>
      <c r="C438" s="23" t="s">
        <v>71</v>
      </c>
      <c r="D438" s="6" t="s">
        <v>4</v>
      </c>
      <c r="E438" s="22" t="s">
        <v>409</v>
      </c>
      <c r="F438" s="22" t="s">
        <v>352</v>
      </c>
      <c r="G438" s="22" t="s">
        <v>1081</v>
      </c>
      <c r="H438" s="32" t="s">
        <v>79</v>
      </c>
    </row>
    <row r="439" ht="20" customHeight="1" spans="1:8" x14ac:dyDescent="0.25">
      <c r="A439" s="24" t="s">
        <v>66</v>
      </c>
      <c r="B439" s="24" t="s">
        <v>45</v>
      </c>
      <c r="C439" s="25" t="s">
        <v>71</v>
      </c>
      <c r="D439" s="6" t="s">
        <v>4</v>
      </c>
      <c r="E439" s="24" t="s">
        <v>242</v>
      </c>
      <c r="F439" s="24" t="s">
        <v>636</v>
      </c>
      <c r="G439" s="24" t="s">
        <v>180</v>
      </c>
      <c r="H439" s="34" t="s">
        <v>244</v>
      </c>
    </row>
    <row r="440" ht="20" customHeight="1" spans="1:8" x14ac:dyDescent="0.25">
      <c r="A440" s="22" t="s">
        <v>67</v>
      </c>
      <c r="B440" s="22" t="s">
        <v>31</v>
      </c>
      <c r="C440" s="23" t="s">
        <v>71</v>
      </c>
      <c r="D440" s="6" t="s">
        <v>4</v>
      </c>
      <c r="E440" s="22" t="s">
        <v>322</v>
      </c>
      <c r="F440" s="22" t="s">
        <v>748</v>
      </c>
      <c r="G440" s="22" t="s">
        <v>762</v>
      </c>
      <c r="H440" s="29" t="s">
        <v>323</v>
      </c>
    </row>
    <row r="441" ht="20" customHeight="1" spans="1:8" x14ac:dyDescent="0.25">
      <c r="A441" s="24" t="s">
        <v>68</v>
      </c>
      <c r="B441" s="24" t="s">
        <v>34</v>
      </c>
      <c r="C441" s="25" t="s">
        <v>71</v>
      </c>
      <c r="D441" s="6" t="s">
        <v>4</v>
      </c>
      <c r="E441" s="24" t="s">
        <v>348</v>
      </c>
      <c r="F441" s="24" t="s">
        <v>757</v>
      </c>
      <c r="G441" s="24" t="s">
        <v>279</v>
      </c>
      <c r="H441" s="34" t="s">
        <v>351</v>
      </c>
    </row>
    <row r="442" ht="22" customHeight="1" spans="1:8" x14ac:dyDescent="0.25">
      <c r="A442" s="26" t="s">
        <v>69</v>
      </c>
      <c r="B442" s="26"/>
      <c r="C442" s="26"/>
      <c r="D442" s="26"/>
      <c r="E442" s="26"/>
      <c r="F442" s="26"/>
      <c r="G442" s="27" t="s">
        <v>1426</v>
      </c>
      <c r="H442" s="28" t="s">
        <v>12</v>
      </c>
    </row>
    <row r="444" ht="26" customHeight="1" spans="1:8" x14ac:dyDescent="0.25">
      <c r="A444" s="20" t="s">
        <v>1427</v>
      </c>
      <c r="B444" s="20"/>
      <c r="C444" s="20"/>
      <c r="D444" s="20"/>
      <c r="E444" s="20"/>
      <c r="F444" s="20"/>
      <c r="G444" s="20"/>
      <c r="H444" s="20"/>
    </row>
    <row r="445" ht="22" customHeight="1" spans="1:8" x14ac:dyDescent="0.25">
      <c r="A445" s="21" t="s">
        <v>22</v>
      </c>
      <c r="B445" s="21" t="s">
        <v>23</v>
      </c>
      <c r="C445" s="21" t="s">
        <v>24</v>
      </c>
      <c r="D445" s="21" t="s">
        <v>25</v>
      </c>
      <c r="E445" s="21" t="s">
        <v>26</v>
      </c>
      <c r="F445" s="21" t="s">
        <v>27</v>
      </c>
      <c r="G445" s="21" t="s">
        <v>28</v>
      </c>
      <c r="H445" s="21" t="s">
        <v>29</v>
      </c>
    </row>
    <row r="446" ht="20" customHeight="1" spans="1:8" x14ac:dyDescent="0.25">
      <c r="A446" s="22" t="s">
        <v>30</v>
      </c>
      <c r="B446" s="22" t="s">
        <v>31</v>
      </c>
      <c r="C446" s="23" t="s">
        <v>71</v>
      </c>
      <c r="D446" s="6" t="s">
        <v>4</v>
      </c>
      <c r="E446" s="22" t="s">
        <v>320</v>
      </c>
      <c r="F446" s="22" t="s">
        <v>107</v>
      </c>
      <c r="G446" s="22" t="s">
        <v>299</v>
      </c>
      <c r="H446" s="32" t="s">
        <v>79</v>
      </c>
    </row>
    <row r="447" ht="20" customHeight="1" spans="1:8" x14ac:dyDescent="0.25">
      <c r="A447" s="24" t="s">
        <v>33</v>
      </c>
      <c r="B447" s="24" t="s">
        <v>34</v>
      </c>
      <c r="C447" s="25" t="s">
        <v>71</v>
      </c>
      <c r="D447" s="6" t="s">
        <v>4</v>
      </c>
      <c r="E447" s="24" t="s">
        <v>411</v>
      </c>
      <c r="F447" s="24" t="s">
        <v>255</v>
      </c>
      <c r="G447" s="24" t="s">
        <v>762</v>
      </c>
      <c r="H447" s="30" t="s">
        <v>79</v>
      </c>
    </row>
    <row r="448" ht="20" customHeight="1" spans="1:8" x14ac:dyDescent="0.25">
      <c r="A448" s="22" t="s">
        <v>35</v>
      </c>
      <c r="B448" s="22" t="s">
        <v>36</v>
      </c>
      <c r="C448" s="23" t="s">
        <v>71</v>
      </c>
      <c r="D448" s="6" t="s">
        <v>4</v>
      </c>
      <c r="E448" s="22" t="s">
        <v>254</v>
      </c>
      <c r="F448" s="22" t="s">
        <v>751</v>
      </c>
      <c r="G448" s="22" t="s">
        <v>296</v>
      </c>
      <c r="H448" s="29" t="s">
        <v>256</v>
      </c>
    </row>
    <row r="449" ht="20" customHeight="1" spans="1:8" x14ac:dyDescent="0.25">
      <c r="A449" s="24" t="s">
        <v>37</v>
      </c>
      <c r="B449" s="24" t="s">
        <v>38</v>
      </c>
      <c r="C449" s="25" t="s">
        <v>71</v>
      </c>
      <c r="D449" s="31" t="s">
        <v>11</v>
      </c>
      <c r="E449" s="24" t="s">
        <v>12</v>
      </c>
      <c r="F449" s="24" t="s">
        <v>12</v>
      </c>
      <c r="G449" s="24" t="s">
        <v>12</v>
      </c>
      <c r="H449" s="24" t="s">
        <v>32</v>
      </c>
    </row>
    <row r="450" ht="20" customHeight="1" spans="1:8" x14ac:dyDescent="0.25">
      <c r="A450" s="22" t="s">
        <v>39</v>
      </c>
      <c r="B450" s="22" t="s">
        <v>40</v>
      </c>
      <c r="C450" s="23" t="s">
        <v>71</v>
      </c>
      <c r="D450" s="6" t="s">
        <v>4</v>
      </c>
      <c r="E450" s="22" t="s">
        <v>322</v>
      </c>
      <c r="F450" s="22" t="s">
        <v>258</v>
      </c>
      <c r="G450" s="22" t="s">
        <v>81</v>
      </c>
      <c r="H450" s="29" t="s">
        <v>323</v>
      </c>
    </row>
    <row r="451" ht="20" customHeight="1" spans="1:8" x14ac:dyDescent="0.25">
      <c r="A451" s="24" t="s">
        <v>41</v>
      </c>
      <c r="B451" s="24" t="s">
        <v>42</v>
      </c>
      <c r="C451" s="25" t="s">
        <v>71</v>
      </c>
      <c r="D451" s="33" t="s">
        <v>86</v>
      </c>
      <c r="E451" s="24" t="s">
        <v>12</v>
      </c>
      <c r="F451" s="24" t="s">
        <v>12</v>
      </c>
      <c r="G451" s="24" t="s">
        <v>12</v>
      </c>
      <c r="H451" s="24" t="s">
        <v>32</v>
      </c>
    </row>
    <row r="452" ht="20" customHeight="1" spans="1:8" x14ac:dyDescent="0.25">
      <c r="A452" s="22" t="s">
        <v>44</v>
      </c>
      <c r="B452" s="22" t="s">
        <v>45</v>
      </c>
      <c r="C452" s="23" t="s">
        <v>71</v>
      </c>
      <c r="D452" s="6" t="s">
        <v>4</v>
      </c>
      <c r="E452" s="22" t="s">
        <v>503</v>
      </c>
      <c r="F452" s="22" t="s">
        <v>1341</v>
      </c>
      <c r="G452" s="22" t="s">
        <v>1165</v>
      </c>
      <c r="H452" s="32" t="s">
        <v>79</v>
      </c>
    </row>
    <row r="453" ht="20" customHeight="1" spans="1:8" x14ac:dyDescent="0.25">
      <c r="A453" s="24" t="s">
        <v>46</v>
      </c>
      <c r="B453" s="24" t="s">
        <v>31</v>
      </c>
      <c r="C453" s="25" t="s">
        <v>71</v>
      </c>
      <c r="D453" s="6" t="s">
        <v>4</v>
      </c>
      <c r="E453" s="24" t="s">
        <v>322</v>
      </c>
      <c r="F453" s="24" t="s">
        <v>641</v>
      </c>
      <c r="G453" s="24" t="s">
        <v>762</v>
      </c>
      <c r="H453" s="34" t="s">
        <v>323</v>
      </c>
    </row>
    <row r="454" ht="20" customHeight="1" spans="1:8" x14ac:dyDescent="0.25">
      <c r="A454" s="22" t="s">
        <v>47</v>
      </c>
      <c r="B454" s="22" t="s">
        <v>34</v>
      </c>
      <c r="C454" s="23" t="s">
        <v>71</v>
      </c>
      <c r="D454" s="6" t="s">
        <v>4</v>
      </c>
      <c r="E454" s="22" t="s">
        <v>377</v>
      </c>
      <c r="F454" s="22" t="s">
        <v>153</v>
      </c>
      <c r="G454" s="22" t="s">
        <v>279</v>
      </c>
      <c r="H454" s="29" t="s">
        <v>378</v>
      </c>
    </row>
    <row r="455" ht="20" customHeight="1" spans="1:8" x14ac:dyDescent="0.25">
      <c r="A455" s="24" t="s">
        <v>48</v>
      </c>
      <c r="B455" s="24" t="s">
        <v>36</v>
      </c>
      <c r="C455" s="25" t="s">
        <v>71</v>
      </c>
      <c r="D455" s="6" t="s">
        <v>4</v>
      </c>
      <c r="E455" s="24" t="s">
        <v>224</v>
      </c>
      <c r="F455" s="24" t="s">
        <v>1074</v>
      </c>
      <c r="G455" s="24" t="s">
        <v>1167</v>
      </c>
      <c r="H455" s="34" t="s">
        <v>227</v>
      </c>
    </row>
    <row r="456" ht="20" customHeight="1" spans="1:8" x14ac:dyDescent="0.25">
      <c r="A456" s="22" t="s">
        <v>49</v>
      </c>
      <c r="B456" s="22" t="s">
        <v>38</v>
      </c>
      <c r="C456" s="23" t="s">
        <v>71</v>
      </c>
      <c r="D456" s="6" t="s">
        <v>4</v>
      </c>
      <c r="E456" s="22" t="s">
        <v>483</v>
      </c>
      <c r="F456" s="22" t="s">
        <v>1428</v>
      </c>
      <c r="G456" s="22" t="s">
        <v>299</v>
      </c>
      <c r="H456" s="29" t="s">
        <v>484</v>
      </c>
    </row>
    <row r="457" ht="20" customHeight="1" spans="1:8" x14ac:dyDescent="0.25">
      <c r="A457" s="24" t="s">
        <v>50</v>
      </c>
      <c r="B457" s="24" t="s">
        <v>40</v>
      </c>
      <c r="C457" s="25" t="s">
        <v>71</v>
      </c>
      <c r="D457" s="33" t="s">
        <v>86</v>
      </c>
      <c r="E457" s="24" t="s">
        <v>12</v>
      </c>
      <c r="F457" s="24" t="s">
        <v>12</v>
      </c>
      <c r="G457" s="24" t="s">
        <v>12</v>
      </c>
      <c r="H457" s="24" t="s">
        <v>32</v>
      </c>
    </row>
    <row r="458" ht="20" customHeight="1" spans="1:8" x14ac:dyDescent="0.25">
      <c r="A458" s="22" t="s">
        <v>51</v>
      </c>
      <c r="B458" s="22" t="s">
        <v>42</v>
      </c>
      <c r="C458" s="23" t="s">
        <v>71</v>
      </c>
      <c r="D458" s="35" t="s">
        <v>86</v>
      </c>
      <c r="E458" s="22" t="s">
        <v>12</v>
      </c>
      <c r="F458" s="22" t="s">
        <v>12</v>
      </c>
      <c r="G458" s="22" t="s">
        <v>12</v>
      </c>
      <c r="H458" s="22" t="s">
        <v>32</v>
      </c>
    </row>
    <row r="459" ht="20" customHeight="1" spans="1:8" x14ac:dyDescent="0.25">
      <c r="A459" s="24" t="s">
        <v>52</v>
      </c>
      <c r="B459" s="24" t="s">
        <v>45</v>
      </c>
      <c r="C459" s="25" t="s">
        <v>71</v>
      </c>
      <c r="D459" s="6" t="s">
        <v>4</v>
      </c>
      <c r="E459" s="24" t="s">
        <v>159</v>
      </c>
      <c r="F459" s="24" t="s">
        <v>12</v>
      </c>
      <c r="G459" s="24" t="s">
        <v>12</v>
      </c>
      <c r="H459" s="34" t="s">
        <v>162</v>
      </c>
    </row>
    <row r="460" ht="20" customHeight="1" spans="1:8" x14ac:dyDescent="0.25">
      <c r="A460" s="22" t="s">
        <v>53</v>
      </c>
      <c r="B460" s="22" t="s">
        <v>31</v>
      </c>
      <c r="C460" s="23" t="s">
        <v>71</v>
      </c>
      <c r="D460" s="6" t="s">
        <v>4</v>
      </c>
      <c r="E460" s="22" t="s">
        <v>644</v>
      </c>
      <c r="F460" s="22" t="s">
        <v>404</v>
      </c>
      <c r="G460" s="22" t="s">
        <v>429</v>
      </c>
      <c r="H460" s="29" t="s">
        <v>645</v>
      </c>
    </row>
    <row r="461" ht="20" customHeight="1" spans="1:8" x14ac:dyDescent="0.25">
      <c r="A461" s="24" t="s">
        <v>54</v>
      </c>
      <c r="B461" s="24" t="s">
        <v>34</v>
      </c>
      <c r="C461" s="25" t="s">
        <v>71</v>
      </c>
      <c r="D461" s="6" t="s">
        <v>4</v>
      </c>
      <c r="E461" s="24" t="s">
        <v>216</v>
      </c>
      <c r="F461" s="24" t="s">
        <v>1429</v>
      </c>
      <c r="G461" s="24" t="s">
        <v>578</v>
      </c>
      <c r="H461" s="34" t="s">
        <v>217</v>
      </c>
    </row>
    <row r="462" ht="20" customHeight="1" spans="1:8" x14ac:dyDescent="0.25">
      <c r="A462" s="22" t="s">
        <v>55</v>
      </c>
      <c r="B462" s="22" t="s">
        <v>36</v>
      </c>
      <c r="C462" s="23" t="s">
        <v>71</v>
      </c>
      <c r="D462" s="6" t="s">
        <v>4</v>
      </c>
      <c r="E462" s="22" t="s">
        <v>485</v>
      </c>
      <c r="F462" s="22" t="s">
        <v>12</v>
      </c>
      <c r="G462" s="22" t="s">
        <v>12</v>
      </c>
      <c r="H462" s="29" t="s">
        <v>488</v>
      </c>
    </row>
    <row r="463" ht="20" customHeight="1" spans="1:8" x14ac:dyDescent="0.25">
      <c r="A463" s="24" t="s">
        <v>56</v>
      </c>
      <c r="B463" s="24" t="s">
        <v>38</v>
      </c>
      <c r="C463" s="25" t="s">
        <v>71</v>
      </c>
      <c r="D463" s="6" t="s">
        <v>4</v>
      </c>
      <c r="E463" s="24" t="s">
        <v>205</v>
      </c>
      <c r="F463" s="24" t="s">
        <v>1376</v>
      </c>
      <c r="G463" s="24" t="s">
        <v>1110</v>
      </c>
      <c r="H463" s="34" t="s">
        <v>207</v>
      </c>
    </row>
    <row r="464" ht="20" customHeight="1" spans="1:8" x14ac:dyDescent="0.25">
      <c r="A464" s="22" t="s">
        <v>57</v>
      </c>
      <c r="B464" s="22" t="s">
        <v>40</v>
      </c>
      <c r="C464" s="23" t="s">
        <v>71</v>
      </c>
      <c r="D464" s="6" t="s">
        <v>4</v>
      </c>
      <c r="E464" s="22" t="s">
        <v>176</v>
      </c>
      <c r="F464" s="22" t="s">
        <v>1229</v>
      </c>
      <c r="G464" s="22" t="s">
        <v>1136</v>
      </c>
      <c r="H464" s="29" t="s">
        <v>178</v>
      </c>
    </row>
    <row r="465" ht="20" customHeight="1" spans="1:8" x14ac:dyDescent="0.25">
      <c r="A465" s="24" t="s">
        <v>58</v>
      </c>
      <c r="B465" s="24" t="s">
        <v>42</v>
      </c>
      <c r="C465" s="25" t="s">
        <v>71</v>
      </c>
      <c r="D465" s="33" t="s">
        <v>86</v>
      </c>
      <c r="E465" s="24" t="s">
        <v>12</v>
      </c>
      <c r="F465" s="24" t="s">
        <v>12</v>
      </c>
      <c r="G465" s="24" t="s">
        <v>12</v>
      </c>
      <c r="H465" s="24" t="s">
        <v>32</v>
      </c>
    </row>
    <row r="466" ht="20" customHeight="1" spans="1:8" x14ac:dyDescent="0.25">
      <c r="A466" s="22" t="s">
        <v>59</v>
      </c>
      <c r="B466" s="22" t="s">
        <v>45</v>
      </c>
      <c r="C466" s="23" t="s">
        <v>71</v>
      </c>
      <c r="D466" s="6" t="s">
        <v>4</v>
      </c>
      <c r="E466" s="22" t="s">
        <v>635</v>
      </c>
      <c r="F466" s="22" t="s">
        <v>749</v>
      </c>
      <c r="G466" s="22" t="s">
        <v>1141</v>
      </c>
      <c r="H466" s="32" t="s">
        <v>79</v>
      </c>
    </row>
    <row r="467" ht="20" customHeight="1" spans="1:8" x14ac:dyDescent="0.25">
      <c r="A467" s="24" t="s">
        <v>60</v>
      </c>
      <c r="B467" s="24" t="s">
        <v>31</v>
      </c>
      <c r="C467" s="25" t="s">
        <v>71</v>
      </c>
      <c r="D467" s="6" t="s">
        <v>4</v>
      </c>
      <c r="E467" s="24" t="s">
        <v>348</v>
      </c>
      <c r="F467" s="24" t="s">
        <v>209</v>
      </c>
      <c r="G467" s="24" t="s">
        <v>726</v>
      </c>
      <c r="H467" s="34" t="s">
        <v>351</v>
      </c>
    </row>
    <row r="468" ht="20" customHeight="1" spans="1:8" x14ac:dyDescent="0.25">
      <c r="A468" s="22" t="s">
        <v>61</v>
      </c>
      <c r="B468" s="22" t="s">
        <v>34</v>
      </c>
      <c r="C468" s="23" t="s">
        <v>71</v>
      </c>
      <c r="D468" s="6" t="s">
        <v>4</v>
      </c>
      <c r="E468" s="22" t="s">
        <v>228</v>
      </c>
      <c r="F468" s="22" t="s">
        <v>298</v>
      </c>
      <c r="G468" s="22" t="s">
        <v>514</v>
      </c>
      <c r="H468" s="29" t="s">
        <v>229</v>
      </c>
    </row>
    <row r="469" ht="20" customHeight="1" spans="1:8" x14ac:dyDescent="0.25">
      <c r="A469" s="24" t="s">
        <v>62</v>
      </c>
      <c r="B469" s="24" t="s">
        <v>36</v>
      </c>
      <c r="C469" s="25" t="s">
        <v>71</v>
      </c>
      <c r="D469" s="6" t="s">
        <v>4</v>
      </c>
      <c r="E469" s="24" t="s">
        <v>353</v>
      </c>
      <c r="F469" s="24" t="s">
        <v>455</v>
      </c>
      <c r="G469" s="24" t="s">
        <v>1081</v>
      </c>
      <c r="H469" s="34" t="s">
        <v>355</v>
      </c>
    </row>
    <row r="470" ht="20" customHeight="1" spans="1:8" x14ac:dyDescent="0.25">
      <c r="A470" s="22" t="s">
        <v>63</v>
      </c>
      <c r="B470" s="22" t="s">
        <v>38</v>
      </c>
      <c r="C470" s="23" t="s">
        <v>71</v>
      </c>
      <c r="D470" s="10" t="s">
        <v>87</v>
      </c>
      <c r="E470" s="22" t="s">
        <v>12</v>
      </c>
      <c r="F470" s="22" t="s">
        <v>12</v>
      </c>
      <c r="G470" s="22" t="s">
        <v>12</v>
      </c>
      <c r="H470" s="22" t="s">
        <v>32</v>
      </c>
    </row>
    <row r="471" ht="20" customHeight="1" spans="1:8" x14ac:dyDescent="0.25">
      <c r="A471" s="24" t="s">
        <v>64</v>
      </c>
      <c r="B471" s="24" t="s">
        <v>40</v>
      </c>
      <c r="C471" s="25" t="s">
        <v>71</v>
      </c>
      <c r="D471" s="6" t="s">
        <v>4</v>
      </c>
      <c r="E471" s="24" t="s">
        <v>644</v>
      </c>
      <c r="F471" s="24" t="s">
        <v>324</v>
      </c>
      <c r="G471" s="24" t="s">
        <v>614</v>
      </c>
      <c r="H471" s="34" t="s">
        <v>645</v>
      </c>
    </row>
    <row r="472" ht="20" customHeight="1" spans="1:8" x14ac:dyDescent="0.25">
      <c r="A472" s="22" t="s">
        <v>65</v>
      </c>
      <c r="B472" s="22" t="s">
        <v>42</v>
      </c>
      <c r="C472" s="23" t="s">
        <v>71</v>
      </c>
      <c r="D472" s="35" t="s">
        <v>86</v>
      </c>
      <c r="E472" s="22" t="s">
        <v>12</v>
      </c>
      <c r="F472" s="22" t="s">
        <v>12</v>
      </c>
      <c r="G472" s="22" t="s">
        <v>12</v>
      </c>
      <c r="H472" s="22" t="s">
        <v>32</v>
      </c>
    </row>
    <row r="473" ht="20" customHeight="1" spans="1:8" x14ac:dyDescent="0.25">
      <c r="A473" s="24" t="s">
        <v>66</v>
      </c>
      <c r="B473" s="24" t="s">
        <v>45</v>
      </c>
      <c r="C473" s="25" t="s">
        <v>71</v>
      </c>
      <c r="D473" s="6" t="s">
        <v>4</v>
      </c>
      <c r="E473" s="24" t="s">
        <v>230</v>
      </c>
      <c r="F473" s="24" t="s">
        <v>751</v>
      </c>
      <c r="G473" s="24" t="s">
        <v>578</v>
      </c>
      <c r="H473" s="34" t="s">
        <v>233</v>
      </c>
    </row>
    <row r="474" ht="20" customHeight="1" spans="1:8" x14ac:dyDescent="0.25">
      <c r="A474" s="22" t="s">
        <v>67</v>
      </c>
      <c r="B474" s="22" t="s">
        <v>31</v>
      </c>
      <c r="C474" s="23" t="s">
        <v>71</v>
      </c>
      <c r="D474" s="6" t="s">
        <v>4</v>
      </c>
      <c r="E474" s="22" t="s">
        <v>639</v>
      </c>
      <c r="F474" s="22" t="s">
        <v>389</v>
      </c>
      <c r="G474" s="22" t="s">
        <v>261</v>
      </c>
      <c r="H474" s="32" t="s">
        <v>79</v>
      </c>
    </row>
    <row r="475" ht="20" customHeight="1" spans="1:8" x14ac:dyDescent="0.25">
      <c r="A475" s="24" t="s">
        <v>68</v>
      </c>
      <c r="B475" s="24" t="s">
        <v>34</v>
      </c>
      <c r="C475" s="25" t="s">
        <v>71</v>
      </c>
      <c r="D475" s="6" t="s">
        <v>4</v>
      </c>
      <c r="E475" s="24" t="s">
        <v>353</v>
      </c>
      <c r="F475" s="24" t="s">
        <v>961</v>
      </c>
      <c r="G475" s="24" t="s">
        <v>947</v>
      </c>
      <c r="H475" s="34" t="s">
        <v>355</v>
      </c>
    </row>
    <row r="476" ht="22" customHeight="1" spans="1:8" x14ac:dyDescent="0.25">
      <c r="A476" s="26" t="s">
        <v>69</v>
      </c>
      <c r="B476" s="26"/>
      <c r="C476" s="26"/>
      <c r="D476" s="26"/>
      <c r="E476" s="26"/>
      <c r="F476" s="26"/>
      <c r="G476" s="27" t="s">
        <v>1430</v>
      </c>
      <c r="H476" s="28" t="s">
        <v>12</v>
      </c>
    </row>
    <row r="478" ht="26" customHeight="1" spans="1:8" x14ac:dyDescent="0.25">
      <c r="A478" s="20" t="s">
        <v>1431</v>
      </c>
      <c r="B478" s="20"/>
      <c r="C478" s="20"/>
      <c r="D478" s="20"/>
      <c r="E478" s="20"/>
      <c r="F478" s="20"/>
      <c r="G478" s="20"/>
      <c r="H478" s="20"/>
    </row>
    <row r="479" ht="22" customHeight="1" spans="1:8" x14ac:dyDescent="0.25">
      <c r="A479" s="21" t="s">
        <v>22</v>
      </c>
      <c r="B479" s="21" t="s">
        <v>23</v>
      </c>
      <c r="C479" s="21" t="s">
        <v>24</v>
      </c>
      <c r="D479" s="21" t="s">
        <v>25</v>
      </c>
      <c r="E479" s="21" t="s">
        <v>26</v>
      </c>
      <c r="F479" s="21" t="s">
        <v>27</v>
      </c>
      <c r="G479" s="21" t="s">
        <v>28</v>
      </c>
      <c r="H479" s="21" t="s">
        <v>29</v>
      </c>
    </row>
    <row r="480" ht="20" customHeight="1" spans="1:8" x14ac:dyDescent="0.25">
      <c r="A480" s="22" t="s">
        <v>30</v>
      </c>
      <c r="B480" s="22" t="s">
        <v>31</v>
      </c>
      <c r="C480" s="23" t="s">
        <v>71</v>
      </c>
      <c r="D480" s="6" t="s">
        <v>4</v>
      </c>
      <c r="E480" s="22" t="s">
        <v>446</v>
      </c>
      <c r="F480" s="22" t="s">
        <v>373</v>
      </c>
      <c r="G480" s="22" t="s">
        <v>277</v>
      </c>
      <c r="H480" s="32" t="s">
        <v>79</v>
      </c>
    </row>
    <row r="481" ht="20" customHeight="1" spans="1:8" x14ac:dyDescent="0.25">
      <c r="A481" s="24" t="s">
        <v>33</v>
      </c>
      <c r="B481" s="24" t="s">
        <v>34</v>
      </c>
      <c r="C481" s="25" t="s">
        <v>71</v>
      </c>
      <c r="D481" s="6" t="s">
        <v>4</v>
      </c>
      <c r="E481" s="24" t="s">
        <v>106</v>
      </c>
      <c r="F481" s="24" t="s">
        <v>225</v>
      </c>
      <c r="G481" s="24" t="s">
        <v>1141</v>
      </c>
      <c r="H481" s="30" t="s">
        <v>79</v>
      </c>
    </row>
    <row r="482" ht="20" customHeight="1" spans="1:8" x14ac:dyDescent="0.25">
      <c r="A482" s="22" t="s">
        <v>35</v>
      </c>
      <c r="B482" s="22" t="s">
        <v>36</v>
      </c>
      <c r="C482" s="23" t="s">
        <v>71</v>
      </c>
      <c r="D482" s="6" t="s">
        <v>4</v>
      </c>
      <c r="E482" s="22" t="s">
        <v>1357</v>
      </c>
      <c r="F482" s="22" t="s">
        <v>235</v>
      </c>
      <c r="G482" s="22" t="s">
        <v>111</v>
      </c>
      <c r="H482" s="32" t="s">
        <v>79</v>
      </c>
    </row>
    <row r="483" ht="20" customHeight="1" spans="1:8" x14ac:dyDescent="0.25">
      <c r="A483" s="24" t="s">
        <v>37</v>
      </c>
      <c r="B483" s="24" t="s">
        <v>38</v>
      </c>
      <c r="C483" s="25" t="s">
        <v>71</v>
      </c>
      <c r="D483" s="31" t="s">
        <v>11</v>
      </c>
      <c r="E483" s="24" t="s">
        <v>12</v>
      </c>
      <c r="F483" s="24" t="s">
        <v>12</v>
      </c>
      <c r="G483" s="24" t="s">
        <v>12</v>
      </c>
      <c r="H483" s="24" t="s">
        <v>32</v>
      </c>
    </row>
    <row r="484" ht="20" customHeight="1" spans="1:8" x14ac:dyDescent="0.25">
      <c r="A484" s="22" t="s">
        <v>39</v>
      </c>
      <c r="B484" s="22" t="s">
        <v>40</v>
      </c>
      <c r="C484" s="23" t="s">
        <v>71</v>
      </c>
      <c r="D484" s="6" t="s">
        <v>4</v>
      </c>
      <c r="E484" s="22" t="s">
        <v>443</v>
      </c>
      <c r="F484" s="22" t="s">
        <v>343</v>
      </c>
      <c r="G484" s="22" t="s">
        <v>740</v>
      </c>
      <c r="H484" s="32" t="s">
        <v>79</v>
      </c>
    </row>
    <row r="485" ht="20" customHeight="1" spans="1:8" x14ac:dyDescent="0.25">
      <c r="A485" s="24" t="s">
        <v>41</v>
      </c>
      <c r="B485" s="24" t="s">
        <v>42</v>
      </c>
      <c r="C485" s="25" t="s">
        <v>71</v>
      </c>
      <c r="D485" s="33" t="s">
        <v>86</v>
      </c>
      <c r="E485" s="24" t="s">
        <v>12</v>
      </c>
      <c r="F485" s="24" t="s">
        <v>12</v>
      </c>
      <c r="G485" s="24" t="s">
        <v>12</v>
      </c>
      <c r="H485" s="24" t="s">
        <v>32</v>
      </c>
    </row>
    <row r="486" ht="20" customHeight="1" spans="1:8" x14ac:dyDescent="0.25">
      <c r="A486" s="22" t="s">
        <v>44</v>
      </c>
      <c r="B486" s="22" t="s">
        <v>45</v>
      </c>
      <c r="C486" s="23" t="s">
        <v>71</v>
      </c>
      <c r="D486" s="6" t="s">
        <v>4</v>
      </c>
      <c r="E486" s="22" t="s">
        <v>1432</v>
      </c>
      <c r="F486" s="22" t="s">
        <v>133</v>
      </c>
      <c r="G486" s="22" t="s">
        <v>831</v>
      </c>
      <c r="H486" s="32" t="s">
        <v>79</v>
      </c>
    </row>
    <row r="487" ht="20" customHeight="1" spans="1:8" x14ac:dyDescent="0.25">
      <c r="A487" s="24" t="s">
        <v>46</v>
      </c>
      <c r="B487" s="24" t="s">
        <v>31</v>
      </c>
      <c r="C487" s="25" t="s">
        <v>71</v>
      </c>
      <c r="D487" s="6" t="s">
        <v>4</v>
      </c>
      <c r="E487" s="24" t="s">
        <v>561</v>
      </c>
      <c r="F487" s="24" t="s">
        <v>623</v>
      </c>
      <c r="G487" s="24" t="s">
        <v>161</v>
      </c>
      <c r="H487" s="34" t="s">
        <v>624</v>
      </c>
    </row>
    <row r="488" ht="20" customHeight="1" spans="1:8" x14ac:dyDescent="0.25">
      <c r="A488" s="22" t="s">
        <v>47</v>
      </c>
      <c r="B488" s="22" t="s">
        <v>34</v>
      </c>
      <c r="C488" s="23" t="s">
        <v>71</v>
      </c>
      <c r="D488" s="6" t="s">
        <v>4</v>
      </c>
      <c r="E488" s="22" t="s">
        <v>297</v>
      </c>
      <c r="F488" s="22" t="s">
        <v>225</v>
      </c>
      <c r="G488" s="22" t="s">
        <v>794</v>
      </c>
      <c r="H488" s="32" t="s">
        <v>79</v>
      </c>
    </row>
    <row r="489" ht="20" customHeight="1" spans="1:8" x14ac:dyDescent="0.25">
      <c r="A489" s="24" t="s">
        <v>48</v>
      </c>
      <c r="B489" s="24" t="s">
        <v>36</v>
      </c>
      <c r="C489" s="25" t="s">
        <v>71</v>
      </c>
      <c r="D489" s="6" t="s">
        <v>4</v>
      </c>
      <c r="E489" s="24" t="s">
        <v>297</v>
      </c>
      <c r="F489" s="24" t="s">
        <v>374</v>
      </c>
      <c r="G489" s="24" t="s">
        <v>111</v>
      </c>
      <c r="H489" s="30" t="s">
        <v>79</v>
      </c>
    </row>
    <row r="490" ht="20" customHeight="1" spans="1:8" x14ac:dyDescent="0.25">
      <c r="A490" s="22" t="s">
        <v>49</v>
      </c>
      <c r="B490" s="22" t="s">
        <v>38</v>
      </c>
      <c r="C490" s="23" t="s">
        <v>71</v>
      </c>
      <c r="D490" s="6" t="s">
        <v>4</v>
      </c>
      <c r="E490" s="22" t="s">
        <v>128</v>
      </c>
      <c r="F490" s="22" t="s">
        <v>133</v>
      </c>
      <c r="G490" s="22" t="s">
        <v>762</v>
      </c>
      <c r="H490" s="32" t="s">
        <v>79</v>
      </c>
    </row>
    <row r="491" ht="20" customHeight="1" spans="1:8" x14ac:dyDescent="0.25">
      <c r="A491" s="24" t="s">
        <v>50</v>
      </c>
      <c r="B491" s="24" t="s">
        <v>40</v>
      </c>
      <c r="C491" s="25" t="s">
        <v>71</v>
      </c>
      <c r="D491" s="33" t="s">
        <v>86</v>
      </c>
      <c r="E491" s="24" t="s">
        <v>12</v>
      </c>
      <c r="F491" s="24" t="s">
        <v>12</v>
      </c>
      <c r="G491" s="24" t="s">
        <v>12</v>
      </c>
      <c r="H491" s="24" t="s">
        <v>32</v>
      </c>
    </row>
    <row r="492" ht="20" customHeight="1" spans="1:8" x14ac:dyDescent="0.25">
      <c r="A492" s="22" t="s">
        <v>51</v>
      </c>
      <c r="B492" s="22" t="s">
        <v>42</v>
      </c>
      <c r="C492" s="23" t="s">
        <v>71</v>
      </c>
      <c r="D492" s="35" t="s">
        <v>86</v>
      </c>
      <c r="E492" s="22" t="s">
        <v>12</v>
      </c>
      <c r="F492" s="22" t="s">
        <v>12</v>
      </c>
      <c r="G492" s="22" t="s">
        <v>12</v>
      </c>
      <c r="H492" s="22" t="s">
        <v>32</v>
      </c>
    </row>
    <row r="493" ht="20" customHeight="1" spans="1:8" x14ac:dyDescent="0.25">
      <c r="A493" s="24" t="s">
        <v>52</v>
      </c>
      <c r="B493" s="24" t="s">
        <v>45</v>
      </c>
      <c r="C493" s="25" t="s">
        <v>71</v>
      </c>
      <c r="D493" s="6" t="s">
        <v>4</v>
      </c>
      <c r="E493" s="24" t="s">
        <v>1357</v>
      </c>
      <c r="F493" s="24" t="s">
        <v>448</v>
      </c>
      <c r="G493" s="24" t="s">
        <v>285</v>
      </c>
      <c r="H493" s="30" t="s">
        <v>79</v>
      </c>
    </row>
    <row r="494" ht="20" customHeight="1" spans="1:8" x14ac:dyDescent="0.25">
      <c r="A494" s="22" t="s">
        <v>53</v>
      </c>
      <c r="B494" s="22" t="s">
        <v>31</v>
      </c>
      <c r="C494" s="23" t="s">
        <v>71</v>
      </c>
      <c r="D494" s="6" t="s">
        <v>4</v>
      </c>
      <c r="E494" s="22" t="s">
        <v>76</v>
      </c>
      <c r="F494" s="22" t="s">
        <v>136</v>
      </c>
      <c r="G494" s="22" t="s">
        <v>203</v>
      </c>
      <c r="H494" s="32" t="s">
        <v>79</v>
      </c>
    </row>
    <row r="495" ht="20" customHeight="1" spans="1:8" x14ac:dyDescent="0.25">
      <c r="A495" s="24" t="s">
        <v>54</v>
      </c>
      <c r="B495" s="24" t="s">
        <v>34</v>
      </c>
      <c r="C495" s="25" t="s">
        <v>71</v>
      </c>
      <c r="D495" s="6" t="s">
        <v>4</v>
      </c>
      <c r="E495" s="24" t="s">
        <v>388</v>
      </c>
      <c r="F495" s="24" t="s">
        <v>404</v>
      </c>
      <c r="G495" s="24" t="s">
        <v>302</v>
      </c>
      <c r="H495" s="30" t="s">
        <v>79</v>
      </c>
    </row>
    <row r="496" ht="20" customHeight="1" spans="1:8" x14ac:dyDescent="0.25">
      <c r="A496" s="22" t="s">
        <v>55</v>
      </c>
      <c r="B496" s="22" t="s">
        <v>36</v>
      </c>
      <c r="C496" s="23" t="s">
        <v>71</v>
      </c>
      <c r="D496" s="6" t="s">
        <v>4</v>
      </c>
      <c r="E496" s="22" t="s">
        <v>289</v>
      </c>
      <c r="F496" s="22" t="s">
        <v>231</v>
      </c>
      <c r="G496" s="22" t="s">
        <v>302</v>
      </c>
      <c r="H496" s="32" t="s">
        <v>79</v>
      </c>
    </row>
    <row r="497" ht="20" customHeight="1" spans="1:8" x14ac:dyDescent="0.25">
      <c r="A497" s="24" t="s">
        <v>56</v>
      </c>
      <c r="B497" s="24" t="s">
        <v>38</v>
      </c>
      <c r="C497" s="25" t="s">
        <v>71</v>
      </c>
      <c r="D497" s="6" t="s">
        <v>4</v>
      </c>
      <c r="E497" s="24" t="s">
        <v>289</v>
      </c>
      <c r="F497" s="24" t="s">
        <v>338</v>
      </c>
      <c r="G497" s="24" t="s">
        <v>478</v>
      </c>
      <c r="H497" s="30" t="s">
        <v>79</v>
      </c>
    </row>
    <row r="498" ht="20" customHeight="1" spans="1:8" x14ac:dyDescent="0.25">
      <c r="A498" s="22" t="s">
        <v>57</v>
      </c>
      <c r="B498" s="22" t="s">
        <v>40</v>
      </c>
      <c r="C498" s="23" t="s">
        <v>71</v>
      </c>
      <c r="D498" s="6" t="s">
        <v>4</v>
      </c>
      <c r="E498" s="22" t="s">
        <v>297</v>
      </c>
      <c r="F498" s="22" t="s">
        <v>237</v>
      </c>
      <c r="G498" s="22" t="s">
        <v>299</v>
      </c>
      <c r="H498" s="32" t="s">
        <v>79</v>
      </c>
    </row>
    <row r="499" ht="20" customHeight="1" spans="1:8" x14ac:dyDescent="0.25">
      <c r="A499" s="24" t="s">
        <v>58</v>
      </c>
      <c r="B499" s="24" t="s">
        <v>42</v>
      </c>
      <c r="C499" s="25" t="s">
        <v>71</v>
      </c>
      <c r="D499" s="33" t="s">
        <v>86</v>
      </c>
      <c r="E499" s="24" t="s">
        <v>12</v>
      </c>
      <c r="F499" s="24" t="s">
        <v>12</v>
      </c>
      <c r="G499" s="24" t="s">
        <v>12</v>
      </c>
      <c r="H499" s="24" t="s">
        <v>32</v>
      </c>
    </row>
    <row r="500" ht="20" customHeight="1" spans="1:8" x14ac:dyDescent="0.25">
      <c r="A500" s="22" t="s">
        <v>59</v>
      </c>
      <c r="B500" s="22" t="s">
        <v>45</v>
      </c>
      <c r="C500" s="23" t="s">
        <v>71</v>
      </c>
      <c r="D500" s="6" t="s">
        <v>4</v>
      </c>
      <c r="E500" s="22" t="s">
        <v>528</v>
      </c>
      <c r="F500" s="22" t="s">
        <v>404</v>
      </c>
      <c r="G500" s="22" t="s">
        <v>296</v>
      </c>
      <c r="H500" s="32" t="s">
        <v>79</v>
      </c>
    </row>
    <row r="501" ht="20" customHeight="1" spans="1:8" x14ac:dyDescent="0.25">
      <c r="A501" s="24" t="s">
        <v>60</v>
      </c>
      <c r="B501" s="24" t="s">
        <v>31</v>
      </c>
      <c r="C501" s="25" t="s">
        <v>71</v>
      </c>
      <c r="D501" s="6" t="s">
        <v>4</v>
      </c>
      <c r="E501" s="24" t="s">
        <v>391</v>
      </c>
      <c r="F501" s="24" t="s">
        <v>153</v>
      </c>
      <c r="G501" s="24" t="s">
        <v>831</v>
      </c>
      <c r="H501" s="30" t="s">
        <v>79</v>
      </c>
    </row>
    <row r="502" ht="20" customHeight="1" spans="1:8" x14ac:dyDescent="0.25">
      <c r="A502" s="22" t="s">
        <v>61</v>
      </c>
      <c r="B502" s="22" t="s">
        <v>34</v>
      </c>
      <c r="C502" s="23" t="s">
        <v>71</v>
      </c>
      <c r="D502" s="6" t="s">
        <v>4</v>
      </c>
      <c r="E502" s="22" t="s">
        <v>527</v>
      </c>
      <c r="F502" s="22" t="s">
        <v>324</v>
      </c>
      <c r="G502" s="22" t="s">
        <v>831</v>
      </c>
      <c r="H502" s="32" t="s">
        <v>79</v>
      </c>
    </row>
    <row r="503" ht="20" customHeight="1" spans="1:8" x14ac:dyDescent="0.25">
      <c r="A503" s="24" t="s">
        <v>62</v>
      </c>
      <c r="B503" s="24" t="s">
        <v>36</v>
      </c>
      <c r="C503" s="25" t="s">
        <v>71</v>
      </c>
      <c r="D503" s="6" t="s">
        <v>4</v>
      </c>
      <c r="E503" s="24" t="s">
        <v>408</v>
      </c>
      <c r="F503" s="24" t="s">
        <v>237</v>
      </c>
      <c r="G503" s="24" t="s">
        <v>752</v>
      </c>
      <c r="H503" s="30" t="s">
        <v>79</v>
      </c>
    </row>
    <row r="504" ht="20" customHeight="1" spans="1:8" x14ac:dyDescent="0.25">
      <c r="A504" s="22" t="s">
        <v>63</v>
      </c>
      <c r="B504" s="22" t="s">
        <v>38</v>
      </c>
      <c r="C504" s="23" t="s">
        <v>71</v>
      </c>
      <c r="D504" s="6" t="s">
        <v>4</v>
      </c>
      <c r="E504" s="22" t="s">
        <v>1433</v>
      </c>
      <c r="F504" s="22" t="s">
        <v>402</v>
      </c>
      <c r="G504" s="22" t="s">
        <v>578</v>
      </c>
      <c r="H504" s="32" t="s">
        <v>79</v>
      </c>
    </row>
    <row r="505" ht="20" customHeight="1" spans="1:8" x14ac:dyDescent="0.25">
      <c r="A505" s="24" t="s">
        <v>64</v>
      </c>
      <c r="B505" s="24" t="s">
        <v>40</v>
      </c>
      <c r="C505" s="25" t="s">
        <v>71</v>
      </c>
      <c r="D505" s="6" t="s">
        <v>4</v>
      </c>
      <c r="E505" s="24" t="s">
        <v>364</v>
      </c>
      <c r="F505" s="24" t="s">
        <v>133</v>
      </c>
      <c r="G505" s="24" t="s">
        <v>171</v>
      </c>
      <c r="H505" s="30" t="s">
        <v>79</v>
      </c>
    </row>
    <row r="506" ht="20" customHeight="1" spans="1:8" x14ac:dyDescent="0.25">
      <c r="A506" s="22" t="s">
        <v>65</v>
      </c>
      <c r="B506" s="22" t="s">
        <v>42</v>
      </c>
      <c r="C506" s="23" t="s">
        <v>71</v>
      </c>
      <c r="D506" s="6" t="s">
        <v>4</v>
      </c>
      <c r="E506" s="22" t="s">
        <v>1357</v>
      </c>
      <c r="F506" s="22" t="s">
        <v>312</v>
      </c>
      <c r="G506" s="22" t="s">
        <v>989</v>
      </c>
      <c r="H506" s="32" t="s">
        <v>79</v>
      </c>
    </row>
    <row r="507" ht="20" customHeight="1" spans="1:8" x14ac:dyDescent="0.25">
      <c r="A507" s="24" t="s">
        <v>66</v>
      </c>
      <c r="B507" s="24" t="s">
        <v>45</v>
      </c>
      <c r="C507" s="25" t="s">
        <v>71</v>
      </c>
      <c r="D507" s="6" t="s">
        <v>4</v>
      </c>
      <c r="E507" s="24" t="s">
        <v>128</v>
      </c>
      <c r="F507" s="24" t="s">
        <v>398</v>
      </c>
      <c r="G507" s="24" t="s">
        <v>291</v>
      </c>
      <c r="H507" s="30" t="s">
        <v>79</v>
      </c>
    </row>
    <row r="508" ht="20" customHeight="1" spans="1:8" x14ac:dyDescent="0.25">
      <c r="A508" s="22" t="s">
        <v>67</v>
      </c>
      <c r="B508" s="22" t="s">
        <v>31</v>
      </c>
      <c r="C508" s="23" t="s">
        <v>71</v>
      </c>
      <c r="D508" s="6" t="s">
        <v>4</v>
      </c>
      <c r="E508" s="22" t="s">
        <v>76</v>
      </c>
      <c r="F508" s="22" t="s">
        <v>363</v>
      </c>
      <c r="G508" s="22" t="s">
        <v>568</v>
      </c>
      <c r="H508" s="32" t="s">
        <v>79</v>
      </c>
    </row>
    <row r="509" ht="20" customHeight="1" spans="1:8" x14ac:dyDescent="0.25">
      <c r="A509" s="24" t="s">
        <v>68</v>
      </c>
      <c r="B509" s="24" t="s">
        <v>34</v>
      </c>
      <c r="C509" s="25" t="s">
        <v>71</v>
      </c>
      <c r="D509" s="6" t="s">
        <v>4</v>
      </c>
      <c r="E509" s="24" t="s">
        <v>673</v>
      </c>
      <c r="F509" s="24" t="s">
        <v>321</v>
      </c>
      <c r="G509" s="24" t="s">
        <v>20</v>
      </c>
      <c r="H509" s="30" t="s">
        <v>79</v>
      </c>
    </row>
    <row r="510" ht="22" customHeight="1" spans="1:8" x14ac:dyDescent="0.25">
      <c r="A510" s="26" t="s">
        <v>69</v>
      </c>
      <c r="B510" s="26"/>
      <c r="C510" s="26"/>
      <c r="D510" s="26"/>
      <c r="E510" s="26"/>
      <c r="F510" s="26"/>
      <c r="G510" s="27" t="s">
        <v>1434</v>
      </c>
      <c r="H510" s="28" t="s">
        <v>12</v>
      </c>
    </row>
    <row r="512" ht="26" customHeight="1" spans="1:8" x14ac:dyDescent="0.25">
      <c r="A512" s="20" t="s">
        <v>1435</v>
      </c>
      <c r="B512" s="20"/>
      <c r="C512" s="20"/>
      <c r="D512" s="20"/>
      <c r="E512" s="20"/>
      <c r="F512" s="20"/>
      <c r="G512" s="20"/>
      <c r="H512" s="20"/>
    </row>
    <row r="513" ht="22" customHeight="1" spans="1:8" x14ac:dyDescent="0.25">
      <c r="A513" s="21" t="s">
        <v>22</v>
      </c>
      <c r="B513" s="21" t="s">
        <v>23</v>
      </c>
      <c r="C513" s="21" t="s">
        <v>24</v>
      </c>
      <c r="D513" s="21" t="s">
        <v>25</v>
      </c>
      <c r="E513" s="21" t="s">
        <v>26</v>
      </c>
      <c r="F513" s="21" t="s">
        <v>27</v>
      </c>
      <c r="G513" s="21" t="s">
        <v>28</v>
      </c>
      <c r="H513" s="21" t="s">
        <v>29</v>
      </c>
    </row>
    <row r="514" ht="20" customHeight="1" spans="1:8" x14ac:dyDescent="0.25">
      <c r="A514" s="22" t="s">
        <v>30</v>
      </c>
      <c r="B514" s="22" t="s">
        <v>31</v>
      </c>
      <c r="C514" s="23" t="s">
        <v>71</v>
      </c>
      <c r="D514" s="6" t="s">
        <v>4</v>
      </c>
      <c r="E514" s="22" t="s">
        <v>1436</v>
      </c>
      <c r="F514" s="22" t="s">
        <v>12</v>
      </c>
      <c r="G514" s="22" t="s">
        <v>12</v>
      </c>
      <c r="H514" s="29" t="s">
        <v>1437</v>
      </c>
    </row>
    <row r="515" ht="20" customHeight="1" spans="1:8" x14ac:dyDescent="0.25">
      <c r="A515" s="24" t="s">
        <v>33</v>
      </c>
      <c r="B515" s="24" t="s">
        <v>34</v>
      </c>
      <c r="C515" s="25" t="s">
        <v>71</v>
      </c>
      <c r="D515" s="6" t="s">
        <v>4</v>
      </c>
      <c r="E515" s="24" t="s">
        <v>1436</v>
      </c>
      <c r="F515" s="24" t="s">
        <v>1438</v>
      </c>
      <c r="G515" s="24" t="s">
        <v>1248</v>
      </c>
      <c r="H515" s="34" t="s">
        <v>1437</v>
      </c>
    </row>
    <row r="516" ht="20" customHeight="1" spans="1:8" x14ac:dyDescent="0.25">
      <c r="A516" s="22" t="s">
        <v>35</v>
      </c>
      <c r="B516" s="22" t="s">
        <v>36</v>
      </c>
      <c r="C516" s="23" t="s">
        <v>71</v>
      </c>
      <c r="D516" s="6" t="s">
        <v>4</v>
      </c>
      <c r="E516" s="22" t="s">
        <v>1088</v>
      </c>
      <c r="F516" s="22" t="s">
        <v>1350</v>
      </c>
      <c r="G516" s="22" t="s">
        <v>414</v>
      </c>
      <c r="H516" s="29" t="s">
        <v>1089</v>
      </c>
    </row>
    <row r="517" ht="20" customHeight="1" spans="1:8" x14ac:dyDescent="0.25">
      <c r="A517" s="24" t="s">
        <v>37</v>
      </c>
      <c r="B517" s="24" t="s">
        <v>38</v>
      </c>
      <c r="C517" s="25" t="s">
        <v>71</v>
      </c>
      <c r="D517" s="31" t="s">
        <v>11</v>
      </c>
      <c r="E517" s="24" t="s">
        <v>12</v>
      </c>
      <c r="F517" s="24" t="s">
        <v>12</v>
      </c>
      <c r="G517" s="24" t="s">
        <v>12</v>
      </c>
      <c r="H517" s="24" t="s">
        <v>32</v>
      </c>
    </row>
    <row r="518" ht="20" customHeight="1" spans="1:8" x14ac:dyDescent="0.25">
      <c r="A518" s="22" t="s">
        <v>39</v>
      </c>
      <c r="B518" s="22" t="s">
        <v>40</v>
      </c>
      <c r="C518" s="23" t="s">
        <v>71</v>
      </c>
      <c r="D518" s="6" t="s">
        <v>4</v>
      </c>
      <c r="E518" s="22" t="s">
        <v>1088</v>
      </c>
      <c r="F518" s="22" t="s">
        <v>12</v>
      </c>
      <c r="G518" s="22" t="s">
        <v>12</v>
      </c>
      <c r="H518" s="29" t="s">
        <v>1089</v>
      </c>
    </row>
    <row r="519" ht="20" customHeight="1" spans="1:8" x14ac:dyDescent="0.25">
      <c r="A519" s="24" t="s">
        <v>41</v>
      </c>
      <c r="B519" s="24" t="s">
        <v>42</v>
      </c>
      <c r="C519" s="25" t="s">
        <v>71</v>
      </c>
      <c r="D519" s="33" t="s">
        <v>86</v>
      </c>
      <c r="E519" s="24" t="s">
        <v>12</v>
      </c>
      <c r="F519" s="24" t="s">
        <v>12</v>
      </c>
      <c r="G519" s="24" t="s">
        <v>12</v>
      </c>
      <c r="H519" s="24" t="s">
        <v>32</v>
      </c>
    </row>
    <row r="520" ht="20" customHeight="1" spans="1:8" x14ac:dyDescent="0.25">
      <c r="A520" s="22" t="s">
        <v>44</v>
      </c>
      <c r="B520" s="22" t="s">
        <v>45</v>
      </c>
      <c r="C520" s="23" t="s">
        <v>71</v>
      </c>
      <c r="D520" s="6" t="s">
        <v>4</v>
      </c>
      <c r="E520" s="22" t="s">
        <v>483</v>
      </c>
      <c r="F520" s="22" t="s">
        <v>746</v>
      </c>
      <c r="G520" s="22" t="s">
        <v>177</v>
      </c>
      <c r="H520" s="29" t="s">
        <v>484</v>
      </c>
    </row>
    <row r="521" ht="20" customHeight="1" spans="1:8" x14ac:dyDescent="0.25">
      <c r="A521" s="24" t="s">
        <v>46</v>
      </c>
      <c r="B521" s="24" t="s">
        <v>31</v>
      </c>
      <c r="C521" s="25" t="s">
        <v>71</v>
      </c>
      <c r="D521" s="6" t="s">
        <v>4</v>
      </c>
      <c r="E521" s="24" t="s">
        <v>334</v>
      </c>
      <c r="F521" s="24" t="s">
        <v>1350</v>
      </c>
      <c r="G521" s="24" t="s">
        <v>277</v>
      </c>
      <c r="H521" s="34" t="s">
        <v>337</v>
      </c>
    </row>
    <row r="522" ht="20" customHeight="1" spans="1:8" x14ac:dyDescent="0.25">
      <c r="A522" s="22" t="s">
        <v>47</v>
      </c>
      <c r="B522" s="22" t="s">
        <v>34</v>
      </c>
      <c r="C522" s="23" t="s">
        <v>71</v>
      </c>
      <c r="D522" s="6" t="s">
        <v>4</v>
      </c>
      <c r="E522" s="22" t="s">
        <v>1436</v>
      </c>
      <c r="F522" s="22" t="s">
        <v>751</v>
      </c>
      <c r="G522" s="22" t="s">
        <v>659</v>
      </c>
      <c r="H522" s="29" t="s">
        <v>1437</v>
      </c>
    </row>
    <row r="523" ht="20" customHeight="1" spans="1:8" x14ac:dyDescent="0.25">
      <c r="A523" s="24" t="s">
        <v>48</v>
      </c>
      <c r="B523" s="24" t="s">
        <v>36</v>
      </c>
      <c r="C523" s="25" t="s">
        <v>71</v>
      </c>
      <c r="D523" s="6" t="s">
        <v>4</v>
      </c>
      <c r="E523" s="24" t="s">
        <v>1436</v>
      </c>
      <c r="F523" s="24" t="s">
        <v>998</v>
      </c>
      <c r="G523" s="24" t="s">
        <v>396</v>
      </c>
      <c r="H523" s="34" t="s">
        <v>1437</v>
      </c>
    </row>
    <row r="524" ht="20" customHeight="1" spans="1:8" x14ac:dyDescent="0.25">
      <c r="A524" s="22" t="s">
        <v>49</v>
      </c>
      <c r="B524" s="22" t="s">
        <v>38</v>
      </c>
      <c r="C524" s="23" t="s">
        <v>71</v>
      </c>
      <c r="D524" s="6" t="s">
        <v>4</v>
      </c>
      <c r="E524" s="22" t="s">
        <v>965</v>
      </c>
      <c r="F524" s="22" t="s">
        <v>1439</v>
      </c>
      <c r="G524" s="22" t="s">
        <v>283</v>
      </c>
      <c r="H524" s="29" t="s">
        <v>966</v>
      </c>
    </row>
    <row r="525" ht="20" customHeight="1" spans="1:8" x14ac:dyDescent="0.25">
      <c r="A525" s="24" t="s">
        <v>50</v>
      </c>
      <c r="B525" s="24" t="s">
        <v>40</v>
      </c>
      <c r="C525" s="25" t="s">
        <v>71</v>
      </c>
      <c r="D525" s="6" t="s">
        <v>4</v>
      </c>
      <c r="E525" s="24" t="s">
        <v>480</v>
      </c>
      <c r="F525" s="24" t="s">
        <v>474</v>
      </c>
      <c r="G525" s="24" t="s">
        <v>130</v>
      </c>
      <c r="H525" s="34" t="s">
        <v>482</v>
      </c>
    </row>
    <row r="526" ht="20" customHeight="1" spans="1:8" x14ac:dyDescent="0.25">
      <c r="A526" s="22" t="s">
        <v>51</v>
      </c>
      <c r="B526" s="22" t="s">
        <v>42</v>
      </c>
      <c r="C526" s="23" t="s">
        <v>71</v>
      </c>
      <c r="D526" s="35" t="s">
        <v>86</v>
      </c>
      <c r="E526" s="22" t="s">
        <v>12</v>
      </c>
      <c r="F526" s="22" t="s">
        <v>12</v>
      </c>
      <c r="G526" s="22" t="s">
        <v>12</v>
      </c>
      <c r="H526" s="22" t="s">
        <v>32</v>
      </c>
    </row>
    <row r="527" ht="20" customHeight="1" spans="1:8" x14ac:dyDescent="0.25">
      <c r="A527" s="24" t="s">
        <v>52</v>
      </c>
      <c r="B527" s="24" t="s">
        <v>45</v>
      </c>
      <c r="C527" s="25" t="s">
        <v>71</v>
      </c>
      <c r="D527" s="6" t="s">
        <v>4</v>
      </c>
      <c r="E527" s="24" t="s">
        <v>1436</v>
      </c>
      <c r="F527" s="24" t="s">
        <v>751</v>
      </c>
      <c r="G527" s="24" t="s">
        <v>659</v>
      </c>
      <c r="H527" s="34" t="s">
        <v>1437</v>
      </c>
    </row>
    <row r="528" ht="20" customHeight="1" spans="1:8" x14ac:dyDescent="0.25">
      <c r="A528" s="22" t="s">
        <v>53</v>
      </c>
      <c r="B528" s="22" t="s">
        <v>31</v>
      </c>
      <c r="C528" s="23" t="s">
        <v>71</v>
      </c>
      <c r="D528" s="6" t="s">
        <v>4</v>
      </c>
      <c r="E528" s="22" t="s">
        <v>1208</v>
      </c>
      <c r="F528" s="22" t="s">
        <v>1232</v>
      </c>
      <c r="G528" s="22" t="s">
        <v>1440</v>
      </c>
      <c r="H528" s="29" t="s">
        <v>1209</v>
      </c>
    </row>
    <row r="529" ht="20" customHeight="1" spans="1:8" x14ac:dyDescent="0.25">
      <c r="A529" s="24" t="s">
        <v>54</v>
      </c>
      <c r="B529" s="24" t="s">
        <v>34</v>
      </c>
      <c r="C529" s="25" t="s">
        <v>71</v>
      </c>
      <c r="D529" s="6" t="s">
        <v>4</v>
      </c>
      <c r="E529" s="24" t="s">
        <v>1441</v>
      </c>
      <c r="F529" s="24" t="s">
        <v>1393</v>
      </c>
      <c r="G529" s="24" t="s">
        <v>563</v>
      </c>
      <c r="H529" s="34" t="s">
        <v>1442</v>
      </c>
    </row>
    <row r="530" ht="20" customHeight="1" spans="1:8" x14ac:dyDescent="0.25">
      <c r="A530" s="22" t="s">
        <v>55</v>
      </c>
      <c r="B530" s="22" t="s">
        <v>36</v>
      </c>
      <c r="C530" s="23" t="s">
        <v>71</v>
      </c>
      <c r="D530" s="6" t="s">
        <v>4</v>
      </c>
      <c r="E530" s="22" t="s">
        <v>965</v>
      </c>
      <c r="F530" s="22" t="s">
        <v>1443</v>
      </c>
      <c r="G530" s="22" t="s">
        <v>407</v>
      </c>
      <c r="H530" s="29" t="s">
        <v>966</v>
      </c>
    </row>
    <row r="531" ht="20" customHeight="1" spans="1:8" x14ac:dyDescent="0.25">
      <c r="A531" s="24" t="s">
        <v>56</v>
      </c>
      <c r="B531" s="24" t="s">
        <v>38</v>
      </c>
      <c r="C531" s="25" t="s">
        <v>71</v>
      </c>
      <c r="D531" s="6" t="s">
        <v>4</v>
      </c>
      <c r="E531" s="24" t="s">
        <v>12</v>
      </c>
      <c r="F531" s="24" t="s">
        <v>12</v>
      </c>
      <c r="G531" s="24" t="s">
        <v>12</v>
      </c>
      <c r="H531" s="24" t="s">
        <v>32</v>
      </c>
    </row>
    <row r="532" ht="20" customHeight="1" spans="1:8" x14ac:dyDescent="0.25">
      <c r="A532" s="22" t="s">
        <v>57</v>
      </c>
      <c r="B532" s="22" t="s">
        <v>40</v>
      </c>
      <c r="C532" s="23" t="s">
        <v>71</v>
      </c>
      <c r="D532" s="6" t="s">
        <v>4</v>
      </c>
      <c r="E532" s="22" t="s">
        <v>1088</v>
      </c>
      <c r="F532" s="22" t="s">
        <v>1444</v>
      </c>
      <c r="G532" s="22" t="s">
        <v>590</v>
      </c>
      <c r="H532" s="29" t="s">
        <v>1089</v>
      </c>
    </row>
    <row r="533" ht="20" customHeight="1" spans="1:8" x14ac:dyDescent="0.25">
      <c r="A533" s="24" t="s">
        <v>58</v>
      </c>
      <c r="B533" s="24" t="s">
        <v>42</v>
      </c>
      <c r="C533" s="25" t="s">
        <v>71</v>
      </c>
      <c r="D533" s="33" t="s">
        <v>86</v>
      </c>
      <c r="E533" s="24" t="s">
        <v>12</v>
      </c>
      <c r="F533" s="24" t="s">
        <v>12</v>
      </c>
      <c r="G533" s="24" t="s">
        <v>12</v>
      </c>
      <c r="H533" s="24" t="s">
        <v>32</v>
      </c>
    </row>
    <row r="534" ht="20" customHeight="1" spans="1:8" x14ac:dyDescent="0.25">
      <c r="A534" s="22" t="s">
        <v>59</v>
      </c>
      <c r="B534" s="22" t="s">
        <v>45</v>
      </c>
      <c r="C534" s="23" t="s">
        <v>71</v>
      </c>
      <c r="D534" s="6" t="s">
        <v>4</v>
      </c>
      <c r="E534" s="22" t="s">
        <v>1436</v>
      </c>
      <c r="F534" s="22" t="s">
        <v>1350</v>
      </c>
      <c r="G534" s="22" t="s">
        <v>279</v>
      </c>
      <c r="H534" s="29" t="s">
        <v>1437</v>
      </c>
    </row>
    <row r="535" ht="20" customHeight="1" spans="1:8" x14ac:dyDescent="0.25">
      <c r="A535" s="24" t="s">
        <v>60</v>
      </c>
      <c r="B535" s="24" t="s">
        <v>31</v>
      </c>
      <c r="C535" s="25" t="s">
        <v>71</v>
      </c>
      <c r="D535" s="6" t="s">
        <v>4</v>
      </c>
      <c r="E535" s="24" t="s">
        <v>1088</v>
      </c>
      <c r="F535" s="24" t="s">
        <v>1082</v>
      </c>
      <c r="G535" s="24" t="s">
        <v>659</v>
      </c>
      <c r="H535" s="34" t="s">
        <v>1089</v>
      </c>
    </row>
    <row r="536" ht="20" customHeight="1" spans="1:8" x14ac:dyDescent="0.25">
      <c r="A536" s="22" t="s">
        <v>61</v>
      </c>
      <c r="B536" s="22" t="s">
        <v>34</v>
      </c>
      <c r="C536" s="23" t="s">
        <v>71</v>
      </c>
      <c r="D536" s="6" t="s">
        <v>4</v>
      </c>
      <c r="E536" s="22" t="s">
        <v>1436</v>
      </c>
      <c r="F536" s="22" t="s">
        <v>751</v>
      </c>
      <c r="G536" s="22" t="s">
        <v>279</v>
      </c>
      <c r="H536" s="29" t="s">
        <v>1437</v>
      </c>
    </row>
    <row r="537" ht="20" customHeight="1" spans="1:8" x14ac:dyDescent="0.25">
      <c r="A537" s="24" t="s">
        <v>62</v>
      </c>
      <c r="B537" s="24" t="s">
        <v>36</v>
      </c>
      <c r="C537" s="25" t="s">
        <v>71</v>
      </c>
      <c r="D537" s="6" t="s">
        <v>4</v>
      </c>
      <c r="E537" s="24" t="s">
        <v>334</v>
      </c>
      <c r="F537" s="24" t="s">
        <v>751</v>
      </c>
      <c r="G537" s="24" t="s">
        <v>279</v>
      </c>
      <c r="H537" s="34" t="s">
        <v>337</v>
      </c>
    </row>
    <row r="538" ht="20" customHeight="1" spans="1:8" x14ac:dyDescent="0.25">
      <c r="A538" s="22" t="s">
        <v>63</v>
      </c>
      <c r="B538" s="22" t="s">
        <v>38</v>
      </c>
      <c r="C538" s="23" t="s">
        <v>71</v>
      </c>
      <c r="D538" s="6" t="s">
        <v>4</v>
      </c>
      <c r="E538" s="22" t="s">
        <v>1436</v>
      </c>
      <c r="F538" s="22" t="s">
        <v>1080</v>
      </c>
      <c r="G538" s="22" t="s">
        <v>74</v>
      </c>
      <c r="H538" s="29" t="s">
        <v>1437</v>
      </c>
    </row>
    <row r="539" ht="20" customHeight="1" spans="1:8" x14ac:dyDescent="0.25">
      <c r="A539" s="24" t="s">
        <v>64</v>
      </c>
      <c r="B539" s="24" t="s">
        <v>40</v>
      </c>
      <c r="C539" s="25" t="s">
        <v>71</v>
      </c>
      <c r="D539" s="6" t="s">
        <v>4</v>
      </c>
      <c r="E539" s="24" t="s">
        <v>340</v>
      </c>
      <c r="F539" s="24" t="s">
        <v>452</v>
      </c>
      <c r="G539" s="24" t="s">
        <v>652</v>
      </c>
      <c r="H539" s="34" t="s">
        <v>342</v>
      </c>
    </row>
    <row r="540" ht="20" customHeight="1" spans="1:8" x14ac:dyDescent="0.25">
      <c r="A540" s="22" t="s">
        <v>65</v>
      </c>
      <c r="B540" s="22" t="s">
        <v>42</v>
      </c>
      <c r="C540" s="23" t="s">
        <v>71</v>
      </c>
      <c r="D540" s="35" t="s">
        <v>86</v>
      </c>
      <c r="E540" s="22" t="s">
        <v>12</v>
      </c>
      <c r="F540" s="22" t="s">
        <v>12</v>
      </c>
      <c r="G540" s="22" t="s">
        <v>12</v>
      </c>
      <c r="H540" s="22" t="s">
        <v>32</v>
      </c>
    </row>
    <row r="541" ht="20" customHeight="1" spans="1:8" x14ac:dyDescent="0.25">
      <c r="A541" s="24" t="s">
        <v>66</v>
      </c>
      <c r="B541" s="24" t="s">
        <v>45</v>
      </c>
      <c r="C541" s="25" t="s">
        <v>71</v>
      </c>
      <c r="D541" s="6" t="s">
        <v>4</v>
      </c>
      <c r="E541" s="24" t="s">
        <v>1088</v>
      </c>
      <c r="F541" s="24" t="s">
        <v>751</v>
      </c>
      <c r="G541" s="24" t="s">
        <v>414</v>
      </c>
      <c r="H541" s="34" t="s">
        <v>1089</v>
      </c>
    </row>
    <row r="542" ht="20" customHeight="1" spans="1:8" x14ac:dyDescent="0.25">
      <c r="A542" s="22" t="s">
        <v>67</v>
      </c>
      <c r="B542" s="22" t="s">
        <v>31</v>
      </c>
      <c r="C542" s="23" t="s">
        <v>71</v>
      </c>
      <c r="D542" s="6" t="s">
        <v>4</v>
      </c>
      <c r="E542" s="22" t="s">
        <v>1436</v>
      </c>
      <c r="F542" s="22" t="s">
        <v>961</v>
      </c>
      <c r="G542" s="22" t="s">
        <v>283</v>
      </c>
      <c r="H542" s="29" t="s">
        <v>1437</v>
      </c>
    </row>
    <row r="543" ht="20" customHeight="1" spans="1:8" x14ac:dyDescent="0.25">
      <c r="A543" s="24" t="s">
        <v>68</v>
      </c>
      <c r="B543" s="24" t="s">
        <v>34</v>
      </c>
      <c r="C543" s="25" t="s">
        <v>71</v>
      </c>
      <c r="D543" s="10" t="s">
        <v>87</v>
      </c>
      <c r="E543" s="24" t="s">
        <v>12</v>
      </c>
      <c r="F543" s="24" t="s">
        <v>12</v>
      </c>
      <c r="G543" s="24" t="s">
        <v>12</v>
      </c>
      <c r="H543" s="24" t="s">
        <v>32</v>
      </c>
    </row>
    <row r="544" ht="22" customHeight="1" spans="1:8" x14ac:dyDescent="0.25">
      <c r="A544" s="26" t="s">
        <v>69</v>
      </c>
      <c r="B544" s="26"/>
      <c r="C544" s="26"/>
      <c r="D544" s="26"/>
      <c r="E544" s="26"/>
      <c r="F544" s="26"/>
      <c r="G544" s="27" t="s">
        <v>1445</v>
      </c>
      <c r="H544" s="28" t="s">
        <v>12</v>
      </c>
    </row>
    <row r="546" ht="26" customHeight="1" spans="1:8" x14ac:dyDescent="0.25">
      <c r="A546" s="20" t="s">
        <v>1446</v>
      </c>
      <c r="B546" s="20"/>
      <c r="C546" s="20"/>
      <c r="D546" s="20"/>
      <c r="E546" s="20"/>
      <c r="F546" s="20"/>
      <c r="G546" s="20"/>
      <c r="H546" s="20"/>
    </row>
    <row r="547" ht="22" customHeight="1" spans="1:8" x14ac:dyDescent="0.25">
      <c r="A547" s="21" t="s">
        <v>22</v>
      </c>
      <c r="B547" s="21" t="s">
        <v>23</v>
      </c>
      <c r="C547" s="21" t="s">
        <v>24</v>
      </c>
      <c r="D547" s="21" t="s">
        <v>25</v>
      </c>
      <c r="E547" s="21" t="s">
        <v>26</v>
      </c>
      <c r="F547" s="21" t="s">
        <v>27</v>
      </c>
      <c r="G547" s="21" t="s">
        <v>28</v>
      </c>
      <c r="H547" s="21" t="s">
        <v>29</v>
      </c>
    </row>
    <row r="548" ht="20" customHeight="1" spans="1:8" x14ac:dyDescent="0.25">
      <c r="A548" s="22" t="s">
        <v>30</v>
      </c>
      <c r="B548" s="22" t="s">
        <v>31</v>
      </c>
      <c r="C548" s="23" t="s">
        <v>71</v>
      </c>
      <c r="D548" s="6" t="s">
        <v>4</v>
      </c>
      <c r="E548" s="22" t="s">
        <v>125</v>
      </c>
      <c r="F548" s="22" t="s">
        <v>136</v>
      </c>
      <c r="G548" s="22" t="s">
        <v>99</v>
      </c>
      <c r="H548" s="29" t="s">
        <v>1447</v>
      </c>
    </row>
    <row r="549" ht="20" customHeight="1" spans="1:8" x14ac:dyDescent="0.25">
      <c r="A549" s="24" t="s">
        <v>33</v>
      </c>
      <c r="B549" s="24" t="s">
        <v>34</v>
      </c>
      <c r="C549" s="25" t="s">
        <v>71</v>
      </c>
      <c r="D549" s="6" t="s">
        <v>4</v>
      </c>
      <c r="E549" s="24" t="s">
        <v>125</v>
      </c>
      <c r="F549" s="24" t="s">
        <v>136</v>
      </c>
      <c r="G549" s="24" t="s">
        <v>99</v>
      </c>
      <c r="H549" s="34" t="s">
        <v>1180</v>
      </c>
    </row>
    <row r="550" ht="20" customHeight="1" spans="1:8" x14ac:dyDescent="0.25">
      <c r="A550" s="22" t="s">
        <v>35</v>
      </c>
      <c r="B550" s="22" t="s">
        <v>36</v>
      </c>
      <c r="C550" s="23" t="s">
        <v>71</v>
      </c>
      <c r="D550" s="6" t="s">
        <v>4</v>
      </c>
      <c r="E550" s="22" t="s">
        <v>125</v>
      </c>
      <c r="F550" s="22" t="s">
        <v>136</v>
      </c>
      <c r="G550" s="22" t="s">
        <v>99</v>
      </c>
      <c r="H550" s="32" t="s">
        <v>79</v>
      </c>
    </row>
    <row r="551" ht="20" customHeight="1" spans="1:8" x14ac:dyDescent="0.25">
      <c r="A551" s="24" t="s">
        <v>37</v>
      </c>
      <c r="B551" s="24" t="s">
        <v>38</v>
      </c>
      <c r="C551" s="25" t="s">
        <v>71</v>
      </c>
      <c r="D551" s="31" t="s">
        <v>11</v>
      </c>
      <c r="E551" s="24" t="s">
        <v>12</v>
      </c>
      <c r="F551" s="24" t="s">
        <v>12</v>
      </c>
      <c r="G551" s="24" t="s">
        <v>12</v>
      </c>
      <c r="H551" s="24" t="s">
        <v>32</v>
      </c>
    </row>
    <row r="552" ht="20" customHeight="1" spans="1:8" x14ac:dyDescent="0.25">
      <c r="A552" s="22" t="s">
        <v>39</v>
      </c>
      <c r="B552" s="22" t="s">
        <v>40</v>
      </c>
      <c r="C552" s="23" t="s">
        <v>71</v>
      </c>
      <c r="D552" s="6" t="s">
        <v>4</v>
      </c>
      <c r="E552" s="22" t="s">
        <v>125</v>
      </c>
      <c r="F552" s="22" t="s">
        <v>136</v>
      </c>
      <c r="G552" s="22" t="s">
        <v>99</v>
      </c>
      <c r="H552" s="32" t="s">
        <v>79</v>
      </c>
    </row>
    <row r="553" ht="20" customHeight="1" spans="1:8" x14ac:dyDescent="0.25">
      <c r="A553" s="24" t="s">
        <v>41</v>
      </c>
      <c r="B553" s="24" t="s">
        <v>42</v>
      </c>
      <c r="C553" s="25" t="s">
        <v>71</v>
      </c>
      <c r="D553" s="33" t="s">
        <v>86</v>
      </c>
      <c r="E553" s="24" t="s">
        <v>12</v>
      </c>
      <c r="F553" s="24" t="s">
        <v>12</v>
      </c>
      <c r="G553" s="24" t="s">
        <v>12</v>
      </c>
      <c r="H553" s="24" t="s">
        <v>32</v>
      </c>
    </row>
    <row r="554" ht="20" customHeight="1" spans="1:8" x14ac:dyDescent="0.25">
      <c r="A554" s="22" t="s">
        <v>44</v>
      </c>
      <c r="B554" s="22" t="s">
        <v>45</v>
      </c>
      <c r="C554" s="23" t="s">
        <v>71</v>
      </c>
      <c r="D554" s="6" t="s">
        <v>4</v>
      </c>
      <c r="E554" s="22" t="s">
        <v>125</v>
      </c>
      <c r="F554" s="22" t="s">
        <v>136</v>
      </c>
      <c r="G554" s="22" t="s">
        <v>99</v>
      </c>
      <c r="H554" s="29" t="s">
        <v>1173</v>
      </c>
    </row>
    <row r="555" ht="20" customHeight="1" spans="1:8" x14ac:dyDescent="0.25">
      <c r="A555" s="24" t="s">
        <v>46</v>
      </c>
      <c r="B555" s="24" t="s">
        <v>31</v>
      </c>
      <c r="C555" s="25" t="s">
        <v>71</v>
      </c>
      <c r="D555" s="6" t="s">
        <v>4</v>
      </c>
      <c r="E555" s="24" t="s">
        <v>125</v>
      </c>
      <c r="F555" s="24" t="s">
        <v>136</v>
      </c>
      <c r="G555" s="24" t="s">
        <v>99</v>
      </c>
      <c r="H555" s="34" t="s">
        <v>1448</v>
      </c>
    </row>
    <row r="556" ht="20" customHeight="1" spans="1:8" x14ac:dyDescent="0.25">
      <c r="A556" s="22" t="s">
        <v>47</v>
      </c>
      <c r="B556" s="22" t="s">
        <v>34</v>
      </c>
      <c r="C556" s="23" t="s">
        <v>71</v>
      </c>
      <c r="D556" s="6" t="s">
        <v>4</v>
      </c>
      <c r="E556" s="22" t="s">
        <v>125</v>
      </c>
      <c r="F556" s="22" t="s">
        <v>136</v>
      </c>
      <c r="G556" s="22" t="s">
        <v>99</v>
      </c>
      <c r="H556" s="29" t="s">
        <v>1344</v>
      </c>
    </row>
    <row r="557" ht="20" customHeight="1" spans="1:8" x14ac:dyDescent="0.25">
      <c r="A557" s="24" t="s">
        <v>48</v>
      </c>
      <c r="B557" s="24" t="s">
        <v>36</v>
      </c>
      <c r="C557" s="25" t="s">
        <v>71</v>
      </c>
      <c r="D557" s="6" t="s">
        <v>4</v>
      </c>
      <c r="E557" s="24" t="s">
        <v>125</v>
      </c>
      <c r="F557" s="24" t="s">
        <v>136</v>
      </c>
      <c r="G557" s="24" t="s">
        <v>99</v>
      </c>
      <c r="H557" s="30" t="s">
        <v>79</v>
      </c>
    </row>
    <row r="558" ht="20" customHeight="1" spans="1:8" x14ac:dyDescent="0.25">
      <c r="A558" s="22" t="s">
        <v>49</v>
      </c>
      <c r="B558" s="22" t="s">
        <v>38</v>
      </c>
      <c r="C558" s="23" t="s">
        <v>71</v>
      </c>
      <c r="D558" s="6" t="s">
        <v>4</v>
      </c>
      <c r="E558" s="22" t="s">
        <v>125</v>
      </c>
      <c r="F558" s="22" t="s">
        <v>136</v>
      </c>
      <c r="G558" s="22" t="s">
        <v>99</v>
      </c>
      <c r="H558" s="29" t="s">
        <v>497</v>
      </c>
    </row>
    <row r="559" ht="20" customHeight="1" spans="1:8" x14ac:dyDescent="0.25">
      <c r="A559" s="24" t="s">
        <v>50</v>
      </c>
      <c r="B559" s="24" t="s">
        <v>40</v>
      </c>
      <c r="C559" s="25" t="s">
        <v>71</v>
      </c>
      <c r="D559" s="6" t="s">
        <v>4</v>
      </c>
      <c r="E559" s="24" t="s">
        <v>1070</v>
      </c>
      <c r="F559" s="24" t="s">
        <v>12</v>
      </c>
      <c r="G559" s="24" t="s">
        <v>12</v>
      </c>
      <c r="H559" s="34" t="s">
        <v>1071</v>
      </c>
    </row>
    <row r="560" ht="20" customHeight="1" spans="1:8" x14ac:dyDescent="0.25">
      <c r="A560" s="22" t="s">
        <v>51</v>
      </c>
      <c r="B560" s="22" t="s">
        <v>42</v>
      </c>
      <c r="C560" s="23" t="s">
        <v>71</v>
      </c>
      <c r="D560" s="35" t="s">
        <v>86</v>
      </c>
      <c r="E560" s="22" t="s">
        <v>12</v>
      </c>
      <c r="F560" s="22" t="s">
        <v>12</v>
      </c>
      <c r="G560" s="22" t="s">
        <v>12</v>
      </c>
      <c r="H560" s="22" t="s">
        <v>32</v>
      </c>
    </row>
    <row r="561" ht="20" customHeight="1" spans="1:8" x14ac:dyDescent="0.25">
      <c r="A561" s="24" t="s">
        <v>52</v>
      </c>
      <c r="B561" s="24" t="s">
        <v>45</v>
      </c>
      <c r="C561" s="25" t="s">
        <v>71</v>
      </c>
      <c r="D561" s="6" t="s">
        <v>4</v>
      </c>
      <c r="E561" s="24" t="s">
        <v>125</v>
      </c>
      <c r="F561" s="24" t="s">
        <v>136</v>
      </c>
      <c r="G561" s="24" t="s">
        <v>99</v>
      </c>
      <c r="H561" s="30" t="s">
        <v>79</v>
      </c>
    </row>
    <row r="562" ht="20" customHeight="1" spans="1:8" x14ac:dyDescent="0.25">
      <c r="A562" s="22" t="s">
        <v>53</v>
      </c>
      <c r="B562" s="22" t="s">
        <v>31</v>
      </c>
      <c r="C562" s="23" t="s">
        <v>71</v>
      </c>
      <c r="D562" s="6" t="s">
        <v>4</v>
      </c>
      <c r="E562" s="22" t="s">
        <v>125</v>
      </c>
      <c r="F562" s="22" t="s">
        <v>136</v>
      </c>
      <c r="G562" s="22" t="s">
        <v>99</v>
      </c>
      <c r="H562" s="29" t="s">
        <v>1449</v>
      </c>
    </row>
    <row r="563" ht="20" customHeight="1" spans="1:8" x14ac:dyDescent="0.25">
      <c r="A563" s="24" t="s">
        <v>54</v>
      </c>
      <c r="B563" s="24" t="s">
        <v>34</v>
      </c>
      <c r="C563" s="25" t="s">
        <v>71</v>
      </c>
      <c r="D563" s="6" t="s">
        <v>4</v>
      </c>
      <c r="E563" s="24" t="s">
        <v>125</v>
      </c>
      <c r="F563" s="24" t="s">
        <v>136</v>
      </c>
      <c r="G563" s="24" t="s">
        <v>99</v>
      </c>
      <c r="H563" s="30" t="s">
        <v>79</v>
      </c>
    </row>
    <row r="564" ht="20" customHeight="1" spans="1:8" x14ac:dyDescent="0.25">
      <c r="A564" s="22" t="s">
        <v>55</v>
      </c>
      <c r="B564" s="22" t="s">
        <v>36</v>
      </c>
      <c r="C564" s="23" t="s">
        <v>71</v>
      </c>
      <c r="D564" s="6" t="s">
        <v>4</v>
      </c>
      <c r="E564" s="22" t="s">
        <v>125</v>
      </c>
      <c r="F564" s="22" t="s">
        <v>136</v>
      </c>
      <c r="G564" s="22" t="s">
        <v>99</v>
      </c>
      <c r="H564" s="32" t="s">
        <v>79</v>
      </c>
    </row>
    <row r="565" ht="20" customHeight="1" spans="1:8" x14ac:dyDescent="0.25">
      <c r="A565" s="24" t="s">
        <v>56</v>
      </c>
      <c r="B565" s="24" t="s">
        <v>38</v>
      </c>
      <c r="C565" s="25" t="s">
        <v>71</v>
      </c>
      <c r="D565" s="6" t="s">
        <v>4</v>
      </c>
      <c r="E565" s="24" t="s">
        <v>125</v>
      </c>
      <c r="F565" s="24" t="s">
        <v>136</v>
      </c>
      <c r="G565" s="24" t="s">
        <v>99</v>
      </c>
      <c r="H565" s="34" t="s">
        <v>1212</v>
      </c>
    </row>
    <row r="566" ht="20" customHeight="1" spans="1:8" x14ac:dyDescent="0.25">
      <c r="A566" s="22" t="s">
        <v>57</v>
      </c>
      <c r="B566" s="22" t="s">
        <v>40</v>
      </c>
      <c r="C566" s="23" t="s">
        <v>71</v>
      </c>
      <c r="D566" s="6" t="s">
        <v>4</v>
      </c>
      <c r="E566" s="22" t="s">
        <v>125</v>
      </c>
      <c r="F566" s="22" t="s">
        <v>136</v>
      </c>
      <c r="G566" s="22" t="s">
        <v>99</v>
      </c>
      <c r="H566" s="32" t="s">
        <v>79</v>
      </c>
    </row>
    <row r="567" ht="20" customHeight="1" spans="1:8" x14ac:dyDescent="0.25">
      <c r="A567" s="24" t="s">
        <v>58</v>
      </c>
      <c r="B567" s="24" t="s">
        <v>42</v>
      </c>
      <c r="C567" s="25" t="s">
        <v>71</v>
      </c>
      <c r="D567" s="33" t="s">
        <v>86</v>
      </c>
      <c r="E567" s="24" t="s">
        <v>12</v>
      </c>
      <c r="F567" s="24" t="s">
        <v>12</v>
      </c>
      <c r="G567" s="24" t="s">
        <v>12</v>
      </c>
      <c r="H567" s="24" t="s">
        <v>32</v>
      </c>
    </row>
    <row r="568" ht="20" customHeight="1" spans="1:8" x14ac:dyDescent="0.25">
      <c r="A568" s="22" t="s">
        <v>59</v>
      </c>
      <c r="B568" s="22" t="s">
        <v>45</v>
      </c>
      <c r="C568" s="23" t="s">
        <v>71</v>
      </c>
      <c r="D568" s="6" t="s">
        <v>4</v>
      </c>
      <c r="E568" s="22" t="s">
        <v>125</v>
      </c>
      <c r="F568" s="22" t="s">
        <v>136</v>
      </c>
      <c r="G568" s="22" t="s">
        <v>99</v>
      </c>
      <c r="H568" s="29" t="s">
        <v>1287</v>
      </c>
    </row>
    <row r="569" ht="20" customHeight="1" spans="1:8" x14ac:dyDescent="0.25">
      <c r="A569" s="24" t="s">
        <v>60</v>
      </c>
      <c r="B569" s="24" t="s">
        <v>31</v>
      </c>
      <c r="C569" s="25" t="s">
        <v>71</v>
      </c>
      <c r="D569" s="6" t="s">
        <v>4</v>
      </c>
      <c r="E569" s="24" t="s">
        <v>125</v>
      </c>
      <c r="F569" s="24" t="s">
        <v>136</v>
      </c>
      <c r="G569" s="24" t="s">
        <v>99</v>
      </c>
      <c r="H569" s="34" t="s">
        <v>1450</v>
      </c>
    </row>
    <row r="570" ht="20" customHeight="1" spans="1:8" x14ac:dyDescent="0.25">
      <c r="A570" s="22" t="s">
        <v>61</v>
      </c>
      <c r="B570" s="22" t="s">
        <v>34</v>
      </c>
      <c r="C570" s="23" t="s">
        <v>71</v>
      </c>
      <c r="D570" s="6" t="s">
        <v>4</v>
      </c>
      <c r="E570" s="22" t="s">
        <v>125</v>
      </c>
      <c r="F570" s="22" t="s">
        <v>136</v>
      </c>
      <c r="G570" s="22" t="s">
        <v>99</v>
      </c>
      <c r="H570" s="29" t="s">
        <v>1287</v>
      </c>
    </row>
    <row r="571" ht="20" customHeight="1" spans="1:8" x14ac:dyDescent="0.25">
      <c r="A571" s="24" t="s">
        <v>62</v>
      </c>
      <c r="B571" s="24" t="s">
        <v>36</v>
      </c>
      <c r="C571" s="25" t="s">
        <v>71</v>
      </c>
      <c r="D571" s="6" t="s">
        <v>4</v>
      </c>
      <c r="E571" s="24" t="s">
        <v>125</v>
      </c>
      <c r="F571" s="24" t="s">
        <v>136</v>
      </c>
      <c r="G571" s="24" t="s">
        <v>99</v>
      </c>
      <c r="H571" s="34" t="s">
        <v>1058</v>
      </c>
    </row>
    <row r="572" ht="20" customHeight="1" spans="1:8" x14ac:dyDescent="0.25">
      <c r="A572" s="22" t="s">
        <v>63</v>
      </c>
      <c r="B572" s="22" t="s">
        <v>38</v>
      </c>
      <c r="C572" s="23" t="s">
        <v>71</v>
      </c>
      <c r="D572" s="6" t="s">
        <v>4</v>
      </c>
      <c r="E572" s="22" t="s">
        <v>125</v>
      </c>
      <c r="F572" s="22" t="s">
        <v>136</v>
      </c>
      <c r="G572" s="22" t="s">
        <v>99</v>
      </c>
      <c r="H572" s="29" t="s">
        <v>459</v>
      </c>
    </row>
    <row r="573" ht="20" customHeight="1" spans="1:8" x14ac:dyDescent="0.25">
      <c r="A573" s="24" t="s">
        <v>64</v>
      </c>
      <c r="B573" s="24" t="s">
        <v>40</v>
      </c>
      <c r="C573" s="25" t="s">
        <v>71</v>
      </c>
      <c r="D573" s="6" t="s">
        <v>4</v>
      </c>
      <c r="E573" s="24" t="s">
        <v>125</v>
      </c>
      <c r="F573" s="24" t="s">
        <v>136</v>
      </c>
      <c r="G573" s="24" t="s">
        <v>99</v>
      </c>
      <c r="H573" s="30" t="s">
        <v>79</v>
      </c>
    </row>
    <row r="574" ht="20" customHeight="1" spans="1:8" x14ac:dyDescent="0.25">
      <c r="A574" s="22" t="s">
        <v>65</v>
      </c>
      <c r="B574" s="22" t="s">
        <v>42</v>
      </c>
      <c r="C574" s="23" t="s">
        <v>71</v>
      </c>
      <c r="D574" s="35" t="s">
        <v>86</v>
      </c>
      <c r="E574" s="22" t="s">
        <v>12</v>
      </c>
      <c r="F574" s="22" t="s">
        <v>12</v>
      </c>
      <c r="G574" s="22" t="s">
        <v>12</v>
      </c>
      <c r="H574" s="22" t="s">
        <v>32</v>
      </c>
    </row>
    <row r="575" ht="20" customHeight="1" spans="1:8" x14ac:dyDescent="0.25">
      <c r="A575" s="24" t="s">
        <v>66</v>
      </c>
      <c r="B575" s="24" t="s">
        <v>45</v>
      </c>
      <c r="C575" s="25" t="s">
        <v>71</v>
      </c>
      <c r="D575" s="6" t="s">
        <v>4</v>
      </c>
      <c r="E575" s="24" t="s">
        <v>125</v>
      </c>
      <c r="F575" s="24" t="s">
        <v>136</v>
      </c>
      <c r="G575" s="24" t="s">
        <v>99</v>
      </c>
      <c r="H575" s="34" t="s">
        <v>1451</v>
      </c>
    </row>
    <row r="576" ht="20" customHeight="1" spans="1:8" x14ac:dyDescent="0.25">
      <c r="A576" s="22" t="s">
        <v>67</v>
      </c>
      <c r="B576" s="22" t="s">
        <v>31</v>
      </c>
      <c r="C576" s="23" t="s">
        <v>71</v>
      </c>
      <c r="D576" s="6" t="s">
        <v>4</v>
      </c>
      <c r="E576" s="22" t="s">
        <v>125</v>
      </c>
      <c r="F576" s="22" t="s">
        <v>136</v>
      </c>
      <c r="G576" s="22" t="s">
        <v>99</v>
      </c>
      <c r="H576" s="29" t="s">
        <v>1452</v>
      </c>
    </row>
    <row r="577" ht="20" customHeight="1" spans="1:8" x14ac:dyDescent="0.25">
      <c r="A577" s="24" t="s">
        <v>68</v>
      </c>
      <c r="B577" s="24" t="s">
        <v>34</v>
      </c>
      <c r="C577" s="25" t="s">
        <v>71</v>
      </c>
      <c r="D577" s="6" t="s">
        <v>4</v>
      </c>
      <c r="E577" s="24" t="s">
        <v>125</v>
      </c>
      <c r="F577" s="24" t="s">
        <v>136</v>
      </c>
      <c r="G577" s="24" t="s">
        <v>99</v>
      </c>
      <c r="H577" s="34" t="s">
        <v>1120</v>
      </c>
    </row>
    <row r="578" ht="22" customHeight="1" spans="1:8" x14ac:dyDescent="0.25">
      <c r="A578" s="26" t="s">
        <v>69</v>
      </c>
      <c r="B578" s="26"/>
      <c r="C578" s="26"/>
      <c r="D578" s="26"/>
      <c r="E578" s="26"/>
      <c r="F578" s="26"/>
      <c r="G578" s="27" t="s">
        <v>270</v>
      </c>
      <c r="H578" s="28" t="s">
        <v>12</v>
      </c>
    </row>
    <row r="580" ht="26" customHeight="1" spans="1:8" x14ac:dyDescent="0.25">
      <c r="A580" s="20" t="s">
        <v>1453</v>
      </c>
      <c r="B580" s="20"/>
      <c r="C580" s="20"/>
      <c r="D580" s="20"/>
      <c r="E580" s="20"/>
      <c r="F580" s="20"/>
      <c r="G580" s="20"/>
      <c r="H580" s="20"/>
    </row>
    <row r="581" ht="22" customHeight="1" spans="1:8" x14ac:dyDescent="0.25">
      <c r="A581" s="21" t="s">
        <v>22</v>
      </c>
      <c r="B581" s="21" t="s">
        <v>23</v>
      </c>
      <c r="C581" s="21" t="s">
        <v>24</v>
      </c>
      <c r="D581" s="21" t="s">
        <v>25</v>
      </c>
      <c r="E581" s="21" t="s">
        <v>26</v>
      </c>
      <c r="F581" s="21" t="s">
        <v>27</v>
      </c>
      <c r="G581" s="21" t="s">
        <v>28</v>
      </c>
      <c r="H581" s="21" t="s">
        <v>29</v>
      </c>
    </row>
    <row r="582" ht="20" customHeight="1" spans="1:8" x14ac:dyDescent="0.25">
      <c r="A582" s="22" t="s">
        <v>30</v>
      </c>
      <c r="B582" s="22" t="s">
        <v>31</v>
      </c>
      <c r="C582" s="23" t="s">
        <v>71</v>
      </c>
      <c r="D582" s="6" t="s">
        <v>4</v>
      </c>
      <c r="E582" s="22" t="s">
        <v>364</v>
      </c>
      <c r="F582" s="22" t="s">
        <v>193</v>
      </c>
      <c r="G582" s="22" t="s">
        <v>572</v>
      </c>
      <c r="H582" s="32" t="s">
        <v>79</v>
      </c>
    </row>
    <row r="583" ht="20" customHeight="1" spans="1:8" x14ac:dyDescent="0.25">
      <c r="A583" s="24" t="s">
        <v>33</v>
      </c>
      <c r="B583" s="24" t="s">
        <v>34</v>
      </c>
      <c r="C583" s="25" t="s">
        <v>71</v>
      </c>
      <c r="D583" s="6" t="s">
        <v>4</v>
      </c>
      <c r="E583" s="24" t="s">
        <v>307</v>
      </c>
      <c r="F583" s="24" t="s">
        <v>164</v>
      </c>
      <c r="G583" s="24" t="s">
        <v>934</v>
      </c>
      <c r="H583" s="30" t="s">
        <v>79</v>
      </c>
    </row>
    <row r="584" ht="20" customHeight="1" spans="1:8" x14ac:dyDescent="0.25">
      <c r="A584" s="22" t="s">
        <v>35</v>
      </c>
      <c r="B584" s="22" t="s">
        <v>36</v>
      </c>
      <c r="C584" s="23" t="s">
        <v>71</v>
      </c>
      <c r="D584" s="6" t="s">
        <v>4</v>
      </c>
      <c r="E584" s="22" t="s">
        <v>435</v>
      </c>
      <c r="F584" s="22" t="s">
        <v>1080</v>
      </c>
      <c r="G584" s="22" t="s">
        <v>597</v>
      </c>
      <c r="H584" s="32" t="s">
        <v>79</v>
      </c>
    </row>
    <row r="585" ht="20" customHeight="1" spans="1:8" x14ac:dyDescent="0.25">
      <c r="A585" s="24" t="s">
        <v>37</v>
      </c>
      <c r="B585" s="24" t="s">
        <v>38</v>
      </c>
      <c r="C585" s="25" t="s">
        <v>71</v>
      </c>
      <c r="D585" s="31" t="s">
        <v>11</v>
      </c>
      <c r="E585" s="24" t="s">
        <v>12</v>
      </c>
      <c r="F585" s="24" t="s">
        <v>12</v>
      </c>
      <c r="G585" s="24" t="s">
        <v>12</v>
      </c>
      <c r="H585" s="24" t="s">
        <v>32</v>
      </c>
    </row>
    <row r="586" ht="20" customHeight="1" spans="1:8" x14ac:dyDescent="0.25">
      <c r="A586" s="22" t="s">
        <v>39</v>
      </c>
      <c r="B586" s="22" t="s">
        <v>40</v>
      </c>
      <c r="C586" s="23" t="s">
        <v>71</v>
      </c>
      <c r="D586" s="6" t="s">
        <v>4</v>
      </c>
      <c r="E586" s="22" t="s">
        <v>673</v>
      </c>
      <c r="F586" s="22" t="s">
        <v>398</v>
      </c>
      <c r="G586" s="22" t="s">
        <v>332</v>
      </c>
      <c r="H586" s="32" t="s">
        <v>79</v>
      </c>
    </row>
    <row r="587" ht="20" customHeight="1" spans="1:8" x14ac:dyDescent="0.25">
      <c r="A587" s="24" t="s">
        <v>41</v>
      </c>
      <c r="B587" s="24" t="s">
        <v>42</v>
      </c>
      <c r="C587" s="25" t="s">
        <v>71</v>
      </c>
      <c r="D587" s="33" t="s">
        <v>86</v>
      </c>
      <c r="E587" s="24" t="s">
        <v>12</v>
      </c>
      <c r="F587" s="24" t="s">
        <v>12</v>
      </c>
      <c r="G587" s="24" t="s">
        <v>12</v>
      </c>
      <c r="H587" s="24" t="s">
        <v>32</v>
      </c>
    </row>
    <row r="588" ht="20" customHeight="1" spans="1:8" x14ac:dyDescent="0.25">
      <c r="A588" s="22" t="s">
        <v>44</v>
      </c>
      <c r="B588" s="22" t="s">
        <v>45</v>
      </c>
      <c r="C588" s="23" t="s">
        <v>71</v>
      </c>
      <c r="D588" s="36" t="s">
        <v>218</v>
      </c>
      <c r="E588" s="22" t="s">
        <v>1454</v>
      </c>
      <c r="F588" s="22" t="s">
        <v>160</v>
      </c>
      <c r="G588" s="22" t="s">
        <v>1455</v>
      </c>
      <c r="H588" s="29" t="s">
        <v>1456</v>
      </c>
    </row>
    <row r="589" ht="20" customHeight="1" spans="1:8" x14ac:dyDescent="0.25">
      <c r="A589" s="24" t="s">
        <v>46</v>
      </c>
      <c r="B589" s="24" t="s">
        <v>31</v>
      </c>
      <c r="C589" s="25" t="s">
        <v>71</v>
      </c>
      <c r="D589" s="6" t="s">
        <v>4</v>
      </c>
      <c r="E589" s="24" t="s">
        <v>538</v>
      </c>
      <c r="F589" s="24" t="s">
        <v>402</v>
      </c>
      <c r="G589" s="24" t="s">
        <v>1021</v>
      </c>
      <c r="H589" s="30" t="s">
        <v>79</v>
      </c>
    </row>
    <row r="590" ht="20" customHeight="1" spans="1:8" x14ac:dyDescent="0.25">
      <c r="A590" s="22" t="s">
        <v>47</v>
      </c>
      <c r="B590" s="22" t="s">
        <v>34</v>
      </c>
      <c r="C590" s="23" t="s">
        <v>71</v>
      </c>
      <c r="D590" s="10" t="s">
        <v>87</v>
      </c>
      <c r="E590" s="22" t="s">
        <v>12</v>
      </c>
      <c r="F590" s="22" t="s">
        <v>12</v>
      </c>
      <c r="G590" s="22" t="s">
        <v>12</v>
      </c>
      <c r="H590" s="22" t="s">
        <v>32</v>
      </c>
    </row>
    <row r="591" ht="20" customHeight="1" spans="1:8" x14ac:dyDescent="0.25">
      <c r="A591" s="24" t="s">
        <v>48</v>
      </c>
      <c r="B591" s="24" t="s">
        <v>36</v>
      </c>
      <c r="C591" s="25" t="s">
        <v>71</v>
      </c>
      <c r="D591" s="6" t="s">
        <v>4</v>
      </c>
      <c r="E591" s="24" t="s">
        <v>576</v>
      </c>
      <c r="F591" s="24" t="s">
        <v>444</v>
      </c>
      <c r="G591" s="24" t="s">
        <v>496</v>
      </c>
      <c r="H591" s="34" t="s">
        <v>445</v>
      </c>
    </row>
    <row r="592" ht="20" customHeight="1" spans="1:8" x14ac:dyDescent="0.25">
      <c r="A592" s="22" t="s">
        <v>49</v>
      </c>
      <c r="B592" s="22" t="s">
        <v>38</v>
      </c>
      <c r="C592" s="23" t="s">
        <v>71</v>
      </c>
      <c r="D592" s="6" t="s">
        <v>4</v>
      </c>
      <c r="E592" s="22" t="s">
        <v>289</v>
      </c>
      <c r="F592" s="22" t="s">
        <v>555</v>
      </c>
      <c r="G592" s="22" t="s">
        <v>267</v>
      </c>
      <c r="H592" s="29" t="s">
        <v>556</v>
      </c>
    </row>
    <row r="593" ht="20" customHeight="1" spans="1:8" x14ac:dyDescent="0.25">
      <c r="A593" s="24" t="s">
        <v>50</v>
      </c>
      <c r="B593" s="24" t="s">
        <v>40</v>
      </c>
      <c r="C593" s="25" t="s">
        <v>71</v>
      </c>
      <c r="D593" s="33" t="s">
        <v>86</v>
      </c>
      <c r="E593" s="24" t="s">
        <v>12</v>
      </c>
      <c r="F593" s="24" t="s">
        <v>12</v>
      </c>
      <c r="G593" s="24" t="s">
        <v>12</v>
      </c>
      <c r="H593" s="24" t="s">
        <v>32</v>
      </c>
    </row>
    <row r="594" ht="20" customHeight="1" spans="1:8" x14ac:dyDescent="0.25">
      <c r="A594" s="22" t="s">
        <v>51</v>
      </c>
      <c r="B594" s="22" t="s">
        <v>42</v>
      </c>
      <c r="C594" s="23" t="s">
        <v>71</v>
      </c>
      <c r="D594" s="35" t="s">
        <v>86</v>
      </c>
      <c r="E594" s="22" t="s">
        <v>12</v>
      </c>
      <c r="F594" s="22" t="s">
        <v>12</v>
      </c>
      <c r="G594" s="22" t="s">
        <v>12</v>
      </c>
      <c r="H594" s="22" t="s">
        <v>32</v>
      </c>
    </row>
    <row r="595" ht="20" customHeight="1" spans="1:8" x14ac:dyDescent="0.25">
      <c r="A595" s="24" t="s">
        <v>52</v>
      </c>
      <c r="B595" s="24" t="s">
        <v>45</v>
      </c>
      <c r="C595" s="25" t="s">
        <v>71</v>
      </c>
      <c r="D595" s="36" t="s">
        <v>218</v>
      </c>
      <c r="E595" s="24" t="s">
        <v>1457</v>
      </c>
      <c r="F595" s="24" t="s">
        <v>1429</v>
      </c>
      <c r="G595" s="24" t="s">
        <v>1458</v>
      </c>
      <c r="H595" s="34" t="s">
        <v>1459</v>
      </c>
    </row>
    <row r="596" ht="20" customHeight="1" spans="1:8" x14ac:dyDescent="0.25">
      <c r="A596" s="22" t="s">
        <v>53</v>
      </c>
      <c r="B596" s="22" t="s">
        <v>31</v>
      </c>
      <c r="C596" s="23" t="s">
        <v>71</v>
      </c>
      <c r="D596" s="6" t="s">
        <v>4</v>
      </c>
      <c r="E596" s="22" t="s">
        <v>446</v>
      </c>
      <c r="F596" s="22" t="s">
        <v>761</v>
      </c>
      <c r="G596" s="22" t="s">
        <v>406</v>
      </c>
      <c r="H596" s="32" t="s">
        <v>79</v>
      </c>
    </row>
    <row r="597" ht="20" customHeight="1" spans="1:8" x14ac:dyDescent="0.25">
      <c r="A597" s="24" t="s">
        <v>54</v>
      </c>
      <c r="B597" s="24" t="s">
        <v>34</v>
      </c>
      <c r="C597" s="25" t="s">
        <v>71</v>
      </c>
      <c r="D597" s="6" t="s">
        <v>4</v>
      </c>
      <c r="E597" s="24" t="s">
        <v>289</v>
      </c>
      <c r="F597" s="24" t="s">
        <v>1083</v>
      </c>
      <c r="G597" s="24" t="s">
        <v>1112</v>
      </c>
      <c r="H597" s="30" t="s">
        <v>79</v>
      </c>
    </row>
    <row r="598" ht="20" customHeight="1" spans="1:8" x14ac:dyDescent="0.25">
      <c r="A598" s="22" t="s">
        <v>55</v>
      </c>
      <c r="B598" s="22" t="s">
        <v>36</v>
      </c>
      <c r="C598" s="23" t="s">
        <v>71</v>
      </c>
      <c r="D598" s="6" t="s">
        <v>4</v>
      </c>
      <c r="E598" s="22" t="s">
        <v>503</v>
      </c>
      <c r="F598" s="22" t="s">
        <v>636</v>
      </c>
      <c r="G598" s="22" t="s">
        <v>406</v>
      </c>
      <c r="H598" s="32" t="s">
        <v>79</v>
      </c>
    </row>
    <row r="599" ht="20" customHeight="1" spans="1:8" x14ac:dyDescent="0.25">
      <c r="A599" s="24" t="s">
        <v>56</v>
      </c>
      <c r="B599" s="24" t="s">
        <v>38</v>
      </c>
      <c r="C599" s="25" t="s">
        <v>71</v>
      </c>
      <c r="D599" s="36" t="s">
        <v>218</v>
      </c>
      <c r="E599" s="24" t="s">
        <v>12</v>
      </c>
      <c r="F599" s="24" t="s">
        <v>12</v>
      </c>
      <c r="G599" s="24" t="s">
        <v>12</v>
      </c>
      <c r="H599" s="24" t="s">
        <v>32</v>
      </c>
    </row>
    <row r="600" ht="20" customHeight="1" spans="1:8" x14ac:dyDescent="0.25">
      <c r="A600" s="22" t="s">
        <v>57</v>
      </c>
      <c r="B600" s="22" t="s">
        <v>40</v>
      </c>
      <c r="C600" s="23" t="s">
        <v>71</v>
      </c>
      <c r="D600" s="6" t="s">
        <v>4</v>
      </c>
      <c r="E600" s="22" t="s">
        <v>1360</v>
      </c>
      <c r="F600" s="22" t="s">
        <v>719</v>
      </c>
      <c r="G600" s="22" t="s">
        <v>1460</v>
      </c>
      <c r="H600" s="29" t="s">
        <v>1461</v>
      </c>
    </row>
    <row r="601" ht="20" customHeight="1" spans="1:8" x14ac:dyDescent="0.25">
      <c r="A601" s="24" t="s">
        <v>58</v>
      </c>
      <c r="B601" s="24" t="s">
        <v>42</v>
      </c>
      <c r="C601" s="25" t="s">
        <v>71</v>
      </c>
      <c r="D601" s="33" t="s">
        <v>86</v>
      </c>
      <c r="E601" s="24" t="s">
        <v>12</v>
      </c>
      <c r="F601" s="24" t="s">
        <v>12</v>
      </c>
      <c r="G601" s="24" t="s">
        <v>12</v>
      </c>
      <c r="H601" s="24" t="s">
        <v>32</v>
      </c>
    </row>
    <row r="602" ht="20" customHeight="1" spans="1:8" x14ac:dyDescent="0.25">
      <c r="A602" s="22" t="s">
        <v>59</v>
      </c>
      <c r="B602" s="22" t="s">
        <v>45</v>
      </c>
      <c r="C602" s="23" t="s">
        <v>71</v>
      </c>
      <c r="D602" s="6" t="s">
        <v>4</v>
      </c>
      <c r="E602" s="22" t="s">
        <v>199</v>
      </c>
      <c r="F602" s="22" t="s">
        <v>136</v>
      </c>
      <c r="G602" s="22" t="s">
        <v>496</v>
      </c>
      <c r="H602" s="29" t="s">
        <v>200</v>
      </c>
    </row>
    <row r="603" ht="20" customHeight="1" spans="1:8" x14ac:dyDescent="0.25">
      <c r="A603" s="24" t="s">
        <v>60</v>
      </c>
      <c r="B603" s="24" t="s">
        <v>31</v>
      </c>
      <c r="C603" s="25" t="s">
        <v>71</v>
      </c>
      <c r="D603" s="6" t="s">
        <v>4</v>
      </c>
      <c r="E603" s="24" t="s">
        <v>443</v>
      </c>
      <c r="F603" s="24" t="s">
        <v>376</v>
      </c>
      <c r="G603" s="24" t="s">
        <v>137</v>
      </c>
      <c r="H603" s="30" t="s">
        <v>79</v>
      </c>
    </row>
    <row r="604" ht="20" customHeight="1" spans="1:8" x14ac:dyDescent="0.25">
      <c r="A604" s="22" t="s">
        <v>61</v>
      </c>
      <c r="B604" s="22" t="s">
        <v>34</v>
      </c>
      <c r="C604" s="23" t="s">
        <v>71</v>
      </c>
      <c r="D604" s="6" t="s">
        <v>4</v>
      </c>
      <c r="E604" s="22" t="s">
        <v>372</v>
      </c>
      <c r="F604" s="22" t="s">
        <v>225</v>
      </c>
      <c r="G604" s="22" t="s">
        <v>414</v>
      </c>
      <c r="H604" s="32" t="s">
        <v>79</v>
      </c>
    </row>
    <row r="605" ht="20" customHeight="1" spans="1:8" x14ac:dyDescent="0.25">
      <c r="A605" s="24" t="s">
        <v>62</v>
      </c>
      <c r="B605" s="24" t="s">
        <v>36</v>
      </c>
      <c r="C605" s="25" t="s">
        <v>71</v>
      </c>
      <c r="D605" s="6" t="s">
        <v>4</v>
      </c>
      <c r="E605" s="24" t="s">
        <v>311</v>
      </c>
      <c r="F605" s="24" t="s">
        <v>193</v>
      </c>
      <c r="G605" s="24" t="s">
        <v>299</v>
      </c>
      <c r="H605" s="30" t="s">
        <v>79</v>
      </c>
    </row>
    <row r="606" ht="20" customHeight="1" spans="1:8" x14ac:dyDescent="0.25">
      <c r="A606" s="22" t="s">
        <v>63</v>
      </c>
      <c r="B606" s="22" t="s">
        <v>38</v>
      </c>
      <c r="C606" s="23" t="s">
        <v>71</v>
      </c>
      <c r="D606" s="6" t="s">
        <v>4</v>
      </c>
      <c r="E606" s="22" t="s">
        <v>385</v>
      </c>
      <c r="F606" s="22" t="s">
        <v>636</v>
      </c>
      <c r="G606" s="22" t="s">
        <v>831</v>
      </c>
      <c r="H606" s="32" t="s">
        <v>79</v>
      </c>
    </row>
    <row r="607" ht="20" customHeight="1" spans="1:8" x14ac:dyDescent="0.25">
      <c r="A607" s="24" t="s">
        <v>64</v>
      </c>
      <c r="B607" s="24" t="s">
        <v>40</v>
      </c>
      <c r="C607" s="25" t="s">
        <v>71</v>
      </c>
      <c r="D607" s="6" t="s">
        <v>4</v>
      </c>
      <c r="E607" s="24" t="s">
        <v>128</v>
      </c>
      <c r="F607" s="24" t="s">
        <v>293</v>
      </c>
      <c r="G607" s="24" t="s">
        <v>563</v>
      </c>
      <c r="H607" s="30" t="s">
        <v>79</v>
      </c>
    </row>
    <row r="608" ht="20" customHeight="1" spans="1:8" x14ac:dyDescent="0.25">
      <c r="A608" s="22" t="s">
        <v>65</v>
      </c>
      <c r="B608" s="22" t="s">
        <v>42</v>
      </c>
      <c r="C608" s="23" t="s">
        <v>71</v>
      </c>
      <c r="D608" s="35" t="s">
        <v>86</v>
      </c>
      <c r="E608" s="22" t="s">
        <v>12</v>
      </c>
      <c r="F608" s="22" t="s">
        <v>12</v>
      </c>
      <c r="G608" s="22" t="s">
        <v>12</v>
      </c>
      <c r="H608" s="22" t="s">
        <v>32</v>
      </c>
    </row>
    <row r="609" ht="20" customHeight="1" spans="1:8" x14ac:dyDescent="0.25">
      <c r="A609" s="24" t="s">
        <v>66</v>
      </c>
      <c r="B609" s="24" t="s">
        <v>45</v>
      </c>
      <c r="C609" s="25" t="s">
        <v>71</v>
      </c>
      <c r="D609" s="6" t="s">
        <v>4</v>
      </c>
      <c r="E609" s="24" t="s">
        <v>300</v>
      </c>
      <c r="F609" s="24" t="s">
        <v>631</v>
      </c>
      <c r="G609" s="24" t="s">
        <v>187</v>
      </c>
      <c r="H609" s="34" t="s">
        <v>632</v>
      </c>
    </row>
    <row r="610" ht="20" customHeight="1" spans="1:8" x14ac:dyDescent="0.25">
      <c r="A610" s="22" t="s">
        <v>67</v>
      </c>
      <c r="B610" s="22" t="s">
        <v>31</v>
      </c>
      <c r="C610" s="23" t="s">
        <v>71</v>
      </c>
      <c r="D610" s="6" t="s">
        <v>4</v>
      </c>
      <c r="E610" s="22" t="s">
        <v>311</v>
      </c>
      <c r="F610" s="22" t="s">
        <v>115</v>
      </c>
      <c r="G610" s="22" t="s">
        <v>1092</v>
      </c>
      <c r="H610" s="32" t="s">
        <v>79</v>
      </c>
    </row>
    <row r="611" ht="20" customHeight="1" spans="1:8" x14ac:dyDescent="0.25">
      <c r="A611" s="24" t="s">
        <v>68</v>
      </c>
      <c r="B611" s="24" t="s">
        <v>34</v>
      </c>
      <c r="C611" s="25" t="s">
        <v>71</v>
      </c>
      <c r="D611" s="6" t="s">
        <v>4</v>
      </c>
      <c r="E611" s="24" t="s">
        <v>528</v>
      </c>
      <c r="F611" s="24" t="s">
        <v>321</v>
      </c>
      <c r="G611" s="24" t="s">
        <v>190</v>
      </c>
      <c r="H611" s="30" t="s">
        <v>79</v>
      </c>
    </row>
    <row r="612" ht="22" customHeight="1" spans="1:8" x14ac:dyDescent="0.25">
      <c r="A612" s="26" t="s">
        <v>69</v>
      </c>
      <c r="B612" s="26"/>
      <c r="C612" s="26"/>
      <c r="D612" s="26"/>
      <c r="E612" s="26"/>
      <c r="F612" s="26"/>
      <c r="G612" s="27" t="s">
        <v>1462</v>
      </c>
      <c r="H612" s="28" t="s">
        <v>12</v>
      </c>
    </row>
    <row r="614" ht="26" customHeight="1" spans="1:8" x14ac:dyDescent="0.25">
      <c r="A614" s="20" t="s">
        <v>1463</v>
      </c>
      <c r="B614" s="20"/>
      <c r="C614" s="20"/>
      <c r="D614" s="20"/>
      <c r="E614" s="20"/>
      <c r="F614" s="20"/>
      <c r="G614" s="20"/>
      <c r="H614" s="20"/>
    </row>
    <row r="615" ht="22" customHeight="1" spans="1:8" x14ac:dyDescent="0.25">
      <c r="A615" s="21" t="s">
        <v>22</v>
      </c>
      <c r="B615" s="21" t="s">
        <v>23</v>
      </c>
      <c r="C615" s="21" t="s">
        <v>24</v>
      </c>
      <c r="D615" s="21" t="s">
        <v>25</v>
      </c>
      <c r="E615" s="21" t="s">
        <v>26</v>
      </c>
      <c r="F615" s="21" t="s">
        <v>27</v>
      </c>
      <c r="G615" s="21" t="s">
        <v>28</v>
      </c>
      <c r="H615" s="21" t="s">
        <v>29</v>
      </c>
    </row>
    <row r="616" ht="20" customHeight="1" spans="1:8" x14ac:dyDescent="0.25">
      <c r="A616" s="22" t="s">
        <v>30</v>
      </c>
      <c r="B616" s="22" t="s">
        <v>31</v>
      </c>
      <c r="C616" s="23" t="s">
        <v>71</v>
      </c>
      <c r="D616" s="6" t="s">
        <v>4</v>
      </c>
      <c r="E616" s="22" t="s">
        <v>251</v>
      </c>
      <c r="F616" s="22" t="s">
        <v>750</v>
      </c>
      <c r="G616" s="22" t="s">
        <v>281</v>
      </c>
      <c r="H616" s="29" t="s">
        <v>253</v>
      </c>
    </row>
    <row r="617" ht="20" customHeight="1" spans="1:8" x14ac:dyDescent="0.25">
      <c r="A617" s="24" t="s">
        <v>33</v>
      </c>
      <c r="B617" s="24" t="s">
        <v>34</v>
      </c>
      <c r="C617" s="25" t="s">
        <v>71</v>
      </c>
      <c r="D617" s="6" t="s">
        <v>4</v>
      </c>
      <c r="E617" s="24" t="s">
        <v>159</v>
      </c>
      <c r="F617" s="24" t="s">
        <v>376</v>
      </c>
      <c r="G617" s="24" t="s">
        <v>339</v>
      </c>
      <c r="H617" s="34" t="s">
        <v>162</v>
      </c>
    </row>
    <row r="618" ht="20" customHeight="1" spans="1:8" x14ac:dyDescent="0.25">
      <c r="A618" s="22" t="s">
        <v>35</v>
      </c>
      <c r="B618" s="22" t="s">
        <v>36</v>
      </c>
      <c r="C618" s="23" t="s">
        <v>71</v>
      </c>
      <c r="D618" s="6" t="s">
        <v>4</v>
      </c>
      <c r="E618" s="22" t="s">
        <v>173</v>
      </c>
      <c r="F618" s="22" t="s">
        <v>112</v>
      </c>
      <c r="G618" s="22" t="s">
        <v>579</v>
      </c>
      <c r="H618" s="29" t="s">
        <v>175</v>
      </c>
    </row>
    <row r="619" ht="20" customHeight="1" spans="1:8" x14ac:dyDescent="0.25">
      <c r="A619" s="24" t="s">
        <v>37</v>
      </c>
      <c r="B619" s="24" t="s">
        <v>38</v>
      </c>
      <c r="C619" s="25" t="s">
        <v>71</v>
      </c>
      <c r="D619" s="31" t="s">
        <v>11</v>
      </c>
      <c r="E619" s="24" t="s">
        <v>12</v>
      </c>
      <c r="F619" s="24" t="s">
        <v>12</v>
      </c>
      <c r="G619" s="24" t="s">
        <v>12</v>
      </c>
      <c r="H619" s="24" t="s">
        <v>32</v>
      </c>
    </row>
    <row r="620" ht="20" customHeight="1" spans="1:8" x14ac:dyDescent="0.25">
      <c r="A620" s="22" t="s">
        <v>39</v>
      </c>
      <c r="B620" s="22" t="s">
        <v>40</v>
      </c>
      <c r="C620" s="23" t="s">
        <v>71</v>
      </c>
      <c r="D620" s="6" t="s">
        <v>4</v>
      </c>
      <c r="E620" s="22" t="s">
        <v>369</v>
      </c>
      <c r="F620" s="22" t="s">
        <v>213</v>
      </c>
      <c r="G620" s="22" t="s">
        <v>496</v>
      </c>
      <c r="H620" s="29" t="s">
        <v>371</v>
      </c>
    </row>
    <row r="621" ht="20" customHeight="1" spans="1:8" x14ac:dyDescent="0.25">
      <c r="A621" s="24" t="s">
        <v>41</v>
      </c>
      <c r="B621" s="24" t="s">
        <v>42</v>
      </c>
      <c r="C621" s="25" t="s">
        <v>71</v>
      </c>
      <c r="D621" s="33" t="s">
        <v>86</v>
      </c>
      <c r="E621" s="24" t="s">
        <v>12</v>
      </c>
      <c r="F621" s="24" t="s">
        <v>12</v>
      </c>
      <c r="G621" s="24" t="s">
        <v>12</v>
      </c>
      <c r="H621" s="24" t="s">
        <v>32</v>
      </c>
    </row>
    <row r="622" ht="20" customHeight="1" spans="1:8" x14ac:dyDescent="0.25">
      <c r="A622" s="22" t="s">
        <v>44</v>
      </c>
      <c r="B622" s="22" t="s">
        <v>45</v>
      </c>
      <c r="C622" s="23" t="s">
        <v>71</v>
      </c>
      <c r="D622" s="6" t="s">
        <v>4</v>
      </c>
      <c r="E622" s="22" t="s">
        <v>212</v>
      </c>
      <c r="F622" s="22" t="s">
        <v>363</v>
      </c>
      <c r="G622" s="22" t="s">
        <v>367</v>
      </c>
      <c r="H622" s="29" t="s">
        <v>215</v>
      </c>
    </row>
    <row r="623" ht="20" customHeight="1" spans="1:8" x14ac:dyDescent="0.25">
      <c r="A623" s="24" t="s">
        <v>46</v>
      </c>
      <c r="B623" s="24" t="s">
        <v>31</v>
      </c>
      <c r="C623" s="25" t="s">
        <v>71</v>
      </c>
      <c r="D623" s="6" t="s">
        <v>4</v>
      </c>
      <c r="E623" s="24" t="s">
        <v>365</v>
      </c>
      <c r="F623" s="24" t="s">
        <v>170</v>
      </c>
      <c r="G623" s="24" t="s">
        <v>514</v>
      </c>
      <c r="H623" s="34" t="s">
        <v>368</v>
      </c>
    </row>
    <row r="624" ht="20" customHeight="1" spans="1:8" x14ac:dyDescent="0.25">
      <c r="A624" s="22" t="s">
        <v>47</v>
      </c>
      <c r="B624" s="22" t="s">
        <v>34</v>
      </c>
      <c r="C624" s="23" t="s">
        <v>71</v>
      </c>
      <c r="D624" s="6" t="s">
        <v>4</v>
      </c>
      <c r="E624" s="22" t="s">
        <v>173</v>
      </c>
      <c r="F624" s="22" t="s">
        <v>519</v>
      </c>
      <c r="G624" s="22" t="s">
        <v>505</v>
      </c>
      <c r="H624" s="29" t="s">
        <v>175</v>
      </c>
    </row>
    <row r="625" ht="20" customHeight="1" spans="1:8" x14ac:dyDescent="0.25">
      <c r="A625" s="24" t="s">
        <v>48</v>
      </c>
      <c r="B625" s="24" t="s">
        <v>36</v>
      </c>
      <c r="C625" s="25" t="s">
        <v>71</v>
      </c>
      <c r="D625" s="6" t="s">
        <v>4</v>
      </c>
      <c r="E625" s="24" t="s">
        <v>755</v>
      </c>
      <c r="F625" s="24" t="s">
        <v>193</v>
      </c>
      <c r="G625" s="24" t="s">
        <v>429</v>
      </c>
      <c r="H625" s="34" t="s">
        <v>756</v>
      </c>
    </row>
    <row r="626" ht="20" customHeight="1" spans="1:8" x14ac:dyDescent="0.25">
      <c r="A626" s="22" t="s">
        <v>49</v>
      </c>
      <c r="B626" s="22" t="s">
        <v>38</v>
      </c>
      <c r="C626" s="23" t="s">
        <v>71</v>
      </c>
      <c r="D626" s="6" t="s">
        <v>4</v>
      </c>
      <c r="E626" s="22" t="s">
        <v>359</v>
      </c>
      <c r="F626" s="22" t="s">
        <v>112</v>
      </c>
      <c r="G626" s="22" t="s">
        <v>328</v>
      </c>
      <c r="H626" s="29" t="s">
        <v>360</v>
      </c>
    </row>
    <row r="627" ht="20" customHeight="1" spans="1:8" x14ac:dyDescent="0.25">
      <c r="A627" s="24" t="s">
        <v>50</v>
      </c>
      <c r="B627" s="24" t="s">
        <v>40</v>
      </c>
      <c r="C627" s="25" t="s">
        <v>71</v>
      </c>
      <c r="D627" s="33" t="s">
        <v>86</v>
      </c>
      <c r="E627" s="24" t="s">
        <v>12</v>
      </c>
      <c r="F627" s="24" t="s">
        <v>12</v>
      </c>
      <c r="G627" s="24" t="s">
        <v>12</v>
      </c>
      <c r="H627" s="24" t="s">
        <v>32</v>
      </c>
    </row>
    <row r="628" ht="20" customHeight="1" spans="1:8" x14ac:dyDescent="0.25">
      <c r="A628" s="22" t="s">
        <v>51</v>
      </c>
      <c r="B628" s="22" t="s">
        <v>42</v>
      </c>
      <c r="C628" s="23" t="s">
        <v>71</v>
      </c>
      <c r="D628" s="35" t="s">
        <v>86</v>
      </c>
      <c r="E628" s="22" t="s">
        <v>12</v>
      </c>
      <c r="F628" s="22" t="s">
        <v>12</v>
      </c>
      <c r="G628" s="22" t="s">
        <v>12</v>
      </c>
      <c r="H628" s="22" t="s">
        <v>32</v>
      </c>
    </row>
    <row r="629" ht="20" customHeight="1" spans="1:8" x14ac:dyDescent="0.25">
      <c r="A629" s="24" t="s">
        <v>52</v>
      </c>
      <c r="B629" s="24" t="s">
        <v>45</v>
      </c>
      <c r="C629" s="25" t="s">
        <v>71</v>
      </c>
      <c r="D629" s="10" t="s">
        <v>87</v>
      </c>
      <c r="E629" s="24" t="s">
        <v>12</v>
      </c>
      <c r="F629" s="24" t="s">
        <v>12</v>
      </c>
      <c r="G629" s="24" t="s">
        <v>12</v>
      </c>
      <c r="H629" s="24" t="s">
        <v>32</v>
      </c>
    </row>
    <row r="630" ht="20" customHeight="1" spans="1:8" x14ac:dyDescent="0.25">
      <c r="A630" s="22" t="s">
        <v>53</v>
      </c>
      <c r="B630" s="22" t="s">
        <v>31</v>
      </c>
      <c r="C630" s="23" t="s">
        <v>71</v>
      </c>
      <c r="D630" s="10" t="s">
        <v>87</v>
      </c>
      <c r="E630" s="22" t="s">
        <v>12</v>
      </c>
      <c r="F630" s="22" t="s">
        <v>12</v>
      </c>
      <c r="G630" s="22" t="s">
        <v>12</v>
      </c>
      <c r="H630" s="22" t="s">
        <v>32</v>
      </c>
    </row>
    <row r="631" ht="20" customHeight="1" spans="1:8" x14ac:dyDescent="0.25">
      <c r="A631" s="24" t="s">
        <v>54</v>
      </c>
      <c r="B631" s="24" t="s">
        <v>34</v>
      </c>
      <c r="C631" s="25" t="s">
        <v>71</v>
      </c>
      <c r="D631" s="10" t="s">
        <v>87</v>
      </c>
      <c r="E631" s="24" t="s">
        <v>12</v>
      </c>
      <c r="F631" s="24" t="s">
        <v>12</v>
      </c>
      <c r="G631" s="24" t="s">
        <v>12</v>
      </c>
      <c r="H631" s="24" t="s">
        <v>32</v>
      </c>
    </row>
    <row r="632" ht="20" customHeight="1" spans="1:8" x14ac:dyDescent="0.25">
      <c r="A632" s="22" t="s">
        <v>55</v>
      </c>
      <c r="B632" s="22" t="s">
        <v>36</v>
      </c>
      <c r="C632" s="23" t="s">
        <v>71</v>
      </c>
      <c r="D632" s="6" t="s">
        <v>4</v>
      </c>
      <c r="E632" s="22" t="s">
        <v>365</v>
      </c>
      <c r="F632" s="22" t="s">
        <v>967</v>
      </c>
      <c r="G632" s="22" t="s">
        <v>290</v>
      </c>
      <c r="H632" s="29" t="s">
        <v>368</v>
      </c>
    </row>
    <row r="633" ht="20" customHeight="1" spans="1:8" x14ac:dyDescent="0.25">
      <c r="A633" s="24" t="s">
        <v>56</v>
      </c>
      <c r="B633" s="24" t="s">
        <v>38</v>
      </c>
      <c r="C633" s="25" t="s">
        <v>71</v>
      </c>
      <c r="D633" s="6" t="s">
        <v>4</v>
      </c>
      <c r="E633" s="24" t="s">
        <v>340</v>
      </c>
      <c r="F633" s="24" t="s">
        <v>366</v>
      </c>
      <c r="G633" s="24" t="s">
        <v>339</v>
      </c>
      <c r="H633" s="34" t="s">
        <v>342</v>
      </c>
    </row>
    <row r="634" ht="20" customHeight="1" spans="1:8" x14ac:dyDescent="0.25">
      <c r="A634" s="22" t="s">
        <v>57</v>
      </c>
      <c r="B634" s="22" t="s">
        <v>40</v>
      </c>
      <c r="C634" s="23" t="s">
        <v>71</v>
      </c>
      <c r="D634" s="6" t="s">
        <v>4</v>
      </c>
      <c r="E634" s="22" t="s">
        <v>1057</v>
      </c>
      <c r="F634" s="22" t="s">
        <v>439</v>
      </c>
      <c r="G634" s="22" t="s">
        <v>1279</v>
      </c>
      <c r="H634" s="29" t="s">
        <v>1058</v>
      </c>
    </row>
    <row r="635" ht="20" customHeight="1" spans="1:8" x14ac:dyDescent="0.25">
      <c r="A635" s="24" t="s">
        <v>58</v>
      </c>
      <c r="B635" s="24" t="s">
        <v>42</v>
      </c>
      <c r="C635" s="25" t="s">
        <v>71</v>
      </c>
      <c r="D635" s="33" t="s">
        <v>86</v>
      </c>
      <c r="E635" s="24" t="s">
        <v>12</v>
      </c>
      <c r="F635" s="24" t="s">
        <v>12</v>
      </c>
      <c r="G635" s="24" t="s">
        <v>12</v>
      </c>
      <c r="H635" s="24" t="s">
        <v>32</v>
      </c>
    </row>
    <row r="636" ht="20" customHeight="1" spans="1:8" x14ac:dyDescent="0.25">
      <c r="A636" s="22" t="s">
        <v>59</v>
      </c>
      <c r="B636" s="22" t="s">
        <v>45</v>
      </c>
      <c r="C636" s="23" t="s">
        <v>71</v>
      </c>
      <c r="D636" s="6" t="s">
        <v>4</v>
      </c>
      <c r="E636" s="22" t="s">
        <v>340</v>
      </c>
      <c r="F636" s="22" t="s">
        <v>455</v>
      </c>
      <c r="G636" s="22" t="s">
        <v>302</v>
      </c>
      <c r="H636" s="29" t="s">
        <v>342</v>
      </c>
    </row>
    <row r="637" ht="20" customHeight="1" spans="1:8" x14ac:dyDescent="0.25">
      <c r="A637" s="24" t="s">
        <v>60</v>
      </c>
      <c r="B637" s="24" t="s">
        <v>31</v>
      </c>
      <c r="C637" s="25" t="s">
        <v>71</v>
      </c>
      <c r="D637" s="6" t="s">
        <v>4</v>
      </c>
      <c r="E637" s="24" t="s">
        <v>326</v>
      </c>
      <c r="F637" s="24" t="s">
        <v>1421</v>
      </c>
      <c r="G637" s="24" t="s">
        <v>1279</v>
      </c>
      <c r="H637" s="34" t="s">
        <v>327</v>
      </c>
    </row>
    <row r="638" ht="20" customHeight="1" spans="1:8" x14ac:dyDescent="0.25">
      <c r="A638" s="22" t="s">
        <v>61</v>
      </c>
      <c r="B638" s="22" t="s">
        <v>34</v>
      </c>
      <c r="C638" s="23" t="s">
        <v>71</v>
      </c>
      <c r="D638" s="6" t="s">
        <v>4</v>
      </c>
      <c r="E638" s="22" t="s">
        <v>326</v>
      </c>
      <c r="F638" s="22" t="s">
        <v>1464</v>
      </c>
      <c r="G638" s="22" t="s">
        <v>794</v>
      </c>
      <c r="H638" s="29" t="s">
        <v>327</v>
      </c>
    </row>
    <row r="639" ht="20" customHeight="1" spans="1:8" x14ac:dyDescent="0.25">
      <c r="A639" s="24" t="s">
        <v>62</v>
      </c>
      <c r="B639" s="24" t="s">
        <v>36</v>
      </c>
      <c r="C639" s="25" t="s">
        <v>71</v>
      </c>
      <c r="D639" s="6" t="s">
        <v>4</v>
      </c>
      <c r="E639" s="24" t="s">
        <v>159</v>
      </c>
      <c r="F639" s="24" t="s">
        <v>209</v>
      </c>
      <c r="G639" s="24" t="s">
        <v>279</v>
      </c>
      <c r="H639" s="34" t="s">
        <v>162</v>
      </c>
    </row>
    <row r="640" ht="20" customHeight="1" spans="1:8" x14ac:dyDescent="0.25">
      <c r="A640" s="22" t="s">
        <v>63</v>
      </c>
      <c r="B640" s="22" t="s">
        <v>38</v>
      </c>
      <c r="C640" s="23" t="s">
        <v>71</v>
      </c>
      <c r="D640" s="6" t="s">
        <v>4</v>
      </c>
      <c r="E640" s="22" t="s">
        <v>1057</v>
      </c>
      <c r="F640" s="22" t="s">
        <v>1421</v>
      </c>
      <c r="G640" s="22" t="s">
        <v>367</v>
      </c>
      <c r="H640" s="29" t="s">
        <v>1058</v>
      </c>
    </row>
    <row r="641" ht="20" customHeight="1" spans="1:8" x14ac:dyDescent="0.25">
      <c r="A641" s="24" t="s">
        <v>64</v>
      </c>
      <c r="B641" s="24" t="s">
        <v>40</v>
      </c>
      <c r="C641" s="25" t="s">
        <v>71</v>
      </c>
      <c r="D641" s="6" t="s">
        <v>4</v>
      </c>
      <c r="E641" s="24" t="s">
        <v>1210</v>
      </c>
      <c r="F641" s="24" t="s">
        <v>1465</v>
      </c>
      <c r="G641" s="24" t="s">
        <v>1079</v>
      </c>
      <c r="H641" s="34" t="s">
        <v>1212</v>
      </c>
    </row>
    <row r="642" ht="20" customHeight="1" spans="1:8" x14ac:dyDescent="0.25">
      <c r="A642" s="22" t="s">
        <v>65</v>
      </c>
      <c r="B642" s="22" t="s">
        <v>42</v>
      </c>
      <c r="C642" s="23" t="s">
        <v>71</v>
      </c>
      <c r="D642" s="35" t="s">
        <v>86</v>
      </c>
      <c r="E642" s="22" t="s">
        <v>12</v>
      </c>
      <c r="F642" s="22" t="s">
        <v>12</v>
      </c>
      <c r="G642" s="22" t="s">
        <v>12</v>
      </c>
      <c r="H642" s="22" t="s">
        <v>32</v>
      </c>
    </row>
    <row r="643" ht="20" customHeight="1" spans="1:8" x14ac:dyDescent="0.25">
      <c r="A643" s="24" t="s">
        <v>66</v>
      </c>
      <c r="B643" s="24" t="s">
        <v>45</v>
      </c>
      <c r="C643" s="25" t="s">
        <v>71</v>
      </c>
      <c r="D643" s="6" t="s">
        <v>4</v>
      </c>
      <c r="E643" s="24" t="s">
        <v>1119</v>
      </c>
      <c r="F643" s="24" t="s">
        <v>748</v>
      </c>
      <c r="G643" s="24" t="s">
        <v>505</v>
      </c>
      <c r="H643" s="34" t="s">
        <v>1120</v>
      </c>
    </row>
    <row r="644" ht="20" customHeight="1" spans="1:8" x14ac:dyDescent="0.25">
      <c r="A644" s="22" t="s">
        <v>67</v>
      </c>
      <c r="B644" s="22" t="s">
        <v>31</v>
      </c>
      <c r="C644" s="23" t="s">
        <v>71</v>
      </c>
      <c r="D644" s="6" t="s">
        <v>4</v>
      </c>
      <c r="E644" s="22" t="s">
        <v>1119</v>
      </c>
      <c r="F644" s="22" t="s">
        <v>211</v>
      </c>
      <c r="G644" s="22" t="s">
        <v>325</v>
      </c>
      <c r="H644" s="29" t="s">
        <v>1120</v>
      </c>
    </row>
    <row r="645" ht="20" customHeight="1" spans="1:8" x14ac:dyDescent="0.25">
      <c r="A645" s="24" t="s">
        <v>68</v>
      </c>
      <c r="B645" s="24" t="s">
        <v>34</v>
      </c>
      <c r="C645" s="25" t="s">
        <v>71</v>
      </c>
      <c r="D645" s="6" t="s">
        <v>4</v>
      </c>
      <c r="E645" s="24" t="s">
        <v>1466</v>
      </c>
      <c r="F645" s="24" t="s">
        <v>157</v>
      </c>
      <c r="G645" s="24" t="s">
        <v>493</v>
      </c>
      <c r="H645" s="34" t="s">
        <v>1467</v>
      </c>
    </row>
    <row r="646" ht="22" customHeight="1" spans="1:8" x14ac:dyDescent="0.25">
      <c r="A646" s="26" t="s">
        <v>69</v>
      </c>
      <c r="B646" s="26"/>
      <c r="C646" s="26"/>
      <c r="D646" s="26"/>
      <c r="E646" s="26"/>
      <c r="F646" s="26"/>
      <c r="G646" s="27" t="s">
        <v>1468</v>
      </c>
      <c r="H646" s="28" t="s">
        <v>12</v>
      </c>
    </row>
    <row r="648" ht="26" customHeight="1" spans="1:8" x14ac:dyDescent="0.25">
      <c r="A648" s="20" t="s">
        <v>1469</v>
      </c>
      <c r="B648" s="20"/>
      <c r="C648" s="20"/>
      <c r="D648" s="20"/>
      <c r="E648" s="20"/>
      <c r="F648" s="20"/>
      <c r="G648" s="20"/>
      <c r="H648" s="20"/>
    </row>
    <row r="649" ht="22" customHeight="1" spans="1:8" x14ac:dyDescent="0.25">
      <c r="A649" s="21" t="s">
        <v>22</v>
      </c>
      <c r="B649" s="21" t="s">
        <v>23</v>
      </c>
      <c r="C649" s="21" t="s">
        <v>24</v>
      </c>
      <c r="D649" s="21" t="s">
        <v>25</v>
      </c>
      <c r="E649" s="21" t="s">
        <v>26</v>
      </c>
      <c r="F649" s="21" t="s">
        <v>27</v>
      </c>
      <c r="G649" s="21" t="s">
        <v>28</v>
      </c>
      <c r="H649" s="21" t="s">
        <v>29</v>
      </c>
    </row>
    <row r="650" ht="20" customHeight="1" spans="1:8" x14ac:dyDescent="0.25">
      <c r="A650" s="22" t="s">
        <v>30</v>
      </c>
      <c r="B650" s="22" t="s">
        <v>31</v>
      </c>
      <c r="C650" s="23" t="s">
        <v>71</v>
      </c>
      <c r="D650" s="6" t="s">
        <v>4</v>
      </c>
      <c r="E650" s="22" t="s">
        <v>774</v>
      </c>
      <c r="F650" s="22" t="s">
        <v>370</v>
      </c>
      <c r="G650" s="22" t="s">
        <v>934</v>
      </c>
      <c r="H650" s="32" t="s">
        <v>79</v>
      </c>
    </row>
    <row r="651" ht="20" customHeight="1" spans="1:8" x14ac:dyDescent="0.25">
      <c r="A651" s="24" t="s">
        <v>33</v>
      </c>
      <c r="B651" s="24" t="s">
        <v>34</v>
      </c>
      <c r="C651" s="25" t="s">
        <v>71</v>
      </c>
      <c r="D651" s="6" t="s">
        <v>4</v>
      </c>
      <c r="E651" s="24" t="s">
        <v>446</v>
      </c>
      <c r="F651" s="24" t="s">
        <v>957</v>
      </c>
      <c r="G651" s="24" t="s">
        <v>1470</v>
      </c>
      <c r="H651" s="30" t="s">
        <v>79</v>
      </c>
    </row>
    <row r="652" ht="20" customHeight="1" spans="1:8" x14ac:dyDescent="0.25">
      <c r="A652" s="22" t="s">
        <v>35</v>
      </c>
      <c r="B652" s="22" t="s">
        <v>36</v>
      </c>
      <c r="C652" s="23" t="s">
        <v>71</v>
      </c>
      <c r="D652" s="6" t="s">
        <v>4</v>
      </c>
      <c r="E652" s="22" t="s">
        <v>409</v>
      </c>
      <c r="F652" s="22" t="s">
        <v>373</v>
      </c>
      <c r="G652" s="22" t="s">
        <v>407</v>
      </c>
      <c r="H652" s="32" t="s">
        <v>79</v>
      </c>
    </row>
    <row r="653" ht="20" customHeight="1" spans="1:8" x14ac:dyDescent="0.25">
      <c r="A653" s="24" t="s">
        <v>37</v>
      </c>
      <c r="B653" s="24" t="s">
        <v>38</v>
      </c>
      <c r="C653" s="25" t="s">
        <v>71</v>
      </c>
      <c r="D653" s="31" t="s">
        <v>11</v>
      </c>
      <c r="E653" s="24" t="s">
        <v>12</v>
      </c>
      <c r="F653" s="24" t="s">
        <v>12</v>
      </c>
      <c r="G653" s="24" t="s">
        <v>12</v>
      </c>
      <c r="H653" s="24" t="s">
        <v>32</v>
      </c>
    </row>
    <row r="654" ht="20" customHeight="1" spans="1:8" x14ac:dyDescent="0.25">
      <c r="A654" s="22" t="s">
        <v>39</v>
      </c>
      <c r="B654" s="22" t="s">
        <v>40</v>
      </c>
      <c r="C654" s="23" t="s">
        <v>71</v>
      </c>
      <c r="D654" s="6" t="s">
        <v>4</v>
      </c>
      <c r="E654" s="22" t="s">
        <v>755</v>
      </c>
      <c r="F654" s="22" t="s">
        <v>398</v>
      </c>
      <c r="G654" s="22" t="s">
        <v>1471</v>
      </c>
      <c r="H654" s="29" t="s">
        <v>756</v>
      </c>
    </row>
    <row r="655" ht="20" customHeight="1" spans="1:8" x14ac:dyDescent="0.25">
      <c r="A655" s="24" t="s">
        <v>41</v>
      </c>
      <c r="B655" s="24" t="s">
        <v>42</v>
      </c>
      <c r="C655" s="25" t="s">
        <v>71</v>
      </c>
      <c r="D655" s="33" t="s">
        <v>86</v>
      </c>
      <c r="E655" s="24" t="s">
        <v>12</v>
      </c>
      <c r="F655" s="24" t="s">
        <v>12</v>
      </c>
      <c r="G655" s="24" t="s">
        <v>12</v>
      </c>
      <c r="H655" s="24" t="s">
        <v>32</v>
      </c>
    </row>
    <row r="656" ht="20" customHeight="1" spans="1:8" x14ac:dyDescent="0.25">
      <c r="A656" s="22" t="s">
        <v>44</v>
      </c>
      <c r="B656" s="22" t="s">
        <v>45</v>
      </c>
      <c r="C656" s="23" t="s">
        <v>71</v>
      </c>
      <c r="D656" s="6" t="s">
        <v>4</v>
      </c>
      <c r="E656" s="22" t="s">
        <v>189</v>
      </c>
      <c r="F656" s="22" t="s">
        <v>12</v>
      </c>
      <c r="G656" s="22" t="s">
        <v>12</v>
      </c>
      <c r="H656" s="29" t="s">
        <v>191</v>
      </c>
    </row>
    <row r="657" ht="20" customHeight="1" spans="1:8" x14ac:dyDescent="0.25">
      <c r="A657" s="24" t="s">
        <v>46</v>
      </c>
      <c r="B657" s="24" t="s">
        <v>31</v>
      </c>
      <c r="C657" s="25" t="s">
        <v>71</v>
      </c>
      <c r="D657" s="6" t="s">
        <v>4</v>
      </c>
      <c r="E657" s="24" t="s">
        <v>297</v>
      </c>
      <c r="F657" s="24" t="s">
        <v>349</v>
      </c>
      <c r="G657" s="24" t="s">
        <v>1014</v>
      </c>
      <c r="H657" s="30" t="s">
        <v>79</v>
      </c>
    </row>
    <row r="658" ht="20" customHeight="1" spans="1:8" x14ac:dyDescent="0.25">
      <c r="A658" s="22" t="s">
        <v>47</v>
      </c>
      <c r="B658" s="22" t="s">
        <v>34</v>
      </c>
      <c r="C658" s="23" t="s">
        <v>71</v>
      </c>
      <c r="D658" s="6" t="s">
        <v>4</v>
      </c>
      <c r="E658" s="22" t="s">
        <v>441</v>
      </c>
      <c r="F658" s="22" t="s">
        <v>12</v>
      </c>
      <c r="G658" s="22" t="s">
        <v>12</v>
      </c>
      <c r="H658" s="32" t="s">
        <v>79</v>
      </c>
    </row>
    <row r="659" ht="20" customHeight="1" spans="1:8" x14ac:dyDescent="0.25">
      <c r="A659" s="24" t="s">
        <v>48</v>
      </c>
      <c r="B659" s="24" t="s">
        <v>36</v>
      </c>
      <c r="C659" s="25" t="s">
        <v>71</v>
      </c>
      <c r="D659" s="6" t="s">
        <v>4</v>
      </c>
      <c r="E659" s="24" t="s">
        <v>156</v>
      </c>
      <c r="F659" s="24" t="s">
        <v>235</v>
      </c>
      <c r="G659" s="24" t="s">
        <v>339</v>
      </c>
      <c r="H659" s="34" t="s">
        <v>158</v>
      </c>
    </row>
    <row r="660" ht="20" customHeight="1" spans="1:8" x14ac:dyDescent="0.25">
      <c r="A660" s="22" t="s">
        <v>49</v>
      </c>
      <c r="B660" s="22" t="s">
        <v>38</v>
      </c>
      <c r="C660" s="23" t="s">
        <v>71</v>
      </c>
      <c r="D660" s="6" t="s">
        <v>4</v>
      </c>
      <c r="E660" s="22" t="s">
        <v>774</v>
      </c>
      <c r="F660" s="22" t="s">
        <v>439</v>
      </c>
      <c r="G660" s="22" t="s">
        <v>568</v>
      </c>
      <c r="H660" s="32" t="s">
        <v>79</v>
      </c>
    </row>
    <row r="661" ht="20" customHeight="1" spans="1:8" x14ac:dyDescent="0.25">
      <c r="A661" s="24" t="s">
        <v>50</v>
      </c>
      <c r="B661" s="24" t="s">
        <v>40</v>
      </c>
      <c r="C661" s="25" t="s">
        <v>71</v>
      </c>
      <c r="D661" s="33" t="s">
        <v>86</v>
      </c>
      <c r="E661" s="24" t="s">
        <v>12</v>
      </c>
      <c r="F661" s="24" t="s">
        <v>12</v>
      </c>
      <c r="G661" s="24" t="s">
        <v>12</v>
      </c>
      <c r="H661" s="24" t="s">
        <v>32</v>
      </c>
    </row>
    <row r="662" ht="20" customHeight="1" spans="1:8" x14ac:dyDescent="0.25">
      <c r="A662" s="22" t="s">
        <v>51</v>
      </c>
      <c r="B662" s="22" t="s">
        <v>42</v>
      </c>
      <c r="C662" s="23" t="s">
        <v>71</v>
      </c>
      <c r="D662" s="35" t="s">
        <v>86</v>
      </c>
      <c r="E662" s="22" t="s">
        <v>12</v>
      </c>
      <c r="F662" s="22" t="s">
        <v>12</v>
      </c>
      <c r="G662" s="22" t="s">
        <v>12</v>
      </c>
      <c r="H662" s="22" t="s">
        <v>32</v>
      </c>
    </row>
    <row r="663" ht="20" customHeight="1" spans="1:8" x14ac:dyDescent="0.25">
      <c r="A663" s="24" t="s">
        <v>52</v>
      </c>
      <c r="B663" s="24" t="s">
        <v>45</v>
      </c>
      <c r="C663" s="25" t="s">
        <v>71</v>
      </c>
      <c r="D663" s="6" t="s">
        <v>4</v>
      </c>
      <c r="E663" s="24" t="s">
        <v>326</v>
      </c>
      <c r="F663" s="24" t="s">
        <v>157</v>
      </c>
      <c r="G663" s="24" t="s">
        <v>514</v>
      </c>
      <c r="H663" s="34" t="s">
        <v>327</v>
      </c>
    </row>
    <row r="664" ht="20" customHeight="1" spans="1:8" x14ac:dyDescent="0.25">
      <c r="A664" s="22" t="s">
        <v>53</v>
      </c>
      <c r="B664" s="22" t="s">
        <v>31</v>
      </c>
      <c r="C664" s="23" t="s">
        <v>71</v>
      </c>
      <c r="D664" s="6" t="s">
        <v>4</v>
      </c>
      <c r="E664" s="22" t="s">
        <v>979</v>
      </c>
      <c r="F664" s="22" t="s">
        <v>12</v>
      </c>
      <c r="G664" s="22" t="s">
        <v>12</v>
      </c>
      <c r="H664" s="29" t="s">
        <v>982</v>
      </c>
    </row>
    <row r="665" ht="20" customHeight="1" spans="1:8" x14ac:dyDescent="0.25">
      <c r="A665" s="24" t="s">
        <v>54</v>
      </c>
      <c r="B665" s="24" t="s">
        <v>34</v>
      </c>
      <c r="C665" s="25" t="s">
        <v>71</v>
      </c>
      <c r="D665" s="6" t="s">
        <v>4</v>
      </c>
      <c r="E665" s="24" t="s">
        <v>405</v>
      </c>
      <c r="F665" s="24" t="s">
        <v>1472</v>
      </c>
      <c r="G665" s="24" t="s">
        <v>1157</v>
      </c>
      <c r="H665" s="30" t="s">
        <v>79</v>
      </c>
    </row>
    <row r="666" ht="20" customHeight="1" spans="1:8" x14ac:dyDescent="0.25">
      <c r="A666" s="22" t="s">
        <v>55</v>
      </c>
      <c r="B666" s="22" t="s">
        <v>36</v>
      </c>
      <c r="C666" s="23" t="s">
        <v>71</v>
      </c>
      <c r="D666" s="6" t="s">
        <v>4</v>
      </c>
      <c r="E666" s="22" t="s">
        <v>125</v>
      </c>
      <c r="F666" s="22" t="s">
        <v>258</v>
      </c>
      <c r="G666" s="22" t="s">
        <v>291</v>
      </c>
      <c r="H666" s="32" t="s">
        <v>79</v>
      </c>
    </row>
    <row r="667" ht="20" customHeight="1" spans="1:8" x14ac:dyDescent="0.25">
      <c r="A667" s="24" t="s">
        <v>56</v>
      </c>
      <c r="B667" s="24" t="s">
        <v>38</v>
      </c>
      <c r="C667" s="25" t="s">
        <v>71</v>
      </c>
      <c r="D667" s="6" t="s">
        <v>4</v>
      </c>
      <c r="E667" s="24" t="s">
        <v>228</v>
      </c>
      <c r="F667" s="24" t="s">
        <v>1216</v>
      </c>
      <c r="G667" s="24" t="s">
        <v>1225</v>
      </c>
      <c r="H667" s="34" t="s">
        <v>229</v>
      </c>
    </row>
    <row r="668" ht="20" customHeight="1" spans="1:8" x14ac:dyDescent="0.25">
      <c r="A668" s="22" t="s">
        <v>57</v>
      </c>
      <c r="B668" s="22" t="s">
        <v>40</v>
      </c>
      <c r="C668" s="23" t="s">
        <v>71</v>
      </c>
      <c r="D668" s="6" t="s">
        <v>4</v>
      </c>
      <c r="E668" s="22" t="s">
        <v>167</v>
      </c>
      <c r="F668" s="22" t="s">
        <v>301</v>
      </c>
      <c r="G668" s="22" t="s">
        <v>496</v>
      </c>
      <c r="H668" s="29" t="s">
        <v>168</v>
      </c>
    </row>
    <row r="669" ht="20" customHeight="1" spans="1:8" x14ac:dyDescent="0.25">
      <c r="A669" s="24" t="s">
        <v>58</v>
      </c>
      <c r="B669" s="24" t="s">
        <v>42</v>
      </c>
      <c r="C669" s="25" t="s">
        <v>71</v>
      </c>
      <c r="D669" s="33" t="s">
        <v>86</v>
      </c>
      <c r="E669" s="24" t="s">
        <v>12</v>
      </c>
      <c r="F669" s="24" t="s">
        <v>12</v>
      </c>
      <c r="G669" s="24" t="s">
        <v>12</v>
      </c>
      <c r="H669" s="24" t="s">
        <v>32</v>
      </c>
    </row>
    <row r="670" ht="20" customHeight="1" spans="1:8" x14ac:dyDescent="0.25">
      <c r="A670" s="22" t="s">
        <v>59</v>
      </c>
      <c r="B670" s="22" t="s">
        <v>45</v>
      </c>
      <c r="C670" s="23" t="s">
        <v>71</v>
      </c>
      <c r="D670" s="6" t="s">
        <v>4</v>
      </c>
      <c r="E670" s="22" t="s">
        <v>441</v>
      </c>
      <c r="F670" s="22" t="s">
        <v>872</v>
      </c>
      <c r="G670" s="22" t="s">
        <v>1035</v>
      </c>
      <c r="H670" s="32" t="s">
        <v>79</v>
      </c>
    </row>
    <row r="671" ht="20" customHeight="1" spans="1:8" x14ac:dyDescent="0.25">
      <c r="A671" s="24" t="s">
        <v>60</v>
      </c>
      <c r="B671" s="24" t="s">
        <v>31</v>
      </c>
      <c r="C671" s="25" t="s">
        <v>71</v>
      </c>
      <c r="D671" s="10" t="s">
        <v>87</v>
      </c>
      <c r="E671" s="24" t="s">
        <v>12</v>
      </c>
      <c r="F671" s="24" t="s">
        <v>12</v>
      </c>
      <c r="G671" s="24" t="s">
        <v>12</v>
      </c>
      <c r="H671" s="24" t="s">
        <v>32</v>
      </c>
    </row>
    <row r="672" ht="20" customHeight="1" spans="1:8" x14ac:dyDescent="0.25">
      <c r="A672" s="22" t="s">
        <v>61</v>
      </c>
      <c r="B672" s="22" t="s">
        <v>34</v>
      </c>
      <c r="C672" s="23" t="s">
        <v>71</v>
      </c>
      <c r="D672" s="10" t="s">
        <v>87</v>
      </c>
      <c r="E672" s="22" t="s">
        <v>12</v>
      </c>
      <c r="F672" s="22" t="s">
        <v>12</v>
      </c>
      <c r="G672" s="22" t="s">
        <v>12</v>
      </c>
      <c r="H672" s="22" t="s">
        <v>32</v>
      </c>
    </row>
    <row r="673" ht="20" customHeight="1" spans="1:8" x14ac:dyDescent="0.25">
      <c r="A673" s="24" t="s">
        <v>62</v>
      </c>
      <c r="B673" s="24" t="s">
        <v>36</v>
      </c>
      <c r="C673" s="25" t="s">
        <v>71</v>
      </c>
      <c r="D673" s="6" t="s">
        <v>4</v>
      </c>
      <c r="E673" s="24" t="s">
        <v>965</v>
      </c>
      <c r="F673" s="24" t="s">
        <v>470</v>
      </c>
      <c r="G673" s="24" t="s">
        <v>74</v>
      </c>
      <c r="H673" s="34" t="s">
        <v>966</v>
      </c>
    </row>
    <row r="674" ht="20" customHeight="1" spans="1:8" x14ac:dyDescent="0.25">
      <c r="A674" s="22" t="s">
        <v>63</v>
      </c>
      <c r="B674" s="22" t="s">
        <v>38</v>
      </c>
      <c r="C674" s="23" t="s">
        <v>71</v>
      </c>
      <c r="D674" s="6" t="s">
        <v>4</v>
      </c>
      <c r="E674" s="22" t="s">
        <v>1473</v>
      </c>
      <c r="F674" s="22" t="s">
        <v>12</v>
      </c>
      <c r="G674" s="22" t="s">
        <v>12</v>
      </c>
      <c r="H674" s="29" t="s">
        <v>1474</v>
      </c>
    </row>
    <row r="675" ht="20" customHeight="1" spans="1:8" x14ac:dyDescent="0.25">
      <c r="A675" s="24" t="s">
        <v>64</v>
      </c>
      <c r="B675" s="24" t="s">
        <v>40</v>
      </c>
      <c r="C675" s="25" t="s">
        <v>71</v>
      </c>
      <c r="D675" s="6" t="s">
        <v>4</v>
      </c>
      <c r="E675" s="24" t="s">
        <v>311</v>
      </c>
      <c r="F675" s="24" t="s">
        <v>324</v>
      </c>
      <c r="G675" s="24" t="s">
        <v>285</v>
      </c>
      <c r="H675" s="30" t="s">
        <v>79</v>
      </c>
    </row>
    <row r="676" ht="20" customHeight="1" spans="1:8" x14ac:dyDescent="0.25">
      <c r="A676" s="22" t="s">
        <v>65</v>
      </c>
      <c r="B676" s="22" t="s">
        <v>42</v>
      </c>
      <c r="C676" s="23" t="s">
        <v>71</v>
      </c>
      <c r="D676" s="35" t="s">
        <v>86</v>
      </c>
      <c r="E676" s="22" t="s">
        <v>12</v>
      </c>
      <c r="F676" s="22" t="s">
        <v>12</v>
      </c>
      <c r="G676" s="22" t="s">
        <v>12</v>
      </c>
      <c r="H676" s="22" t="s">
        <v>32</v>
      </c>
    </row>
    <row r="677" ht="20" customHeight="1" spans="1:8" x14ac:dyDescent="0.25">
      <c r="A677" s="24" t="s">
        <v>66</v>
      </c>
      <c r="B677" s="24" t="s">
        <v>45</v>
      </c>
      <c r="C677" s="25" t="s">
        <v>71</v>
      </c>
      <c r="D677" s="6" t="s">
        <v>4</v>
      </c>
      <c r="E677" s="24" t="s">
        <v>511</v>
      </c>
      <c r="F677" s="24" t="s">
        <v>186</v>
      </c>
      <c r="G677" s="24" t="s">
        <v>1141</v>
      </c>
      <c r="H677" s="30" t="s">
        <v>79</v>
      </c>
    </row>
    <row r="678" ht="20" customHeight="1" spans="1:8" x14ac:dyDescent="0.25">
      <c r="A678" s="22" t="s">
        <v>67</v>
      </c>
      <c r="B678" s="22" t="s">
        <v>31</v>
      </c>
      <c r="C678" s="23" t="s">
        <v>71</v>
      </c>
      <c r="D678" s="6" t="s">
        <v>4</v>
      </c>
      <c r="E678" s="22" t="s">
        <v>443</v>
      </c>
      <c r="F678" s="22" t="s">
        <v>179</v>
      </c>
      <c r="G678" s="22" t="s">
        <v>971</v>
      </c>
      <c r="H678" s="32" t="s">
        <v>79</v>
      </c>
    </row>
    <row r="679" ht="20" customHeight="1" spans="1:8" x14ac:dyDescent="0.25">
      <c r="A679" s="24" t="s">
        <v>68</v>
      </c>
      <c r="B679" s="24" t="s">
        <v>34</v>
      </c>
      <c r="C679" s="25" t="s">
        <v>71</v>
      </c>
      <c r="D679" s="6" t="s">
        <v>4</v>
      </c>
      <c r="E679" s="24" t="s">
        <v>385</v>
      </c>
      <c r="F679" s="24" t="s">
        <v>444</v>
      </c>
      <c r="G679" s="24" t="s">
        <v>261</v>
      </c>
      <c r="H679" s="34" t="s">
        <v>445</v>
      </c>
    </row>
    <row r="680" ht="22" customHeight="1" spans="1:8" x14ac:dyDescent="0.25">
      <c r="A680" s="26" t="s">
        <v>69</v>
      </c>
      <c r="B680" s="26"/>
      <c r="C680" s="26"/>
      <c r="D680" s="26"/>
      <c r="E680" s="26"/>
      <c r="F680" s="26"/>
      <c r="G680" s="27" t="s">
        <v>1475</v>
      </c>
      <c r="H680" s="28" t="s">
        <v>12</v>
      </c>
    </row>
    <row r="682" ht="26" customHeight="1" spans="1:8" x14ac:dyDescent="0.25">
      <c r="A682" s="20" t="s">
        <v>1476</v>
      </c>
      <c r="B682" s="20"/>
      <c r="C682" s="20"/>
      <c r="D682" s="20"/>
      <c r="E682" s="20"/>
      <c r="F682" s="20"/>
      <c r="G682" s="20"/>
      <c r="H682" s="20"/>
    </row>
    <row r="683" ht="22" customHeight="1" spans="1:8" x14ac:dyDescent="0.25">
      <c r="A683" s="21" t="s">
        <v>22</v>
      </c>
      <c r="B683" s="21" t="s">
        <v>23</v>
      </c>
      <c r="C683" s="21" t="s">
        <v>24</v>
      </c>
      <c r="D683" s="21" t="s">
        <v>25</v>
      </c>
      <c r="E683" s="21" t="s">
        <v>26</v>
      </c>
      <c r="F683" s="21" t="s">
        <v>27</v>
      </c>
      <c r="G683" s="21" t="s">
        <v>28</v>
      </c>
      <c r="H683" s="21" t="s">
        <v>29</v>
      </c>
    </row>
    <row r="684" ht="20" customHeight="1" spans="1:8" x14ac:dyDescent="0.25">
      <c r="A684" s="22" t="s">
        <v>30</v>
      </c>
      <c r="B684" s="22" t="s">
        <v>31</v>
      </c>
      <c r="C684" s="23" t="s">
        <v>71</v>
      </c>
      <c r="D684" s="6" t="s">
        <v>4</v>
      </c>
      <c r="E684" s="22" t="s">
        <v>365</v>
      </c>
      <c r="F684" s="22" t="s">
        <v>562</v>
      </c>
      <c r="G684" s="22" t="s">
        <v>614</v>
      </c>
      <c r="H684" s="29" t="s">
        <v>368</v>
      </c>
    </row>
    <row r="685" ht="20" customHeight="1" spans="1:8" x14ac:dyDescent="0.25">
      <c r="A685" s="24" t="s">
        <v>33</v>
      </c>
      <c r="B685" s="24" t="s">
        <v>34</v>
      </c>
      <c r="C685" s="25" t="s">
        <v>71</v>
      </c>
      <c r="D685" s="6" t="s">
        <v>4</v>
      </c>
      <c r="E685" s="24" t="s">
        <v>1360</v>
      </c>
      <c r="F685" s="24" t="s">
        <v>179</v>
      </c>
      <c r="G685" s="24" t="s">
        <v>934</v>
      </c>
      <c r="H685" s="30" t="s">
        <v>79</v>
      </c>
    </row>
    <row r="686" ht="20" customHeight="1" spans="1:8" x14ac:dyDescent="0.25">
      <c r="A686" s="22" t="s">
        <v>35</v>
      </c>
      <c r="B686" s="22" t="s">
        <v>36</v>
      </c>
      <c r="C686" s="23" t="s">
        <v>71</v>
      </c>
      <c r="D686" s="6" t="s">
        <v>4</v>
      </c>
      <c r="E686" s="22" t="s">
        <v>401</v>
      </c>
      <c r="F686" s="22" t="s">
        <v>439</v>
      </c>
      <c r="G686" s="22" t="s">
        <v>805</v>
      </c>
      <c r="H686" s="32" t="s">
        <v>79</v>
      </c>
    </row>
    <row r="687" ht="20" customHeight="1" spans="1:8" x14ac:dyDescent="0.25">
      <c r="A687" s="24" t="s">
        <v>37</v>
      </c>
      <c r="B687" s="24" t="s">
        <v>38</v>
      </c>
      <c r="C687" s="25" t="s">
        <v>71</v>
      </c>
      <c r="D687" s="31" t="s">
        <v>11</v>
      </c>
      <c r="E687" s="24" t="s">
        <v>12</v>
      </c>
      <c r="F687" s="24" t="s">
        <v>12</v>
      </c>
      <c r="G687" s="24" t="s">
        <v>12</v>
      </c>
      <c r="H687" s="24" t="s">
        <v>32</v>
      </c>
    </row>
    <row r="688" ht="20" customHeight="1" spans="1:8" x14ac:dyDescent="0.25">
      <c r="A688" s="22" t="s">
        <v>39</v>
      </c>
      <c r="B688" s="22" t="s">
        <v>40</v>
      </c>
      <c r="C688" s="23" t="s">
        <v>71</v>
      </c>
      <c r="D688" s="6" t="s">
        <v>4</v>
      </c>
      <c r="E688" s="22" t="s">
        <v>1477</v>
      </c>
      <c r="F688" s="22" t="s">
        <v>1083</v>
      </c>
      <c r="G688" s="22" t="s">
        <v>329</v>
      </c>
      <c r="H688" s="29" t="s">
        <v>1478</v>
      </c>
    </row>
    <row r="689" ht="20" customHeight="1" spans="1:8" x14ac:dyDescent="0.25">
      <c r="A689" s="24" t="s">
        <v>41</v>
      </c>
      <c r="B689" s="24" t="s">
        <v>42</v>
      </c>
      <c r="C689" s="25" t="s">
        <v>71</v>
      </c>
      <c r="D689" s="33" t="s">
        <v>86</v>
      </c>
      <c r="E689" s="24" t="s">
        <v>12</v>
      </c>
      <c r="F689" s="24" t="s">
        <v>12</v>
      </c>
      <c r="G689" s="24" t="s">
        <v>12</v>
      </c>
      <c r="H689" s="24" t="s">
        <v>32</v>
      </c>
    </row>
    <row r="690" ht="20" customHeight="1" spans="1:8" x14ac:dyDescent="0.25">
      <c r="A690" s="22" t="s">
        <v>44</v>
      </c>
      <c r="B690" s="22" t="s">
        <v>45</v>
      </c>
      <c r="C690" s="23" t="s">
        <v>71</v>
      </c>
      <c r="D690" s="6" t="s">
        <v>4</v>
      </c>
      <c r="E690" s="22" t="s">
        <v>547</v>
      </c>
      <c r="F690" s="22" t="s">
        <v>967</v>
      </c>
      <c r="G690" s="22" t="s">
        <v>740</v>
      </c>
      <c r="H690" s="29" t="s">
        <v>548</v>
      </c>
    </row>
    <row r="691" ht="20" customHeight="1" spans="1:8" x14ac:dyDescent="0.25">
      <c r="A691" s="24" t="s">
        <v>46</v>
      </c>
      <c r="B691" s="24" t="s">
        <v>31</v>
      </c>
      <c r="C691" s="25" t="s">
        <v>71</v>
      </c>
      <c r="D691" s="6" t="s">
        <v>4</v>
      </c>
      <c r="E691" s="24" t="s">
        <v>199</v>
      </c>
      <c r="F691" s="24" t="s">
        <v>962</v>
      </c>
      <c r="G691" s="24" t="s">
        <v>111</v>
      </c>
      <c r="H691" s="34" t="s">
        <v>200</v>
      </c>
    </row>
    <row r="692" ht="20" customHeight="1" spans="1:8" x14ac:dyDescent="0.25">
      <c r="A692" s="22" t="s">
        <v>47</v>
      </c>
      <c r="B692" s="22" t="s">
        <v>34</v>
      </c>
      <c r="C692" s="23" t="s">
        <v>71</v>
      </c>
      <c r="D692" s="10" t="s">
        <v>87</v>
      </c>
      <c r="E692" s="22" t="s">
        <v>12</v>
      </c>
      <c r="F692" s="22" t="s">
        <v>12</v>
      </c>
      <c r="G692" s="22" t="s">
        <v>12</v>
      </c>
      <c r="H692" s="22" t="s">
        <v>32</v>
      </c>
    </row>
    <row r="693" ht="20" customHeight="1" spans="1:8" x14ac:dyDescent="0.25">
      <c r="A693" s="24" t="s">
        <v>48</v>
      </c>
      <c r="B693" s="24" t="s">
        <v>36</v>
      </c>
      <c r="C693" s="25" t="s">
        <v>71</v>
      </c>
      <c r="D693" s="36" t="s">
        <v>218</v>
      </c>
      <c r="E693" s="24" t="s">
        <v>1479</v>
      </c>
      <c r="F693" s="24" t="s">
        <v>345</v>
      </c>
      <c r="G693" s="24" t="s">
        <v>640</v>
      </c>
      <c r="H693" s="34" t="s">
        <v>1480</v>
      </c>
    </row>
    <row r="694" ht="20" customHeight="1" spans="1:8" x14ac:dyDescent="0.25">
      <c r="A694" s="22" t="s">
        <v>49</v>
      </c>
      <c r="B694" s="22" t="s">
        <v>38</v>
      </c>
      <c r="C694" s="23" t="s">
        <v>71</v>
      </c>
      <c r="D694" s="10" t="s">
        <v>87</v>
      </c>
      <c r="E694" s="22" t="s">
        <v>12</v>
      </c>
      <c r="F694" s="22" t="s">
        <v>12</v>
      </c>
      <c r="G694" s="22" t="s">
        <v>12</v>
      </c>
      <c r="H694" s="22" t="s">
        <v>32</v>
      </c>
    </row>
    <row r="695" ht="20" customHeight="1" spans="1:8" x14ac:dyDescent="0.25">
      <c r="A695" s="24" t="s">
        <v>50</v>
      </c>
      <c r="B695" s="24" t="s">
        <v>40</v>
      </c>
      <c r="C695" s="25" t="s">
        <v>71</v>
      </c>
      <c r="D695" s="33" t="s">
        <v>86</v>
      </c>
      <c r="E695" s="24" t="s">
        <v>12</v>
      </c>
      <c r="F695" s="24" t="s">
        <v>12</v>
      </c>
      <c r="G695" s="24" t="s">
        <v>12</v>
      </c>
      <c r="H695" s="24" t="s">
        <v>32</v>
      </c>
    </row>
    <row r="696" ht="20" customHeight="1" spans="1:8" x14ac:dyDescent="0.25">
      <c r="A696" s="22" t="s">
        <v>51</v>
      </c>
      <c r="B696" s="22" t="s">
        <v>42</v>
      </c>
      <c r="C696" s="23" t="s">
        <v>71</v>
      </c>
      <c r="D696" s="35" t="s">
        <v>86</v>
      </c>
      <c r="E696" s="22" t="s">
        <v>12</v>
      </c>
      <c r="F696" s="22" t="s">
        <v>12</v>
      </c>
      <c r="G696" s="22" t="s">
        <v>12</v>
      </c>
      <c r="H696" s="22" t="s">
        <v>32</v>
      </c>
    </row>
    <row r="697" ht="20" customHeight="1" spans="1:8" x14ac:dyDescent="0.25">
      <c r="A697" s="24" t="s">
        <v>52</v>
      </c>
      <c r="B697" s="24" t="s">
        <v>45</v>
      </c>
      <c r="C697" s="25" t="s">
        <v>71</v>
      </c>
      <c r="D697" s="6" t="s">
        <v>4</v>
      </c>
      <c r="E697" s="24" t="s">
        <v>189</v>
      </c>
      <c r="F697" s="24" t="s">
        <v>370</v>
      </c>
      <c r="G697" s="24" t="s">
        <v>478</v>
      </c>
      <c r="H697" s="34" t="s">
        <v>191</v>
      </c>
    </row>
    <row r="698" ht="20" customHeight="1" spans="1:8" x14ac:dyDescent="0.25">
      <c r="A698" s="22" t="s">
        <v>53</v>
      </c>
      <c r="B698" s="22" t="s">
        <v>31</v>
      </c>
      <c r="C698" s="23" t="s">
        <v>71</v>
      </c>
      <c r="D698" s="6" t="s">
        <v>4</v>
      </c>
      <c r="E698" s="22" t="s">
        <v>356</v>
      </c>
      <c r="F698" s="22" t="s">
        <v>193</v>
      </c>
      <c r="G698" s="22" t="s">
        <v>137</v>
      </c>
      <c r="H698" s="29" t="s">
        <v>357</v>
      </c>
    </row>
    <row r="699" ht="20" customHeight="1" spans="1:8" x14ac:dyDescent="0.25">
      <c r="A699" s="24" t="s">
        <v>54</v>
      </c>
      <c r="B699" s="24" t="s">
        <v>34</v>
      </c>
      <c r="C699" s="25" t="s">
        <v>71</v>
      </c>
      <c r="D699" s="6" t="s">
        <v>4</v>
      </c>
      <c r="E699" s="24" t="s">
        <v>362</v>
      </c>
      <c r="F699" s="24" t="s">
        <v>772</v>
      </c>
      <c r="G699" s="24" t="s">
        <v>794</v>
      </c>
      <c r="H699" s="30" t="s">
        <v>79</v>
      </c>
    </row>
    <row r="700" ht="20" customHeight="1" spans="1:8" x14ac:dyDescent="0.25">
      <c r="A700" s="22" t="s">
        <v>55</v>
      </c>
      <c r="B700" s="22" t="s">
        <v>36</v>
      </c>
      <c r="C700" s="23" t="s">
        <v>71</v>
      </c>
      <c r="D700" s="6" t="s">
        <v>4</v>
      </c>
      <c r="E700" s="22" t="s">
        <v>199</v>
      </c>
      <c r="F700" s="22" t="s">
        <v>255</v>
      </c>
      <c r="G700" s="22" t="s">
        <v>285</v>
      </c>
      <c r="H700" s="29" t="s">
        <v>200</v>
      </c>
    </row>
    <row r="701" ht="20" customHeight="1" spans="1:8" x14ac:dyDescent="0.25">
      <c r="A701" s="24" t="s">
        <v>56</v>
      </c>
      <c r="B701" s="24" t="s">
        <v>38</v>
      </c>
      <c r="C701" s="25" t="s">
        <v>71</v>
      </c>
      <c r="D701" s="6" t="s">
        <v>4</v>
      </c>
      <c r="E701" s="24" t="s">
        <v>480</v>
      </c>
      <c r="F701" s="24" t="s">
        <v>1394</v>
      </c>
      <c r="G701" s="24" t="s">
        <v>1081</v>
      </c>
      <c r="H701" s="34" t="s">
        <v>482</v>
      </c>
    </row>
    <row r="702" ht="20" customHeight="1" spans="1:8" x14ac:dyDescent="0.25">
      <c r="A702" s="22" t="s">
        <v>57</v>
      </c>
      <c r="B702" s="22" t="s">
        <v>40</v>
      </c>
      <c r="C702" s="23" t="s">
        <v>71</v>
      </c>
      <c r="D702" s="6" t="s">
        <v>4</v>
      </c>
      <c r="E702" s="22" t="s">
        <v>189</v>
      </c>
      <c r="F702" s="22" t="s">
        <v>772</v>
      </c>
      <c r="G702" s="22" t="s">
        <v>481</v>
      </c>
      <c r="H702" s="29" t="s">
        <v>191</v>
      </c>
    </row>
    <row r="703" ht="20" customHeight="1" spans="1:8" x14ac:dyDescent="0.25">
      <c r="A703" s="24" t="s">
        <v>58</v>
      </c>
      <c r="B703" s="24" t="s">
        <v>42</v>
      </c>
      <c r="C703" s="25" t="s">
        <v>71</v>
      </c>
      <c r="D703" s="33" t="s">
        <v>86</v>
      </c>
      <c r="E703" s="24" t="s">
        <v>12</v>
      </c>
      <c r="F703" s="24" t="s">
        <v>12</v>
      </c>
      <c r="G703" s="24" t="s">
        <v>12</v>
      </c>
      <c r="H703" s="24" t="s">
        <v>32</v>
      </c>
    </row>
    <row r="704" ht="20" customHeight="1" spans="1:8" x14ac:dyDescent="0.25">
      <c r="A704" s="22" t="s">
        <v>59</v>
      </c>
      <c r="B704" s="22" t="s">
        <v>45</v>
      </c>
      <c r="C704" s="23" t="s">
        <v>71</v>
      </c>
      <c r="D704" s="6" t="s">
        <v>4</v>
      </c>
      <c r="E704" s="22" t="s">
        <v>152</v>
      </c>
      <c r="F704" s="22" t="s">
        <v>179</v>
      </c>
      <c r="G704" s="22" t="s">
        <v>161</v>
      </c>
      <c r="H704" s="29" t="s">
        <v>155</v>
      </c>
    </row>
    <row r="705" ht="20" customHeight="1" spans="1:8" x14ac:dyDescent="0.25">
      <c r="A705" s="24" t="s">
        <v>60</v>
      </c>
      <c r="B705" s="24" t="s">
        <v>31</v>
      </c>
      <c r="C705" s="25" t="s">
        <v>71</v>
      </c>
      <c r="D705" s="6" t="s">
        <v>4</v>
      </c>
      <c r="E705" s="24" t="s">
        <v>199</v>
      </c>
      <c r="F705" s="24" t="s">
        <v>115</v>
      </c>
      <c r="G705" s="24" t="s">
        <v>74</v>
      </c>
      <c r="H705" s="34" t="s">
        <v>200</v>
      </c>
    </row>
    <row r="706" ht="20" customHeight="1" spans="1:8" x14ac:dyDescent="0.25">
      <c r="A706" s="22" t="s">
        <v>61</v>
      </c>
      <c r="B706" s="22" t="s">
        <v>34</v>
      </c>
      <c r="C706" s="23" t="s">
        <v>71</v>
      </c>
      <c r="D706" s="6" t="s">
        <v>4</v>
      </c>
      <c r="E706" s="22" t="s">
        <v>303</v>
      </c>
      <c r="F706" s="22" t="s">
        <v>370</v>
      </c>
      <c r="G706" s="22" t="s">
        <v>989</v>
      </c>
      <c r="H706" s="32" t="s">
        <v>79</v>
      </c>
    </row>
    <row r="707" ht="20" customHeight="1" spans="1:8" x14ac:dyDescent="0.25">
      <c r="A707" s="24" t="s">
        <v>62</v>
      </c>
      <c r="B707" s="24" t="s">
        <v>36</v>
      </c>
      <c r="C707" s="25" t="s">
        <v>71</v>
      </c>
      <c r="D707" s="6" t="s">
        <v>4</v>
      </c>
      <c r="E707" s="24" t="s">
        <v>1208</v>
      </c>
      <c r="F707" s="24" t="s">
        <v>1293</v>
      </c>
      <c r="G707" s="24" t="s">
        <v>410</v>
      </c>
      <c r="H707" s="34" t="s">
        <v>1209</v>
      </c>
    </row>
    <row r="708" ht="20" customHeight="1" spans="1:8" x14ac:dyDescent="0.25">
      <c r="A708" s="22" t="s">
        <v>63</v>
      </c>
      <c r="B708" s="22" t="s">
        <v>38</v>
      </c>
      <c r="C708" s="23" t="s">
        <v>71</v>
      </c>
      <c r="D708" s="6" t="s">
        <v>4</v>
      </c>
      <c r="E708" s="22" t="s">
        <v>228</v>
      </c>
      <c r="F708" s="22" t="s">
        <v>1304</v>
      </c>
      <c r="G708" s="22" t="s">
        <v>839</v>
      </c>
      <c r="H708" s="29" t="s">
        <v>229</v>
      </c>
    </row>
    <row r="709" ht="20" customHeight="1" spans="1:8" x14ac:dyDescent="0.25">
      <c r="A709" s="24" t="s">
        <v>64</v>
      </c>
      <c r="B709" s="24" t="s">
        <v>40</v>
      </c>
      <c r="C709" s="25" t="s">
        <v>71</v>
      </c>
      <c r="D709" s="10" t="s">
        <v>87</v>
      </c>
      <c r="E709" s="24" t="s">
        <v>12</v>
      </c>
      <c r="F709" s="24" t="s">
        <v>12</v>
      </c>
      <c r="G709" s="24" t="s">
        <v>12</v>
      </c>
      <c r="H709" s="24" t="s">
        <v>32</v>
      </c>
    </row>
    <row r="710" ht="20" customHeight="1" spans="1:8" x14ac:dyDescent="0.25">
      <c r="A710" s="22" t="s">
        <v>65</v>
      </c>
      <c r="B710" s="22" t="s">
        <v>42</v>
      </c>
      <c r="C710" s="23" t="s">
        <v>71</v>
      </c>
      <c r="D710" s="35" t="s">
        <v>86</v>
      </c>
      <c r="E710" s="22" t="s">
        <v>12</v>
      </c>
      <c r="F710" s="22" t="s">
        <v>12</v>
      </c>
      <c r="G710" s="22" t="s">
        <v>12</v>
      </c>
      <c r="H710" s="22" t="s">
        <v>32</v>
      </c>
    </row>
    <row r="711" ht="20" customHeight="1" spans="1:8" x14ac:dyDescent="0.25">
      <c r="A711" s="24" t="s">
        <v>66</v>
      </c>
      <c r="B711" s="24" t="s">
        <v>45</v>
      </c>
      <c r="C711" s="25" t="s">
        <v>71</v>
      </c>
      <c r="D711" s="6" t="s">
        <v>4</v>
      </c>
      <c r="E711" s="24" t="s">
        <v>353</v>
      </c>
      <c r="F711" s="24" t="s">
        <v>370</v>
      </c>
      <c r="G711" s="24" t="s">
        <v>752</v>
      </c>
      <c r="H711" s="34" t="s">
        <v>355</v>
      </c>
    </row>
    <row r="712" ht="20" customHeight="1" spans="1:8" x14ac:dyDescent="0.25">
      <c r="A712" s="22" t="s">
        <v>67</v>
      </c>
      <c r="B712" s="22" t="s">
        <v>31</v>
      </c>
      <c r="C712" s="23" t="s">
        <v>71</v>
      </c>
      <c r="D712" s="6" t="s">
        <v>4</v>
      </c>
      <c r="E712" s="22" t="s">
        <v>387</v>
      </c>
      <c r="F712" s="22" t="s">
        <v>402</v>
      </c>
      <c r="G712" s="22" t="s">
        <v>396</v>
      </c>
      <c r="H712" s="32" t="s">
        <v>79</v>
      </c>
    </row>
    <row r="713" ht="20" customHeight="1" spans="1:8" x14ac:dyDescent="0.25">
      <c r="A713" s="24" t="s">
        <v>68</v>
      </c>
      <c r="B713" s="24" t="s">
        <v>34</v>
      </c>
      <c r="C713" s="25" t="s">
        <v>71</v>
      </c>
      <c r="D713" s="6" t="s">
        <v>4</v>
      </c>
      <c r="E713" s="24" t="s">
        <v>201</v>
      </c>
      <c r="F713" s="24" t="s">
        <v>164</v>
      </c>
      <c r="G713" s="24" t="s">
        <v>267</v>
      </c>
      <c r="H713" s="34" t="s">
        <v>204</v>
      </c>
    </row>
    <row r="714" ht="22" customHeight="1" spans="1:8" x14ac:dyDescent="0.25">
      <c r="A714" s="26" t="s">
        <v>69</v>
      </c>
      <c r="B714" s="26"/>
      <c r="C714" s="26"/>
      <c r="D714" s="26"/>
      <c r="E714" s="26"/>
      <c r="F714" s="26"/>
      <c r="G714" s="27" t="s">
        <v>1481</v>
      </c>
      <c r="H714" s="28" t="s">
        <v>12</v>
      </c>
    </row>
    <row r="716" ht="26" customHeight="1" spans="1:8" x14ac:dyDescent="0.25">
      <c r="A716" s="20" t="s">
        <v>1482</v>
      </c>
      <c r="B716" s="20"/>
      <c r="C716" s="20"/>
      <c r="D716" s="20"/>
      <c r="E716" s="20"/>
      <c r="F716" s="20"/>
      <c r="G716" s="20"/>
      <c r="H716" s="20"/>
    </row>
    <row r="717" ht="22" customHeight="1" spans="1:8" x14ac:dyDescent="0.25">
      <c r="A717" s="21" t="s">
        <v>22</v>
      </c>
      <c r="B717" s="21" t="s">
        <v>23</v>
      </c>
      <c r="C717" s="21" t="s">
        <v>24</v>
      </c>
      <c r="D717" s="21" t="s">
        <v>25</v>
      </c>
      <c r="E717" s="21" t="s">
        <v>26</v>
      </c>
      <c r="F717" s="21" t="s">
        <v>27</v>
      </c>
      <c r="G717" s="21" t="s">
        <v>28</v>
      </c>
      <c r="H717" s="21" t="s">
        <v>29</v>
      </c>
    </row>
    <row r="718" ht="20" customHeight="1" spans="1:8" x14ac:dyDescent="0.25">
      <c r="A718" s="22" t="s">
        <v>30</v>
      </c>
      <c r="B718" s="22" t="s">
        <v>31</v>
      </c>
      <c r="C718" s="23" t="s">
        <v>71</v>
      </c>
      <c r="D718" s="10" t="s">
        <v>87</v>
      </c>
      <c r="E718" s="22" t="s">
        <v>12</v>
      </c>
      <c r="F718" s="22" t="s">
        <v>12</v>
      </c>
      <c r="G718" s="22" t="s">
        <v>12</v>
      </c>
      <c r="H718" s="22" t="s">
        <v>32</v>
      </c>
    </row>
    <row r="719" ht="20" customHeight="1" spans="1:8" x14ac:dyDescent="0.25">
      <c r="A719" s="24" t="s">
        <v>33</v>
      </c>
      <c r="B719" s="24" t="s">
        <v>34</v>
      </c>
      <c r="C719" s="25" t="s">
        <v>71</v>
      </c>
      <c r="D719" s="6" t="s">
        <v>4</v>
      </c>
      <c r="E719" s="24" t="s">
        <v>446</v>
      </c>
      <c r="F719" s="24" t="s">
        <v>84</v>
      </c>
      <c r="G719" s="24" t="s">
        <v>332</v>
      </c>
      <c r="H719" s="30" t="s">
        <v>79</v>
      </c>
    </row>
    <row r="720" ht="20" customHeight="1" spans="1:8" x14ac:dyDescent="0.25">
      <c r="A720" s="22" t="s">
        <v>35</v>
      </c>
      <c r="B720" s="22" t="s">
        <v>36</v>
      </c>
      <c r="C720" s="23" t="s">
        <v>71</v>
      </c>
      <c r="D720" s="6" t="s">
        <v>4</v>
      </c>
      <c r="E720" s="22" t="s">
        <v>403</v>
      </c>
      <c r="F720" s="22" t="s">
        <v>398</v>
      </c>
      <c r="G720" s="22" t="s">
        <v>177</v>
      </c>
      <c r="H720" s="32" t="s">
        <v>79</v>
      </c>
    </row>
    <row r="721" ht="20" customHeight="1" spans="1:8" x14ac:dyDescent="0.25">
      <c r="A721" s="24" t="s">
        <v>37</v>
      </c>
      <c r="B721" s="24" t="s">
        <v>38</v>
      </c>
      <c r="C721" s="25" t="s">
        <v>71</v>
      </c>
      <c r="D721" s="31" t="s">
        <v>11</v>
      </c>
      <c r="E721" s="24" t="s">
        <v>12</v>
      </c>
      <c r="F721" s="24" t="s">
        <v>12</v>
      </c>
      <c r="G721" s="24" t="s">
        <v>12</v>
      </c>
      <c r="H721" s="24" t="s">
        <v>32</v>
      </c>
    </row>
    <row r="722" ht="20" customHeight="1" spans="1:8" x14ac:dyDescent="0.25">
      <c r="A722" s="22" t="s">
        <v>39</v>
      </c>
      <c r="B722" s="22" t="s">
        <v>40</v>
      </c>
      <c r="C722" s="23" t="s">
        <v>71</v>
      </c>
      <c r="D722" s="6" t="s">
        <v>4</v>
      </c>
      <c r="E722" s="22" t="s">
        <v>361</v>
      </c>
      <c r="F722" s="22" t="s">
        <v>398</v>
      </c>
      <c r="G722" s="22" t="s">
        <v>250</v>
      </c>
      <c r="H722" s="32" t="s">
        <v>79</v>
      </c>
    </row>
    <row r="723" ht="20" customHeight="1" spans="1:8" x14ac:dyDescent="0.25">
      <c r="A723" s="24" t="s">
        <v>41</v>
      </c>
      <c r="B723" s="24" t="s">
        <v>42</v>
      </c>
      <c r="C723" s="25" t="s">
        <v>71</v>
      </c>
      <c r="D723" s="33" t="s">
        <v>86</v>
      </c>
      <c r="E723" s="24" t="s">
        <v>12</v>
      </c>
      <c r="F723" s="24" t="s">
        <v>12</v>
      </c>
      <c r="G723" s="24" t="s">
        <v>12</v>
      </c>
      <c r="H723" s="24" t="s">
        <v>32</v>
      </c>
    </row>
    <row r="724" ht="20" customHeight="1" spans="1:8" x14ac:dyDescent="0.25">
      <c r="A724" s="22" t="s">
        <v>44</v>
      </c>
      <c r="B724" s="22" t="s">
        <v>45</v>
      </c>
      <c r="C724" s="23" t="s">
        <v>71</v>
      </c>
      <c r="D724" s="6" t="s">
        <v>4</v>
      </c>
      <c r="E724" s="22" t="s">
        <v>300</v>
      </c>
      <c r="F724" s="22" t="s">
        <v>301</v>
      </c>
      <c r="G724" s="22" t="s">
        <v>302</v>
      </c>
      <c r="H724" s="32" t="s">
        <v>79</v>
      </c>
    </row>
    <row r="725" ht="20" customHeight="1" spans="1:8" x14ac:dyDescent="0.25">
      <c r="A725" s="24" t="s">
        <v>46</v>
      </c>
      <c r="B725" s="24" t="s">
        <v>31</v>
      </c>
      <c r="C725" s="25" t="s">
        <v>71</v>
      </c>
      <c r="D725" s="10" t="s">
        <v>87</v>
      </c>
      <c r="E725" s="24" t="s">
        <v>12</v>
      </c>
      <c r="F725" s="24" t="s">
        <v>12</v>
      </c>
      <c r="G725" s="24" t="s">
        <v>12</v>
      </c>
      <c r="H725" s="24" t="s">
        <v>32</v>
      </c>
    </row>
    <row r="726" ht="20" customHeight="1" spans="1:8" x14ac:dyDescent="0.25">
      <c r="A726" s="22" t="s">
        <v>47</v>
      </c>
      <c r="B726" s="22" t="s">
        <v>34</v>
      </c>
      <c r="C726" s="23" t="s">
        <v>71</v>
      </c>
      <c r="D726" s="6" t="s">
        <v>4</v>
      </c>
      <c r="E726" s="22" t="s">
        <v>284</v>
      </c>
      <c r="F726" s="22" t="s">
        <v>243</v>
      </c>
      <c r="G726" s="22" t="s">
        <v>686</v>
      </c>
      <c r="H726" s="32" t="s">
        <v>79</v>
      </c>
    </row>
    <row r="727" ht="20" customHeight="1" spans="1:8" x14ac:dyDescent="0.25">
      <c r="A727" s="24" t="s">
        <v>48</v>
      </c>
      <c r="B727" s="24" t="s">
        <v>36</v>
      </c>
      <c r="C727" s="25" t="s">
        <v>71</v>
      </c>
      <c r="D727" s="6" t="s">
        <v>4</v>
      </c>
      <c r="E727" s="24" t="s">
        <v>300</v>
      </c>
      <c r="F727" s="24" t="s">
        <v>402</v>
      </c>
      <c r="G727" s="24" t="s">
        <v>137</v>
      </c>
      <c r="H727" s="30" t="s">
        <v>79</v>
      </c>
    </row>
    <row r="728" ht="20" customHeight="1" spans="1:8" x14ac:dyDescent="0.25">
      <c r="A728" s="22" t="s">
        <v>49</v>
      </c>
      <c r="B728" s="22" t="s">
        <v>38</v>
      </c>
      <c r="C728" s="23" t="s">
        <v>71</v>
      </c>
      <c r="D728" s="6" t="s">
        <v>4</v>
      </c>
      <c r="E728" s="22" t="s">
        <v>284</v>
      </c>
      <c r="F728" s="22" t="s">
        <v>213</v>
      </c>
      <c r="G728" s="22" t="s">
        <v>332</v>
      </c>
      <c r="H728" s="32" t="s">
        <v>79</v>
      </c>
    </row>
    <row r="729" ht="20" customHeight="1" spans="1:8" x14ac:dyDescent="0.25">
      <c r="A729" s="24" t="s">
        <v>50</v>
      </c>
      <c r="B729" s="24" t="s">
        <v>40</v>
      </c>
      <c r="C729" s="25" t="s">
        <v>71</v>
      </c>
      <c r="D729" s="33" t="s">
        <v>86</v>
      </c>
      <c r="E729" s="24" t="s">
        <v>12</v>
      </c>
      <c r="F729" s="24" t="s">
        <v>12</v>
      </c>
      <c r="G729" s="24" t="s">
        <v>12</v>
      </c>
      <c r="H729" s="24" t="s">
        <v>32</v>
      </c>
    </row>
    <row r="730" ht="20" customHeight="1" spans="1:8" x14ac:dyDescent="0.25">
      <c r="A730" s="22" t="s">
        <v>51</v>
      </c>
      <c r="B730" s="22" t="s">
        <v>42</v>
      </c>
      <c r="C730" s="23" t="s">
        <v>71</v>
      </c>
      <c r="D730" s="35" t="s">
        <v>86</v>
      </c>
      <c r="E730" s="22" t="s">
        <v>12</v>
      </c>
      <c r="F730" s="22" t="s">
        <v>12</v>
      </c>
      <c r="G730" s="22" t="s">
        <v>12</v>
      </c>
      <c r="H730" s="22" t="s">
        <v>32</v>
      </c>
    </row>
    <row r="731" ht="20" customHeight="1" spans="1:8" x14ac:dyDescent="0.25">
      <c r="A731" s="24" t="s">
        <v>52</v>
      </c>
      <c r="B731" s="24" t="s">
        <v>45</v>
      </c>
      <c r="C731" s="25" t="s">
        <v>71</v>
      </c>
      <c r="D731" s="6" t="s">
        <v>4</v>
      </c>
      <c r="E731" s="24" t="s">
        <v>228</v>
      </c>
      <c r="F731" s="24" t="s">
        <v>386</v>
      </c>
      <c r="G731" s="24" t="s">
        <v>393</v>
      </c>
      <c r="H731" s="34" t="s">
        <v>229</v>
      </c>
    </row>
    <row r="732" ht="20" customHeight="1" spans="1:8" x14ac:dyDescent="0.25">
      <c r="A732" s="22" t="s">
        <v>53</v>
      </c>
      <c r="B732" s="22" t="s">
        <v>31</v>
      </c>
      <c r="C732" s="23" t="s">
        <v>71</v>
      </c>
      <c r="D732" s="6" t="s">
        <v>4</v>
      </c>
      <c r="E732" s="22" t="s">
        <v>390</v>
      </c>
      <c r="F732" s="22" t="s">
        <v>395</v>
      </c>
      <c r="G732" s="22" t="s">
        <v>147</v>
      </c>
      <c r="H732" s="32" t="s">
        <v>79</v>
      </c>
    </row>
    <row r="733" ht="20" customHeight="1" spans="1:8" x14ac:dyDescent="0.25">
      <c r="A733" s="24" t="s">
        <v>54</v>
      </c>
      <c r="B733" s="24" t="s">
        <v>34</v>
      </c>
      <c r="C733" s="25" t="s">
        <v>71</v>
      </c>
      <c r="D733" s="6" t="s">
        <v>4</v>
      </c>
      <c r="E733" s="24" t="s">
        <v>199</v>
      </c>
      <c r="F733" s="24" t="s">
        <v>298</v>
      </c>
      <c r="G733" s="24" t="s">
        <v>238</v>
      </c>
      <c r="H733" s="34" t="s">
        <v>200</v>
      </c>
    </row>
    <row r="734" ht="20" customHeight="1" spans="1:8" x14ac:dyDescent="0.25">
      <c r="A734" s="22" t="s">
        <v>55</v>
      </c>
      <c r="B734" s="22" t="s">
        <v>36</v>
      </c>
      <c r="C734" s="23" t="s">
        <v>71</v>
      </c>
      <c r="D734" s="6" t="s">
        <v>4</v>
      </c>
      <c r="E734" s="22" t="s">
        <v>390</v>
      </c>
      <c r="F734" s="22" t="s">
        <v>395</v>
      </c>
      <c r="G734" s="22" t="s">
        <v>147</v>
      </c>
      <c r="H734" s="32" t="s">
        <v>79</v>
      </c>
    </row>
    <row r="735" ht="20" customHeight="1" spans="1:8" x14ac:dyDescent="0.25">
      <c r="A735" s="24" t="s">
        <v>56</v>
      </c>
      <c r="B735" s="24" t="s">
        <v>38</v>
      </c>
      <c r="C735" s="25" t="s">
        <v>71</v>
      </c>
      <c r="D735" s="6" t="s">
        <v>4</v>
      </c>
      <c r="E735" s="24" t="s">
        <v>547</v>
      </c>
      <c r="F735" s="24" t="s">
        <v>761</v>
      </c>
      <c r="G735" s="24" t="s">
        <v>267</v>
      </c>
      <c r="H735" s="34" t="s">
        <v>548</v>
      </c>
    </row>
    <row r="736" ht="20" customHeight="1" spans="1:8" x14ac:dyDescent="0.25">
      <c r="A736" s="22" t="s">
        <v>57</v>
      </c>
      <c r="B736" s="22" t="s">
        <v>40</v>
      </c>
      <c r="C736" s="23" t="s">
        <v>71</v>
      </c>
      <c r="D736" s="6" t="s">
        <v>4</v>
      </c>
      <c r="E736" s="22" t="s">
        <v>620</v>
      </c>
      <c r="F736" s="22" t="s">
        <v>1105</v>
      </c>
      <c r="G736" s="22" t="s">
        <v>1234</v>
      </c>
      <c r="H736" s="32" t="s">
        <v>79</v>
      </c>
    </row>
    <row r="737" ht="20" customHeight="1" spans="1:8" x14ac:dyDescent="0.25">
      <c r="A737" s="24" t="s">
        <v>58</v>
      </c>
      <c r="B737" s="24" t="s">
        <v>42</v>
      </c>
      <c r="C737" s="25" t="s">
        <v>71</v>
      </c>
      <c r="D737" s="33" t="s">
        <v>86</v>
      </c>
      <c r="E737" s="24" t="s">
        <v>12</v>
      </c>
      <c r="F737" s="24" t="s">
        <v>12</v>
      </c>
      <c r="G737" s="24" t="s">
        <v>12</v>
      </c>
      <c r="H737" s="24" t="s">
        <v>32</v>
      </c>
    </row>
    <row r="738" ht="20" customHeight="1" spans="1:8" x14ac:dyDescent="0.25">
      <c r="A738" s="22" t="s">
        <v>59</v>
      </c>
      <c r="B738" s="22" t="s">
        <v>45</v>
      </c>
      <c r="C738" s="23" t="s">
        <v>71</v>
      </c>
      <c r="D738" s="6" t="s">
        <v>4</v>
      </c>
      <c r="E738" s="22" t="s">
        <v>564</v>
      </c>
      <c r="F738" s="22" t="s">
        <v>258</v>
      </c>
      <c r="G738" s="22" t="s">
        <v>279</v>
      </c>
      <c r="H738" s="32" t="s">
        <v>79</v>
      </c>
    </row>
    <row r="739" ht="20" customHeight="1" spans="1:8" x14ac:dyDescent="0.25">
      <c r="A739" s="24" t="s">
        <v>60</v>
      </c>
      <c r="B739" s="24" t="s">
        <v>31</v>
      </c>
      <c r="C739" s="25" t="s">
        <v>71</v>
      </c>
      <c r="D739" s="6" t="s">
        <v>4</v>
      </c>
      <c r="E739" s="24" t="s">
        <v>125</v>
      </c>
      <c r="F739" s="24" t="s">
        <v>384</v>
      </c>
      <c r="G739" s="24" t="s">
        <v>259</v>
      </c>
      <c r="H739" s="30" t="s">
        <v>79</v>
      </c>
    </row>
    <row r="740" ht="20" customHeight="1" spans="1:8" x14ac:dyDescent="0.25">
      <c r="A740" s="22" t="s">
        <v>61</v>
      </c>
      <c r="B740" s="22" t="s">
        <v>34</v>
      </c>
      <c r="C740" s="23" t="s">
        <v>71</v>
      </c>
      <c r="D740" s="6" t="s">
        <v>4</v>
      </c>
      <c r="E740" s="22" t="s">
        <v>564</v>
      </c>
      <c r="F740" s="22" t="s">
        <v>523</v>
      </c>
      <c r="G740" s="22" t="s">
        <v>1415</v>
      </c>
      <c r="H740" s="29" t="s">
        <v>524</v>
      </c>
    </row>
    <row r="741" ht="20" customHeight="1" spans="1:8" x14ac:dyDescent="0.25">
      <c r="A741" s="24" t="s">
        <v>62</v>
      </c>
      <c r="B741" s="24" t="s">
        <v>36</v>
      </c>
      <c r="C741" s="25" t="s">
        <v>71</v>
      </c>
      <c r="D741" s="6" t="s">
        <v>4</v>
      </c>
      <c r="E741" s="24" t="s">
        <v>361</v>
      </c>
      <c r="F741" s="24" t="s">
        <v>170</v>
      </c>
      <c r="G741" s="24" t="s">
        <v>406</v>
      </c>
      <c r="H741" s="30" t="s">
        <v>79</v>
      </c>
    </row>
    <row r="742" ht="20" customHeight="1" spans="1:8" x14ac:dyDescent="0.25">
      <c r="A742" s="22" t="s">
        <v>63</v>
      </c>
      <c r="B742" s="22" t="s">
        <v>38</v>
      </c>
      <c r="C742" s="23" t="s">
        <v>71</v>
      </c>
      <c r="D742" s="6" t="s">
        <v>4</v>
      </c>
      <c r="E742" s="22" t="s">
        <v>411</v>
      </c>
      <c r="F742" s="22" t="s">
        <v>1421</v>
      </c>
      <c r="G742" s="22" t="s">
        <v>111</v>
      </c>
      <c r="H742" s="32" t="s">
        <v>79</v>
      </c>
    </row>
    <row r="743" ht="20" customHeight="1" spans="1:8" x14ac:dyDescent="0.25">
      <c r="A743" s="24" t="s">
        <v>64</v>
      </c>
      <c r="B743" s="24" t="s">
        <v>40</v>
      </c>
      <c r="C743" s="25" t="s">
        <v>71</v>
      </c>
      <c r="D743" s="6" t="s">
        <v>4</v>
      </c>
      <c r="E743" s="24" t="s">
        <v>409</v>
      </c>
      <c r="F743" s="24" t="s">
        <v>626</v>
      </c>
      <c r="G743" s="24" t="s">
        <v>959</v>
      </c>
      <c r="H743" s="34" t="s">
        <v>627</v>
      </c>
    </row>
    <row r="744" ht="20" customHeight="1" spans="1:8" x14ac:dyDescent="0.25">
      <c r="A744" s="22" t="s">
        <v>65</v>
      </c>
      <c r="B744" s="22" t="s">
        <v>42</v>
      </c>
      <c r="C744" s="23" t="s">
        <v>71</v>
      </c>
      <c r="D744" s="35" t="s">
        <v>86</v>
      </c>
      <c r="E744" s="22" t="s">
        <v>12</v>
      </c>
      <c r="F744" s="22" t="s">
        <v>12</v>
      </c>
      <c r="G744" s="22" t="s">
        <v>12</v>
      </c>
      <c r="H744" s="22" t="s">
        <v>32</v>
      </c>
    </row>
    <row r="745" ht="20" customHeight="1" spans="1:8" x14ac:dyDescent="0.25">
      <c r="A745" s="24" t="s">
        <v>66</v>
      </c>
      <c r="B745" s="24" t="s">
        <v>45</v>
      </c>
      <c r="C745" s="25" t="s">
        <v>71</v>
      </c>
      <c r="D745" s="6" t="s">
        <v>4</v>
      </c>
      <c r="E745" s="24" t="s">
        <v>923</v>
      </c>
      <c r="F745" s="24" t="s">
        <v>998</v>
      </c>
      <c r="G745" s="24" t="s">
        <v>259</v>
      </c>
      <c r="H745" s="34" t="s">
        <v>926</v>
      </c>
    </row>
    <row r="746" ht="20" customHeight="1" spans="1:8" x14ac:dyDescent="0.25">
      <c r="A746" s="22" t="s">
        <v>67</v>
      </c>
      <c r="B746" s="22" t="s">
        <v>31</v>
      </c>
      <c r="C746" s="23" t="s">
        <v>71</v>
      </c>
      <c r="D746" s="10" t="s">
        <v>87</v>
      </c>
      <c r="E746" s="22" t="s">
        <v>12</v>
      </c>
      <c r="F746" s="22" t="s">
        <v>12</v>
      </c>
      <c r="G746" s="22" t="s">
        <v>12</v>
      </c>
      <c r="H746" s="22" t="s">
        <v>32</v>
      </c>
    </row>
    <row r="747" ht="20" customHeight="1" spans="1:8" x14ac:dyDescent="0.25">
      <c r="A747" s="24" t="s">
        <v>68</v>
      </c>
      <c r="B747" s="24" t="s">
        <v>34</v>
      </c>
      <c r="C747" s="25" t="s">
        <v>71</v>
      </c>
      <c r="D747" s="6" t="s">
        <v>4</v>
      </c>
      <c r="E747" s="24" t="s">
        <v>152</v>
      </c>
      <c r="F747" s="24" t="s">
        <v>1421</v>
      </c>
      <c r="G747" s="24" t="s">
        <v>147</v>
      </c>
      <c r="H747" s="34" t="s">
        <v>155</v>
      </c>
    </row>
    <row r="748" ht="22" customHeight="1" spans="1:8" x14ac:dyDescent="0.25">
      <c r="A748" s="26" t="s">
        <v>69</v>
      </c>
      <c r="B748" s="26"/>
      <c r="C748" s="26"/>
      <c r="D748" s="26"/>
      <c r="E748" s="26"/>
      <c r="F748" s="26"/>
      <c r="G748" s="27" t="s">
        <v>1483</v>
      </c>
      <c r="H748" s="28" t="s">
        <v>12</v>
      </c>
    </row>
    <row r="750" ht="26" customHeight="1" spans="1:8" x14ac:dyDescent="0.25">
      <c r="A750" s="20" t="s">
        <v>1484</v>
      </c>
      <c r="B750" s="20"/>
      <c r="C750" s="20"/>
      <c r="D750" s="20"/>
      <c r="E750" s="20"/>
      <c r="F750" s="20"/>
      <c r="G750" s="20"/>
      <c r="H750" s="20"/>
    </row>
    <row r="751" ht="22" customHeight="1" spans="1:8" x14ac:dyDescent="0.25">
      <c r="A751" s="21" t="s">
        <v>22</v>
      </c>
      <c r="B751" s="21" t="s">
        <v>23</v>
      </c>
      <c r="C751" s="21" t="s">
        <v>24</v>
      </c>
      <c r="D751" s="21" t="s">
        <v>25</v>
      </c>
      <c r="E751" s="21" t="s">
        <v>26</v>
      </c>
      <c r="F751" s="21" t="s">
        <v>27</v>
      </c>
      <c r="G751" s="21" t="s">
        <v>28</v>
      </c>
      <c r="H751" s="21" t="s">
        <v>29</v>
      </c>
    </row>
    <row r="752" ht="20" customHeight="1" spans="1:8" x14ac:dyDescent="0.25">
      <c r="A752" s="22" t="s">
        <v>30</v>
      </c>
      <c r="B752" s="22" t="s">
        <v>31</v>
      </c>
      <c r="C752" s="23" t="s">
        <v>71</v>
      </c>
      <c r="D752" s="6" t="s">
        <v>4</v>
      </c>
      <c r="E752" s="22" t="s">
        <v>639</v>
      </c>
      <c r="F752" s="22" t="s">
        <v>761</v>
      </c>
      <c r="G752" s="22" t="s">
        <v>659</v>
      </c>
      <c r="H752" s="32" t="s">
        <v>79</v>
      </c>
    </row>
    <row r="753" ht="20" customHeight="1" spans="1:8" x14ac:dyDescent="0.25">
      <c r="A753" s="24" t="s">
        <v>33</v>
      </c>
      <c r="B753" s="24" t="s">
        <v>34</v>
      </c>
      <c r="C753" s="25" t="s">
        <v>71</v>
      </c>
      <c r="D753" s="6" t="s">
        <v>4</v>
      </c>
      <c r="E753" s="24" t="s">
        <v>392</v>
      </c>
      <c r="F753" s="24" t="s">
        <v>301</v>
      </c>
      <c r="G753" s="24" t="s">
        <v>259</v>
      </c>
      <c r="H753" s="34" t="s">
        <v>394</v>
      </c>
    </row>
    <row r="754" ht="20" customHeight="1" spans="1:8" x14ac:dyDescent="0.25">
      <c r="A754" s="22" t="s">
        <v>35</v>
      </c>
      <c r="B754" s="22" t="s">
        <v>36</v>
      </c>
      <c r="C754" s="23" t="s">
        <v>71</v>
      </c>
      <c r="D754" s="6" t="s">
        <v>4</v>
      </c>
      <c r="E754" s="22" t="s">
        <v>644</v>
      </c>
      <c r="F754" s="22" t="s">
        <v>179</v>
      </c>
      <c r="G754" s="22" t="s">
        <v>283</v>
      </c>
      <c r="H754" s="29" t="s">
        <v>645</v>
      </c>
    </row>
    <row r="755" ht="20" customHeight="1" spans="1:8" x14ac:dyDescent="0.25">
      <c r="A755" s="24" t="s">
        <v>37</v>
      </c>
      <c r="B755" s="24" t="s">
        <v>38</v>
      </c>
      <c r="C755" s="25" t="s">
        <v>71</v>
      </c>
      <c r="D755" s="31" t="s">
        <v>11</v>
      </c>
      <c r="E755" s="24" t="s">
        <v>12</v>
      </c>
      <c r="F755" s="24" t="s">
        <v>12</v>
      </c>
      <c r="G755" s="24" t="s">
        <v>12</v>
      </c>
      <c r="H755" s="24" t="s">
        <v>32</v>
      </c>
    </row>
    <row r="756" ht="20" customHeight="1" spans="1:8" x14ac:dyDescent="0.25">
      <c r="A756" s="22" t="s">
        <v>39</v>
      </c>
      <c r="B756" s="22" t="s">
        <v>40</v>
      </c>
      <c r="C756" s="23" t="s">
        <v>71</v>
      </c>
      <c r="D756" s="6" t="s">
        <v>4</v>
      </c>
      <c r="E756" s="22" t="s">
        <v>234</v>
      </c>
      <c r="F756" s="22" t="s">
        <v>1485</v>
      </c>
      <c r="G756" s="22" t="s">
        <v>1486</v>
      </c>
      <c r="H756" s="29" t="s">
        <v>1487</v>
      </c>
    </row>
    <row r="757" ht="20" customHeight="1" spans="1:8" x14ac:dyDescent="0.25">
      <c r="A757" s="24" t="s">
        <v>41</v>
      </c>
      <c r="B757" s="24" t="s">
        <v>42</v>
      </c>
      <c r="C757" s="25" t="s">
        <v>71</v>
      </c>
      <c r="D757" s="33" t="s">
        <v>86</v>
      </c>
      <c r="E757" s="24" t="s">
        <v>12</v>
      </c>
      <c r="F757" s="24" t="s">
        <v>12</v>
      </c>
      <c r="G757" s="24" t="s">
        <v>12</v>
      </c>
      <c r="H757" s="24" t="s">
        <v>32</v>
      </c>
    </row>
    <row r="758" ht="20" customHeight="1" spans="1:8" x14ac:dyDescent="0.25">
      <c r="A758" s="22" t="s">
        <v>44</v>
      </c>
      <c r="B758" s="22" t="s">
        <v>45</v>
      </c>
      <c r="C758" s="23" t="s">
        <v>71</v>
      </c>
      <c r="D758" s="6" t="s">
        <v>4</v>
      </c>
      <c r="E758" s="22" t="s">
        <v>644</v>
      </c>
      <c r="F758" s="22" t="s">
        <v>298</v>
      </c>
      <c r="G758" s="22" t="s">
        <v>646</v>
      </c>
      <c r="H758" s="29" t="s">
        <v>645</v>
      </c>
    </row>
    <row r="759" ht="20" customHeight="1" spans="1:8" x14ac:dyDescent="0.25">
      <c r="A759" s="24" t="s">
        <v>46</v>
      </c>
      <c r="B759" s="24" t="s">
        <v>31</v>
      </c>
      <c r="C759" s="25" t="s">
        <v>71</v>
      </c>
      <c r="D759" s="6" t="s">
        <v>4</v>
      </c>
      <c r="E759" s="24" t="s">
        <v>356</v>
      </c>
      <c r="F759" s="24" t="s">
        <v>628</v>
      </c>
      <c r="G759" s="24" t="s">
        <v>531</v>
      </c>
      <c r="H759" s="34" t="s">
        <v>1488</v>
      </c>
    </row>
    <row r="760" ht="20" customHeight="1" spans="1:8" x14ac:dyDescent="0.25">
      <c r="A760" s="22" t="s">
        <v>47</v>
      </c>
      <c r="B760" s="22" t="s">
        <v>34</v>
      </c>
      <c r="C760" s="23" t="s">
        <v>71</v>
      </c>
      <c r="D760" s="6" t="s">
        <v>4</v>
      </c>
      <c r="E760" s="22" t="s">
        <v>1489</v>
      </c>
      <c r="F760" s="22" t="s">
        <v>761</v>
      </c>
      <c r="G760" s="22" t="s">
        <v>1490</v>
      </c>
      <c r="H760" s="29" t="s">
        <v>1491</v>
      </c>
    </row>
    <row r="761" ht="20" customHeight="1" spans="1:8" x14ac:dyDescent="0.25">
      <c r="A761" s="24" t="s">
        <v>48</v>
      </c>
      <c r="B761" s="24" t="s">
        <v>36</v>
      </c>
      <c r="C761" s="25" t="s">
        <v>71</v>
      </c>
      <c r="D761" s="6" t="s">
        <v>4</v>
      </c>
      <c r="E761" s="24" t="s">
        <v>411</v>
      </c>
      <c r="F761" s="24" t="s">
        <v>389</v>
      </c>
      <c r="G761" s="24" t="s">
        <v>329</v>
      </c>
      <c r="H761" s="30" t="s">
        <v>79</v>
      </c>
    </row>
    <row r="762" ht="20" customHeight="1" spans="1:8" x14ac:dyDescent="0.25">
      <c r="A762" s="22" t="s">
        <v>49</v>
      </c>
      <c r="B762" s="22" t="s">
        <v>38</v>
      </c>
      <c r="C762" s="23" t="s">
        <v>71</v>
      </c>
      <c r="D762" s="10" t="s">
        <v>87</v>
      </c>
      <c r="E762" s="22" t="s">
        <v>12</v>
      </c>
      <c r="F762" s="22" t="s">
        <v>12</v>
      </c>
      <c r="G762" s="22" t="s">
        <v>12</v>
      </c>
      <c r="H762" s="22" t="s">
        <v>32</v>
      </c>
    </row>
    <row r="763" ht="20" customHeight="1" spans="1:8" x14ac:dyDescent="0.25">
      <c r="A763" s="24" t="s">
        <v>50</v>
      </c>
      <c r="B763" s="24" t="s">
        <v>40</v>
      </c>
      <c r="C763" s="25" t="s">
        <v>71</v>
      </c>
      <c r="D763" s="33" t="s">
        <v>86</v>
      </c>
      <c r="E763" s="24" t="s">
        <v>12</v>
      </c>
      <c r="F763" s="24" t="s">
        <v>12</v>
      </c>
      <c r="G763" s="24" t="s">
        <v>12</v>
      </c>
      <c r="H763" s="24" t="s">
        <v>32</v>
      </c>
    </row>
    <row r="764" ht="20" customHeight="1" spans="1:8" x14ac:dyDescent="0.25">
      <c r="A764" s="22" t="s">
        <v>51</v>
      </c>
      <c r="B764" s="22" t="s">
        <v>42</v>
      </c>
      <c r="C764" s="23" t="s">
        <v>71</v>
      </c>
      <c r="D764" s="35" t="s">
        <v>86</v>
      </c>
      <c r="E764" s="22" t="s">
        <v>12</v>
      </c>
      <c r="F764" s="22" t="s">
        <v>12</v>
      </c>
      <c r="G764" s="22" t="s">
        <v>12</v>
      </c>
      <c r="H764" s="22" t="s">
        <v>32</v>
      </c>
    </row>
    <row r="765" ht="20" customHeight="1" spans="1:8" x14ac:dyDescent="0.25">
      <c r="A765" s="24" t="s">
        <v>52</v>
      </c>
      <c r="B765" s="24" t="s">
        <v>45</v>
      </c>
      <c r="C765" s="25" t="s">
        <v>71</v>
      </c>
      <c r="D765" s="6" t="s">
        <v>4</v>
      </c>
      <c r="E765" s="24" t="s">
        <v>224</v>
      </c>
      <c r="F765" s="24" t="s">
        <v>447</v>
      </c>
      <c r="G765" s="24" t="s">
        <v>1492</v>
      </c>
      <c r="H765" s="34" t="s">
        <v>227</v>
      </c>
    </row>
    <row r="766" ht="20" customHeight="1" spans="1:8" x14ac:dyDescent="0.25">
      <c r="A766" s="22" t="s">
        <v>53</v>
      </c>
      <c r="B766" s="22" t="s">
        <v>31</v>
      </c>
      <c r="C766" s="23" t="s">
        <v>71</v>
      </c>
      <c r="D766" s="10" t="s">
        <v>87</v>
      </c>
      <c r="E766" s="22" t="s">
        <v>12</v>
      </c>
      <c r="F766" s="22" t="s">
        <v>12</v>
      </c>
      <c r="G766" s="22" t="s">
        <v>12</v>
      </c>
      <c r="H766" s="22" t="s">
        <v>32</v>
      </c>
    </row>
    <row r="767" ht="20" customHeight="1" spans="1:8" x14ac:dyDescent="0.25">
      <c r="A767" s="24" t="s">
        <v>54</v>
      </c>
      <c r="B767" s="24" t="s">
        <v>34</v>
      </c>
      <c r="C767" s="25" t="s">
        <v>71</v>
      </c>
      <c r="D767" s="10" t="s">
        <v>87</v>
      </c>
      <c r="E767" s="24" t="s">
        <v>12</v>
      </c>
      <c r="F767" s="24" t="s">
        <v>12</v>
      </c>
      <c r="G767" s="24" t="s">
        <v>12</v>
      </c>
      <c r="H767" s="24" t="s">
        <v>32</v>
      </c>
    </row>
    <row r="768" ht="20" customHeight="1" spans="1:8" x14ac:dyDescent="0.25">
      <c r="A768" s="22" t="s">
        <v>55</v>
      </c>
      <c r="B768" s="22" t="s">
        <v>36</v>
      </c>
      <c r="C768" s="23" t="s">
        <v>71</v>
      </c>
      <c r="D768" s="6" t="s">
        <v>4</v>
      </c>
      <c r="E768" s="22" t="s">
        <v>205</v>
      </c>
      <c r="F768" s="22" t="s">
        <v>243</v>
      </c>
      <c r="G768" s="22" t="s">
        <v>574</v>
      </c>
      <c r="H768" s="29" t="s">
        <v>207</v>
      </c>
    </row>
    <row r="769" ht="20" customHeight="1" spans="1:8" x14ac:dyDescent="0.25">
      <c r="A769" s="24" t="s">
        <v>56</v>
      </c>
      <c r="B769" s="24" t="s">
        <v>38</v>
      </c>
      <c r="C769" s="25" t="s">
        <v>71</v>
      </c>
      <c r="D769" s="6" t="s">
        <v>4</v>
      </c>
      <c r="E769" s="24" t="s">
        <v>567</v>
      </c>
      <c r="F769" s="24" t="s">
        <v>225</v>
      </c>
      <c r="G769" s="24" t="s">
        <v>147</v>
      </c>
      <c r="H769" s="30" t="s">
        <v>79</v>
      </c>
    </row>
    <row r="770" ht="20" customHeight="1" spans="1:8" x14ac:dyDescent="0.25">
      <c r="A770" s="22" t="s">
        <v>57</v>
      </c>
      <c r="B770" s="22" t="s">
        <v>40</v>
      </c>
      <c r="C770" s="23" t="s">
        <v>71</v>
      </c>
      <c r="D770" s="6" t="s">
        <v>4</v>
      </c>
      <c r="E770" s="22" t="s">
        <v>353</v>
      </c>
      <c r="F770" s="22" t="s">
        <v>252</v>
      </c>
      <c r="G770" s="22" t="s">
        <v>206</v>
      </c>
      <c r="H770" s="29" t="s">
        <v>355</v>
      </c>
    </row>
    <row r="771" ht="20" customHeight="1" spans="1:8" x14ac:dyDescent="0.25">
      <c r="A771" s="24" t="s">
        <v>58</v>
      </c>
      <c r="B771" s="24" t="s">
        <v>42</v>
      </c>
      <c r="C771" s="25" t="s">
        <v>71</v>
      </c>
      <c r="D771" s="33" t="s">
        <v>86</v>
      </c>
      <c r="E771" s="24" t="s">
        <v>12</v>
      </c>
      <c r="F771" s="24" t="s">
        <v>12</v>
      </c>
      <c r="G771" s="24" t="s">
        <v>12</v>
      </c>
      <c r="H771" s="24" t="s">
        <v>32</v>
      </c>
    </row>
    <row r="772" ht="20" customHeight="1" spans="1:8" x14ac:dyDescent="0.25">
      <c r="A772" s="22" t="s">
        <v>59</v>
      </c>
      <c r="B772" s="22" t="s">
        <v>45</v>
      </c>
      <c r="C772" s="23" t="s">
        <v>71</v>
      </c>
      <c r="D772" s="6" t="s">
        <v>4</v>
      </c>
      <c r="E772" s="22" t="s">
        <v>163</v>
      </c>
      <c r="F772" s="22" t="s">
        <v>235</v>
      </c>
      <c r="G772" s="22" t="s">
        <v>367</v>
      </c>
      <c r="H772" s="29" t="s">
        <v>166</v>
      </c>
    </row>
    <row r="773" ht="20" customHeight="1" spans="1:8" x14ac:dyDescent="0.25">
      <c r="A773" s="24" t="s">
        <v>60</v>
      </c>
      <c r="B773" s="24" t="s">
        <v>31</v>
      </c>
      <c r="C773" s="25" t="s">
        <v>71</v>
      </c>
      <c r="D773" s="6" t="s">
        <v>4</v>
      </c>
      <c r="E773" s="24" t="s">
        <v>205</v>
      </c>
      <c r="F773" s="24" t="s">
        <v>252</v>
      </c>
      <c r="G773" s="24" t="s">
        <v>614</v>
      </c>
      <c r="H773" s="34" t="s">
        <v>207</v>
      </c>
    </row>
    <row r="774" ht="20" customHeight="1" spans="1:8" x14ac:dyDescent="0.25">
      <c r="A774" s="22" t="s">
        <v>61</v>
      </c>
      <c r="B774" s="22" t="s">
        <v>34</v>
      </c>
      <c r="C774" s="23" t="s">
        <v>71</v>
      </c>
      <c r="D774" s="6" t="s">
        <v>4</v>
      </c>
      <c r="E774" s="22" t="s">
        <v>635</v>
      </c>
      <c r="F774" s="22" t="s">
        <v>373</v>
      </c>
      <c r="G774" s="22" t="s">
        <v>259</v>
      </c>
      <c r="H774" s="32" t="s">
        <v>79</v>
      </c>
    </row>
    <row r="775" ht="20" customHeight="1" spans="1:8" x14ac:dyDescent="0.25">
      <c r="A775" s="24" t="s">
        <v>62</v>
      </c>
      <c r="B775" s="24" t="s">
        <v>36</v>
      </c>
      <c r="C775" s="25" t="s">
        <v>71</v>
      </c>
      <c r="D775" s="6" t="s">
        <v>4</v>
      </c>
      <c r="E775" s="24" t="s">
        <v>515</v>
      </c>
      <c r="F775" s="24" t="s">
        <v>402</v>
      </c>
      <c r="G775" s="24" t="s">
        <v>267</v>
      </c>
      <c r="H775" s="34" t="s">
        <v>517</v>
      </c>
    </row>
    <row r="776" ht="20" customHeight="1" spans="1:8" x14ac:dyDescent="0.25">
      <c r="A776" s="22" t="s">
        <v>63</v>
      </c>
      <c r="B776" s="22" t="s">
        <v>38</v>
      </c>
      <c r="C776" s="23" t="s">
        <v>71</v>
      </c>
      <c r="D776" s="6" t="s">
        <v>4</v>
      </c>
      <c r="E776" s="22" t="s">
        <v>163</v>
      </c>
      <c r="F776" s="22" t="s">
        <v>555</v>
      </c>
      <c r="G776" s="22" t="s">
        <v>1493</v>
      </c>
      <c r="H776" s="29" t="s">
        <v>1494</v>
      </c>
    </row>
    <row r="777" ht="20" customHeight="1" spans="1:8" x14ac:dyDescent="0.25">
      <c r="A777" s="24" t="s">
        <v>64</v>
      </c>
      <c r="B777" s="24" t="s">
        <v>40</v>
      </c>
      <c r="C777" s="25" t="s">
        <v>71</v>
      </c>
      <c r="D777" s="6" t="s">
        <v>4</v>
      </c>
      <c r="E777" s="24" t="s">
        <v>254</v>
      </c>
      <c r="F777" s="24" t="s">
        <v>324</v>
      </c>
      <c r="G777" s="24" t="s">
        <v>183</v>
      </c>
      <c r="H777" s="34" t="s">
        <v>256</v>
      </c>
    </row>
    <row r="778" ht="20" customHeight="1" spans="1:8" x14ac:dyDescent="0.25">
      <c r="A778" s="22" t="s">
        <v>65</v>
      </c>
      <c r="B778" s="22" t="s">
        <v>42</v>
      </c>
      <c r="C778" s="23" t="s">
        <v>71</v>
      </c>
      <c r="D778" s="35" t="s">
        <v>86</v>
      </c>
      <c r="E778" s="22" t="s">
        <v>12</v>
      </c>
      <c r="F778" s="22" t="s">
        <v>12</v>
      </c>
      <c r="G778" s="22" t="s">
        <v>12</v>
      </c>
      <c r="H778" s="22" t="s">
        <v>32</v>
      </c>
    </row>
    <row r="779" ht="20" customHeight="1" spans="1:8" x14ac:dyDescent="0.25">
      <c r="A779" s="24" t="s">
        <v>66</v>
      </c>
      <c r="B779" s="24" t="s">
        <v>45</v>
      </c>
      <c r="C779" s="25" t="s">
        <v>71</v>
      </c>
      <c r="D779" s="6" t="s">
        <v>4</v>
      </c>
      <c r="E779" s="24" t="s">
        <v>518</v>
      </c>
      <c r="F779" s="24" t="s">
        <v>344</v>
      </c>
      <c r="G779" s="24" t="s">
        <v>259</v>
      </c>
      <c r="H779" s="30" t="s">
        <v>79</v>
      </c>
    </row>
    <row r="780" ht="20" customHeight="1" spans="1:8" x14ac:dyDescent="0.25">
      <c r="A780" s="22" t="s">
        <v>67</v>
      </c>
      <c r="B780" s="22" t="s">
        <v>31</v>
      </c>
      <c r="C780" s="23" t="s">
        <v>71</v>
      </c>
      <c r="D780" s="6" t="s">
        <v>4</v>
      </c>
      <c r="E780" s="22" t="s">
        <v>234</v>
      </c>
      <c r="F780" s="22" t="s">
        <v>182</v>
      </c>
      <c r="G780" s="22" t="s">
        <v>250</v>
      </c>
      <c r="H780" s="29" t="s">
        <v>236</v>
      </c>
    </row>
    <row r="781" ht="20" customHeight="1" spans="1:8" x14ac:dyDescent="0.25">
      <c r="A781" s="24" t="s">
        <v>68</v>
      </c>
      <c r="B781" s="24" t="s">
        <v>34</v>
      </c>
      <c r="C781" s="25" t="s">
        <v>71</v>
      </c>
      <c r="D781" s="6" t="s">
        <v>4</v>
      </c>
      <c r="E781" s="24" t="s">
        <v>774</v>
      </c>
      <c r="F781" s="24" t="s">
        <v>276</v>
      </c>
      <c r="G781" s="24" t="s">
        <v>161</v>
      </c>
      <c r="H781" s="30" t="s">
        <v>79</v>
      </c>
    </row>
    <row r="782" ht="22" customHeight="1" spans="1:8" x14ac:dyDescent="0.25">
      <c r="A782" s="26" t="s">
        <v>69</v>
      </c>
      <c r="B782" s="26"/>
      <c r="C782" s="26"/>
      <c r="D782" s="26"/>
      <c r="E782" s="26"/>
      <c r="F782" s="26"/>
      <c r="G782" s="27" t="s">
        <v>1495</v>
      </c>
      <c r="H782" s="28" t="s">
        <v>12</v>
      </c>
    </row>
    <row r="784" ht="26" customHeight="1" spans="1:8" x14ac:dyDescent="0.25">
      <c r="A784" s="20" t="s">
        <v>1496</v>
      </c>
      <c r="B784" s="20"/>
      <c r="C784" s="20"/>
      <c r="D784" s="20"/>
      <c r="E784" s="20"/>
      <c r="F784" s="20"/>
      <c r="G784" s="20"/>
      <c r="H784" s="20"/>
    </row>
    <row r="785" ht="22" customHeight="1" spans="1:8" x14ac:dyDescent="0.25">
      <c r="A785" s="21" t="s">
        <v>22</v>
      </c>
      <c r="B785" s="21" t="s">
        <v>23</v>
      </c>
      <c r="C785" s="21" t="s">
        <v>24</v>
      </c>
      <c r="D785" s="21" t="s">
        <v>25</v>
      </c>
      <c r="E785" s="21" t="s">
        <v>26</v>
      </c>
      <c r="F785" s="21" t="s">
        <v>27</v>
      </c>
      <c r="G785" s="21" t="s">
        <v>28</v>
      </c>
      <c r="H785" s="21" t="s">
        <v>29</v>
      </c>
    </row>
    <row r="786" ht="20" customHeight="1" spans="1:8" x14ac:dyDescent="0.25">
      <c r="A786" s="22" t="s">
        <v>30</v>
      </c>
      <c r="B786" s="22" t="s">
        <v>31</v>
      </c>
      <c r="C786" s="23" t="s">
        <v>71</v>
      </c>
      <c r="D786" s="6" t="s">
        <v>4</v>
      </c>
      <c r="E786" s="22" t="s">
        <v>361</v>
      </c>
      <c r="F786" s="22" t="s">
        <v>759</v>
      </c>
      <c r="G786" s="22" t="s">
        <v>1248</v>
      </c>
      <c r="H786" s="32" t="s">
        <v>79</v>
      </c>
    </row>
    <row r="787" ht="20" customHeight="1" spans="1:8" x14ac:dyDescent="0.25">
      <c r="A787" s="24" t="s">
        <v>33</v>
      </c>
      <c r="B787" s="24" t="s">
        <v>34</v>
      </c>
      <c r="C787" s="25" t="s">
        <v>71</v>
      </c>
      <c r="D787" s="6" t="s">
        <v>4</v>
      </c>
      <c r="E787" s="24" t="s">
        <v>311</v>
      </c>
      <c r="F787" s="24" t="s">
        <v>126</v>
      </c>
      <c r="G787" s="24" t="s">
        <v>127</v>
      </c>
      <c r="H787" s="30" t="s">
        <v>79</v>
      </c>
    </row>
    <row r="788" ht="20" customHeight="1" spans="1:8" x14ac:dyDescent="0.25">
      <c r="A788" s="22" t="s">
        <v>35</v>
      </c>
      <c r="B788" s="22" t="s">
        <v>36</v>
      </c>
      <c r="C788" s="23" t="s">
        <v>71</v>
      </c>
      <c r="D788" s="6" t="s">
        <v>4</v>
      </c>
      <c r="E788" s="22" t="s">
        <v>361</v>
      </c>
      <c r="F788" s="22" t="s">
        <v>386</v>
      </c>
      <c r="G788" s="22" t="s">
        <v>174</v>
      </c>
      <c r="H788" s="32" t="s">
        <v>79</v>
      </c>
    </row>
    <row r="789" ht="20" customHeight="1" spans="1:8" x14ac:dyDescent="0.25">
      <c r="A789" s="24" t="s">
        <v>37</v>
      </c>
      <c r="B789" s="24" t="s">
        <v>38</v>
      </c>
      <c r="C789" s="25" t="s">
        <v>71</v>
      </c>
      <c r="D789" s="31" t="s">
        <v>11</v>
      </c>
      <c r="E789" s="24" t="s">
        <v>12</v>
      </c>
      <c r="F789" s="24" t="s">
        <v>12</v>
      </c>
      <c r="G789" s="24" t="s">
        <v>12</v>
      </c>
      <c r="H789" s="24" t="s">
        <v>32</v>
      </c>
    </row>
    <row r="790" ht="20" customHeight="1" spans="1:8" x14ac:dyDescent="0.25">
      <c r="A790" s="22" t="s">
        <v>39</v>
      </c>
      <c r="B790" s="22" t="s">
        <v>40</v>
      </c>
      <c r="C790" s="23" t="s">
        <v>71</v>
      </c>
      <c r="D790" s="6" t="s">
        <v>4</v>
      </c>
      <c r="E790" s="22" t="s">
        <v>125</v>
      </c>
      <c r="F790" s="22" t="s">
        <v>12</v>
      </c>
      <c r="G790" s="22" t="s">
        <v>12</v>
      </c>
      <c r="H790" s="32" t="s">
        <v>79</v>
      </c>
    </row>
    <row r="791" ht="20" customHeight="1" spans="1:8" x14ac:dyDescent="0.25">
      <c r="A791" s="24" t="s">
        <v>41</v>
      </c>
      <c r="B791" s="24" t="s">
        <v>42</v>
      </c>
      <c r="C791" s="25" t="s">
        <v>71</v>
      </c>
      <c r="D791" s="33" t="s">
        <v>86</v>
      </c>
      <c r="E791" s="24" t="s">
        <v>12</v>
      </c>
      <c r="F791" s="24" t="s">
        <v>12</v>
      </c>
      <c r="G791" s="24" t="s">
        <v>12</v>
      </c>
      <c r="H791" s="24" t="s">
        <v>32</v>
      </c>
    </row>
    <row r="792" ht="20" customHeight="1" spans="1:8" x14ac:dyDescent="0.25">
      <c r="A792" s="22" t="s">
        <v>44</v>
      </c>
      <c r="B792" s="22" t="s">
        <v>45</v>
      </c>
      <c r="C792" s="23" t="s">
        <v>71</v>
      </c>
      <c r="D792" s="6" t="s">
        <v>4</v>
      </c>
      <c r="E792" s="22" t="s">
        <v>159</v>
      </c>
      <c r="F792" s="22" t="s">
        <v>324</v>
      </c>
      <c r="G792" s="22" t="s">
        <v>493</v>
      </c>
      <c r="H792" s="29" t="s">
        <v>162</v>
      </c>
    </row>
    <row r="793" ht="20" customHeight="1" spans="1:8" x14ac:dyDescent="0.25">
      <c r="A793" s="24" t="s">
        <v>46</v>
      </c>
      <c r="B793" s="24" t="s">
        <v>31</v>
      </c>
      <c r="C793" s="25" t="s">
        <v>71</v>
      </c>
      <c r="D793" s="6" t="s">
        <v>4</v>
      </c>
      <c r="E793" s="24" t="s">
        <v>383</v>
      </c>
      <c r="F793" s="24" t="s">
        <v>366</v>
      </c>
      <c r="G793" s="24" t="s">
        <v>203</v>
      </c>
      <c r="H793" s="30" t="s">
        <v>79</v>
      </c>
    </row>
    <row r="794" ht="20" customHeight="1" spans="1:8" x14ac:dyDescent="0.25">
      <c r="A794" s="22" t="s">
        <v>47</v>
      </c>
      <c r="B794" s="22" t="s">
        <v>34</v>
      </c>
      <c r="C794" s="23" t="s">
        <v>71</v>
      </c>
      <c r="D794" s="6" t="s">
        <v>4</v>
      </c>
      <c r="E794" s="22" t="s">
        <v>383</v>
      </c>
      <c r="F794" s="22" t="s">
        <v>349</v>
      </c>
      <c r="G794" s="22" t="s">
        <v>742</v>
      </c>
      <c r="H794" s="32" t="s">
        <v>79</v>
      </c>
    </row>
    <row r="795" ht="20" customHeight="1" spans="1:8" x14ac:dyDescent="0.25">
      <c r="A795" s="24" t="s">
        <v>48</v>
      </c>
      <c r="B795" s="24" t="s">
        <v>36</v>
      </c>
      <c r="C795" s="25" t="s">
        <v>71</v>
      </c>
      <c r="D795" s="6" t="s">
        <v>4</v>
      </c>
      <c r="E795" s="24" t="s">
        <v>125</v>
      </c>
      <c r="F795" s="24" t="s">
        <v>118</v>
      </c>
      <c r="G795" s="24" t="s">
        <v>226</v>
      </c>
      <c r="H795" s="34" t="s">
        <v>120</v>
      </c>
    </row>
    <row r="796" ht="20" customHeight="1" spans="1:8" x14ac:dyDescent="0.25">
      <c r="A796" s="22" t="s">
        <v>49</v>
      </c>
      <c r="B796" s="22" t="s">
        <v>38</v>
      </c>
      <c r="C796" s="23" t="s">
        <v>71</v>
      </c>
      <c r="D796" s="6" t="s">
        <v>4</v>
      </c>
      <c r="E796" s="22" t="s">
        <v>362</v>
      </c>
      <c r="F796" s="22" t="s">
        <v>1497</v>
      </c>
      <c r="G796" s="22" t="s">
        <v>183</v>
      </c>
      <c r="H796" s="29" t="s">
        <v>537</v>
      </c>
    </row>
    <row r="797" ht="20" customHeight="1" spans="1:8" x14ac:dyDescent="0.25">
      <c r="A797" s="24" t="s">
        <v>50</v>
      </c>
      <c r="B797" s="24" t="s">
        <v>40</v>
      </c>
      <c r="C797" s="25" t="s">
        <v>71</v>
      </c>
      <c r="D797" s="33" t="s">
        <v>86</v>
      </c>
      <c r="E797" s="24" t="s">
        <v>12</v>
      </c>
      <c r="F797" s="24" t="s">
        <v>12</v>
      </c>
      <c r="G797" s="24" t="s">
        <v>12</v>
      </c>
      <c r="H797" s="24" t="s">
        <v>32</v>
      </c>
    </row>
    <row r="798" ht="20" customHeight="1" spans="1:8" x14ac:dyDescent="0.25">
      <c r="A798" s="22" t="s">
        <v>51</v>
      </c>
      <c r="B798" s="22" t="s">
        <v>42</v>
      </c>
      <c r="C798" s="23" t="s">
        <v>71</v>
      </c>
      <c r="D798" s="35" t="s">
        <v>86</v>
      </c>
      <c r="E798" s="22" t="s">
        <v>12</v>
      </c>
      <c r="F798" s="22" t="s">
        <v>12</v>
      </c>
      <c r="G798" s="22" t="s">
        <v>12</v>
      </c>
      <c r="H798" s="22" t="s">
        <v>32</v>
      </c>
    </row>
    <row r="799" ht="20" customHeight="1" spans="1:8" x14ac:dyDescent="0.25">
      <c r="A799" s="24" t="s">
        <v>52</v>
      </c>
      <c r="B799" s="24" t="s">
        <v>45</v>
      </c>
      <c r="C799" s="25" t="s">
        <v>71</v>
      </c>
      <c r="D799" s="6" t="s">
        <v>4</v>
      </c>
      <c r="E799" s="24" t="s">
        <v>125</v>
      </c>
      <c r="F799" s="24" t="s">
        <v>118</v>
      </c>
      <c r="G799" s="24" t="s">
        <v>226</v>
      </c>
      <c r="H799" s="34" t="s">
        <v>120</v>
      </c>
    </row>
    <row r="800" ht="20" customHeight="1" spans="1:8" x14ac:dyDescent="0.25">
      <c r="A800" s="22" t="s">
        <v>53</v>
      </c>
      <c r="B800" s="22" t="s">
        <v>31</v>
      </c>
      <c r="C800" s="23" t="s">
        <v>71</v>
      </c>
      <c r="D800" s="6" t="s">
        <v>4</v>
      </c>
      <c r="E800" s="22" t="s">
        <v>411</v>
      </c>
      <c r="F800" s="22" t="s">
        <v>536</v>
      </c>
      <c r="G800" s="22" t="s">
        <v>493</v>
      </c>
      <c r="H800" s="29" t="s">
        <v>795</v>
      </c>
    </row>
    <row r="801" ht="20" customHeight="1" spans="1:8" x14ac:dyDescent="0.25">
      <c r="A801" s="24" t="s">
        <v>54</v>
      </c>
      <c r="B801" s="24" t="s">
        <v>34</v>
      </c>
      <c r="C801" s="25" t="s">
        <v>71</v>
      </c>
      <c r="D801" s="6" t="s">
        <v>4</v>
      </c>
      <c r="E801" s="24" t="s">
        <v>125</v>
      </c>
      <c r="F801" s="24" t="s">
        <v>508</v>
      </c>
      <c r="G801" s="24" t="s">
        <v>579</v>
      </c>
      <c r="H801" s="34" t="s">
        <v>709</v>
      </c>
    </row>
    <row r="802" ht="20" customHeight="1" spans="1:8" x14ac:dyDescent="0.25">
      <c r="A802" s="22" t="s">
        <v>55</v>
      </c>
      <c r="B802" s="22" t="s">
        <v>36</v>
      </c>
      <c r="C802" s="23" t="s">
        <v>71</v>
      </c>
      <c r="D802" s="6" t="s">
        <v>4</v>
      </c>
      <c r="E802" s="22" t="s">
        <v>125</v>
      </c>
      <c r="F802" s="22" t="s">
        <v>282</v>
      </c>
      <c r="G802" s="22" t="s">
        <v>171</v>
      </c>
      <c r="H802" s="32" t="s">
        <v>79</v>
      </c>
    </row>
    <row r="803" ht="20" customHeight="1" spans="1:8" x14ac:dyDescent="0.25">
      <c r="A803" s="24" t="s">
        <v>56</v>
      </c>
      <c r="B803" s="24" t="s">
        <v>38</v>
      </c>
      <c r="C803" s="25" t="s">
        <v>71</v>
      </c>
      <c r="D803" s="6" t="s">
        <v>4</v>
      </c>
      <c r="E803" s="24" t="s">
        <v>576</v>
      </c>
      <c r="F803" s="24" t="s">
        <v>447</v>
      </c>
      <c r="G803" s="24" t="s">
        <v>240</v>
      </c>
      <c r="H803" s="30" t="s">
        <v>79</v>
      </c>
    </row>
    <row r="804" ht="20" customHeight="1" spans="1:8" x14ac:dyDescent="0.25">
      <c r="A804" s="22" t="s">
        <v>57</v>
      </c>
      <c r="B804" s="22" t="s">
        <v>40</v>
      </c>
      <c r="C804" s="23" t="s">
        <v>71</v>
      </c>
      <c r="D804" s="6" t="s">
        <v>4</v>
      </c>
      <c r="E804" s="22" t="s">
        <v>196</v>
      </c>
      <c r="F804" s="22" t="s">
        <v>447</v>
      </c>
      <c r="G804" s="22" t="s">
        <v>1498</v>
      </c>
      <c r="H804" s="29" t="s">
        <v>198</v>
      </c>
    </row>
    <row r="805" ht="20" customHeight="1" spans="1:8" x14ac:dyDescent="0.25">
      <c r="A805" s="24" t="s">
        <v>58</v>
      </c>
      <c r="B805" s="24" t="s">
        <v>42</v>
      </c>
      <c r="C805" s="25" t="s">
        <v>71</v>
      </c>
      <c r="D805" s="33" t="s">
        <v>86</v>
      </c>
      <c r="E805" s="24" t="s">
        <v>12</v>
      </c>
      <c r="F805" s="24" t="s">
        <v>12</v>
      </c>
      <c r="G805" s="24" t="s">
        <v>12</v>
      </c>
      <c r="H805" s="24" t="s">
        <v>32</v>
      </c>
    </row>
    <row r="806" ht="20" customHeight="1" spans="1:8" x14ac:dyDescent="0.25">
      <c r="A806" s="22" t="s">
        <v>59</v>
      </c>
      <c r="B806" s="22" t="s">
        <v>45</v>
      </c>
      <c r="C806" s="23" t="s">
        <v>71</v>
      </c>
      <c r="D806" s="6" t="s">
        <v>4</v>
      </c>
      <c r="E806" s="22" t="s">
        <v>361</v>
      </c>
      <c r="F806" s="22" t="s">
        <v>374</v>
      </c>
      <c r="G806" s="22" t="s">
        <v>259</v>
      </c>
      <c r="H806" s="32" t="s">
        <v>79</v>
      </c>
    </row>
    <row r="807" ht="20" customHeight="1" spans="1:8" x14ac:dyDescent="0.25">
      <c r="A807" s="24" t="s">
        <v>60</v>
      </c>
      <c r="B807" s="24" t="s">
        <v>31</v>
      </c>
      <c r="C807" s="25" t="s">
        <v>71</v>
      </c>
      <c r="D807" s="6" t="s">
        <v>4</v>
      </c>
      <c r="E807" s="24" t="s">
        <v>372</v>
      </c>
      <c r="F807" s="24" t="s">
        <v>631</v>
      </c>
      <c r="G807" s="24" t="s">
        <v>393</v>
      </c>
      <c r="H807" s="34" t="s">
        <v>632</v>
      </c>
    </row>
    <row r="808" ht="20" customHeight="1" spans="1:8" x14ac:dyDescent="0.25">
      <c r="A808" s="22" t="s">
        <v>61</v>
      </c>
      <c r="B808" s="22" t="s">
        <v>34</v>
      </c>
      <c r="C808" s="23" t="s">
        <v>71</v>
      </c>
      <c r="D808" s="6" t="s">
        <v>4</v>
      </c>
      <c r="E808" s="22" t="s">
        <v>383</v>
      </c>
      <c r="F808" s="22" t="s">
        <v>77</v>
      </c>
      <c r="G808" s="22" t="s">
        <v>788</v>
      </c>
      <c r="H808" s="32" t="s">
        <v>79</v>
      </c>
    </row>
    <row r="809" ht="20" customHeight="1" spans="1:8" x14ac:dyDescent="0.25">
      <c r="A809" s="24" t="s">
        <v>62</v>
      </c>
      <c r="B809" s="24" t="s">
        <v>36</v>
      </c>
      <c r="C809" s="25" t="s">
        <v>71</v>
      </c>
      <c r="D809" s="6" t="s">
        <v>4</v>
      </c>
      <c r="E809" s="24" t="s">
        <v>567</v>
      </c>
      <c r="F809" s="24" t="s">
        <v>398</v>
      </c>
      <c r="G809" s="24" t="s">
        <v>577</v>
      </c>
      <c r="H809" s="30" t="s">
        <v>79</v>
      </c>
    </row>
    <row r="810" ht="20" customHeight="1" spans="1:8" x14ac:dyDescent="0.25">
      <c r="A810" s="22" t="s">
        <v>63</v>
      </c>
      <c r="B810" s="22" t="s">
        <v>38</v>
      </c>
      <c r="C810" s="23" t="s">
        <v>71</v>
      </c>
      <c r="D810" s="6" t="s">
        <v>4</v>
      </c>
      <c r="E810" s="22" t="s">
        <v>372</v>
      </c>
      <c r="F810" s="22" t="s">
        <v>354</v>
      </c>
      <c r="G810" s="22" t="s">
        <v>285</v>
      </c>
      <c r="H810" s="32" t="s">
        <v>79</v>
      </c>
    </row>
    <row r="811" ht="20" customHeight="1" spans="1:8" x14ac:dyDescent="0.25">
      <c r="A811" s="24" t="s">
        <v>64</v>
      </c>
      <c r="B811" s="24" t="s">
        <v>40</v>
      </c>
      <c r="C811" s="25" t="s">
        <v>71</v>
      </c>
      <c r="D811" s="6" t="s">
        <v>4</v>
      </c>
      <c r="E811" s="24" t="s">
        <v>411</v>
      </c>
      <c r="F811" s="24" t="s">
        <v>448</v>
      </c>
      <c r="G811" s="24" t="s">
        <v>614</v>
      </c>
      <c r="H811" s="30" t="s">
        <v>79</v>
      </c>
    </row>
    <row r="812" ht="20" customHeight="1" spans="1:8" x14ac:dyDescent="0.25">
      <c r="A812" s="22" t="s">
        <v>65</v>
      </c>
      <c r="B812" s="22" t="s">
        <v>42</v>
      </c>
      <c r="C812" s="23" t="s">
        <v>71</v>
      </c>
      <c r="D812" s="35" t="s">
        <v>86</v>
      </c>
      <c r="E812" s="22" t="s">
        <v>12</v>
      </c>
      <c r="F812" s="22" t="s">
        <v>12</v>
      </c>
      <c r="G812" s="22" t="s">
        <v>12</v>
      </c>
      <c r="H812" s="22" t="s">
        <v>32</v>
      </c>
    </row>
    <row r="813" ht="20" customHeight="1" spans="1:8" x14ac:dyDescent="0.25">
      <c r="A813" s="24" t="s">
        <v>66</v>
      </c>
      <c r="B813" s="24" t="s">
        <v>45</v>
      </c>
      <c r="C813" s="25" t="s">
        <v>71</v>
      </c>
      <c r="D813" s="6" t="s">
        <v>4</v>
      </c>
      <c r="E813" s="24" t="s">
        <v>362</v>
      </c>
      <c r="F813" s="24" t="s">
        <v>129</v>
      </c>
      <c r="G813" s="24" t="s">
        <v>367</v>
      </c>
      <c r="H813" s="34" t="s">
        <v>131</v>
      </c>
    </row>
    <row r="814" ht="20" customHeight="1" spans="1:8" x14ac:dyDescent="0.25">
      <c r="A814" s="22" t="s">
        <v>67</v>
      </c>
      <c r="B814" s="22" t="s">
        <v>31</v>
      </c>
      <c r="C814" s="23" t="s">
        <v>71</v>
      </c>
      <c r="D814" s="6" t="s">
        <v>4</v>
      </c>
      <c r="E814" s="22" t="s">
        <v>411</v>
      </c>
      <c r="F814" s="22" t="s">
        <v>534</v>
      </c>
      <c r="G814" s="22" t="s">
        <v>496</v>
      </c>
      <c r="H814" s="29" t="s">
        <v>1499</v>
      </c>
    </row>
    <row r="815" ht="20" customHeight="1" spans="1:8" x14ac:dyDescent="0.25">
      <c r="A815" s="24" t="s">
        <v>68</v>
      </c>
      <c r="B815" s="24" t="s">
        <v>34</v>
      </c>
      <c r="C815" s="25" t="s">
        <v>71</v>
      </c>
      <c r="D815" s="6" t="s">
        <v>4</v>
      </c>
      <c r="E815" s="24" t="s">
        <v>364</v>
      </c>
      <c r="F815" s="24" t="s">
        <v>398</v>
      </c>
      <c r="G815" s="24" t="s">
        <v>261</v>
      </c>
      <c r="H815" s="30" t="s">
        <v>79</v>
      </c>
    </row>
    <row r="816" ht="22" customHeight="1" spans="1:8" x14ac:dyDescent="0.25">
      <c r="A816" s="26" t="s">
        <v>69</v>
      </c>
      <c r="B816" s="26"/>
      <c r="C816" s="26"/>
      <c r="D816" s="26"/>
      <c r="E816" s="26"/>
      <c r="F816" s="26"/>
      <c r="G816" s="27" t="s">
        <v>1500</v>
      </c>
      <c r="H816" s="28" t="s">
        <v>12</v>
      </c>
    </row>
    <row r="818" ht="26" customHeight="1" spans="1:8" x14ac:dyDescent="0.25">
      <c r="A818" s="20" t="s">
        <v>1501</v>
      </c>
      <c r="B818" s="20"/>
      <c r="C818" s="20"/>
      <c r="D818" s="20"/>
      <c r="E818" s="20"/>
      <c r="F818" s="20"/>
      <c r="G818" s="20"/>
      <c r="H818" s="20"/>
    </row>
    <row r="819" ht="22" customHeight="1" spans="1:8" x14ac:dyDescent="0.25">
      <c r="A819" s="21" t="s">
        <v>22</v>
      </c>
      <c r="B819" s="21" t="s">
        <v>23</v>
      </c>
      <c r="C819" s="21" t="s">
        <v>24</v>
      </c>
      <c r="D819" s="21" t="s">
        <v>25</v>
      </c>
      <c r="E819" s="21" t="s">
        <v>26</v>
      </c>
      <c r="F819" s="21" t="s">
        <v>27</v>
      </c>
      <c r="G819" s="21" t="s">
        <v>28</v>
      </c>
      <c r="H819" s="21" t="s">
        <v>29</v>
      </c>
    </row>
    <row r="820" ht="20" customHeight="1" spans="1:8" x14ac:dyDescent="0.25">
      <c r="A820" s="22" t="s">
        <v>30</v>
      </c>
      <c r="B820" s="22" t="s">
        <v>31</v>
      </c>
      <c r="C820" s="23" t="s">
        <v>71</v>
      </c>
      <c r="D820" s="6" t="s">
        <v>4</v>
      </c>
      <c r="E820" s="22" t="s">
        <v>125</v>
      </c>
      <c r="F820" s="22" t="s">
        <v>136</v>
      </c>
      <c r="G820" s="22" t="s">
        <v>99</v>
      </c>
      <c r="H820" s="32" t="s">
        <v>79</v>
      </c>
    </row>
    <row r="821" ht="20" customHeight="1" spans="1:8" x14ac:dyDescent="0.25">
      <c r="A821" s="24" t="s">
        <v>33</v>
      </c>
      <c r="B821" s="24" t="s">
        <v>34</v>
      </c>
      <c r="C821" s="25" t="s">
        <v>71</v>
      </c>
      <c r="D821" s="6" t="s">
        <v>4</v>
      </c>
      <c r="E821" s="24" t="s">
        <v>125</v>
      </c>
      <c r="F821" s="24" t="s">
        <v>136</v>
      </c>
      <c r="G821" s="24" t="s">
        <v>99</v>
      </c>
      <c r="H821" s="30" t="s">
        <v>79</v>
      </c>
    </row>
    <row r="822" ht="20" customHeight="1" spans="1:8" x14ac:dyDescent="0.25">
      <c r="A822" s="22" t="s">
        <v>35</v>
      </c>
      <c r="B822" s="22" t="s">
        <v>36</v>
      </c>
      <c r="C822" s="23" t="s">
        <v>71</v>
      </c>
      <c r="D822" s="6" t="s">
        <v>4</v>
      </c>
      <c r="E822" s="22" t="s">
        <v>125</v>
      </c>
      <c r="F822" s="22" t="s">
        <v>136</v>
      </c>
      <c r="G822" s="22" t="s">
        <v>99</v>
      </c>
      <c r="H822" s="32" t="s">
        <v>79</v>
      </c>
    </row>
    <row r="823" ht="20" customHeight="1" spans="1:8" x14ac:dyDescent="0.25">
      <c r="A823" s="24" t="s">
        <v>37</v>
      </c>
      <c r="B823" s="24" t="s">
        <v>38</v>
      </c>
      <c r="C823" s="25" t="s">
        <v>71</v>
      </c>
      <c r="D823" s="31" t="s">
        <v>11</v>
      </c>
      <c r="E823" s="24" t="s">
        <v>12</v>
      </c>
      <c r="F823" s="24" t="s">
        <v>12</v>
      </c>
      <c r="G823" s="24" t="s">
        <v>12</v>
      </c>
      <c r="H823" s="24" t="s">
        <v>32</v>
      </c>
    </row>
    <row r="824" ht="20" customHeight="1" spans="1:8" x14ac:dyDescent="0.25">
      <c r="A824" s="22" t="s">
        <v>39</v>
      </c>
      <c r="B824" s="22" t="s">
        <v>40</v>
      </c>
      <c r="C824" s="23" t="s">
        <v>71</v>
      </c>
      <c r="D824" s="6" t="s">
        <v>4</v>
      </c>
      <c r="E824" s="22" t="s">
        <v>125</v>
      </c>
      <c r="F824" s="22" t="s">
        <v>136</v>
      </c>
      <c r="G824" s="22" t="s">
        <v>99</v>
      </c>
      <c r="H824" s="32" t="s">
        <v>79</v>
      </c>
    </row>
    <row r="825" ht="20" customHeight="1" spans="1:8" x14ac:dyDescent="0.25">
      <c r="A825" s="24" t="s">
        <v>41</v>
      </c>
      <c r="B825" s="24" t="s">
        <v>42</v>
      </c>
      <c r="C825" s="25" t="s">
        <v>71</v>
      </c>
      <c r="D825" s="33" t="s">
        <v>86</v>
      </c>
      <c r="E825" s="24" t="s">
        <v>12</v>
      </c>
      <c r="F825" s="24" t="s">
        <v>12</v>
      </c>
      <c r="G825" s="24" t="s">
        <v>12</v>
      </c>
      <c r="H825" s="24" t="s">
        <v>32</v>
      </c>
    </row>
    <row r="826" ht="20" customHeight="1" spans="1:8" x14ac:dyDescent="0.25">
      <c r="A826" s="22" t="s">
        <v>44</v>
      </c>
      <c r="B826" s="22" t="s">
        <v>45</v>
      </c>
      <c r="C826" s="23" t="s">
        <v>71</v>
      </c>
      <c r="D826" s="6" t="s">
        <v>4</v>
      </c>
      <c r="E826" s="22" t="s">
        <v>125</v>
      </c>
      <c r="F826" s="22" t="s">
        <v>136</v>
      </c>
      <c r="G826" s="22" t="s">
        <v>99</v>
      </c>
      <c r="H826" s="32" t="s">
        <v>79</v>
      </c>
    </row>
    <row r="827" ht="20" customHeight="1" spans="1:8" x14ac:dyDescent="0.25">
      <c r="A827" s="24" t="s">
        <v>46</v>
      </c>
      <c r="B827" s="24" t="s">
        <v>31</v>
      </c>
      <c r="C827" s="25" t="s">
        <v>71</v>
      </c>
      <c r="D827" s="6" t="s">
        <v>4</v>
      </c>
      <c r="E827" s="24" t="s">
        <v>125</v>
      </c>
      <c r="F827" s="24" t="s">
        <v>136</v>
      </c>
      <c r="G827" s="24" t="s">
        <v>99</v>
      </c>
      <c r="H827" s="30" t="s">
        <v>79</v>
      </c>
    </row>
    <row r="828" ht="20" customHeight="1" spans="1:8" x14ac:dyDescent="0.25">
      <c r="A828" s="22" t="s">
        <v>47</v>
      </c>
      <c r="B828" s="22" t="s">
        <v>34</v>
      </c>
      <c r="C828" s="23" t="s">
        <v>71</v>
      </c>
      <c r="D828" s="6" t="s">
        <v>4</v>
      </c>
      <c r="E828" s="22" t="s">
        <v>125</v>
      </c>
      <c r="F828" s="22" t="s">
        <v>136</v>
      </c>
      <c r="G828" s="22" t="s">
        <v>99</v>
      </c>
      <c r="H828" s="32" t="s">
        <v>79</v>
      </c>
    </row>
    <row r="829" ht="20" customHeight="1" spans="1:8" x14ac:dyDescent="0.25">
      <c r="A829" s="24" t="s">
        <v>48</v>
      </c>
      <c r="B829" s="24" t="s">
        <v>36</v>
      </c>
      <c r="C829" s="25" t="s">
        <v>71</v>
      </c>
      <c r="D829" s="6" t="s">
        <v>4</v>
      </c>
      <c r="E829" s="24" t="s">
        <v>125</v>
      </c>
      <c r="F829" s="24" t="s">
        <v>136</v>
      </c>
      <c r="G829" s="24" t="s">
        <v>99</v>
      </c>
      <c r="H829" s="30" t="s">
        <v>79</v>
      </c>
    </row>
    <row r="830" ht="20" customHeight="1" spans="1:8" x14ac:dyDescent="0.25">
      <c r="A830" s="22" t="s">
        <v>49</v>
      </c>
      <c r="B830" s="22" t="s">
        <v>38</v>
      </c>
      <c r="C830" s="23" t="s">
        <v>71</v>
      </c>
      <c r="D830" s="6" t="s">
        <v>4</v>
      </c>
      <c r="E830" s="22" t="s">
        <v>125</v>
      </c>
      <c r="F830" s="22" t="s">
        <v>136</v>
      </c>
      <c r="G830" s="22" t="s">
        <v>99</v>
      </c>
      <c r="H830" s="32" t="s">
        <v>79</v>
      </c>
    </row>
    <row r="831" ht="20" customHeight="1" spans="1:8" x14ac:dyDescent="0.25">
      <c r="A831" s="24" t="s">
        <v>50</v>
      </c>
      <c r="B831" s="24" t="s">
        <v>40</v>
      </c>
      <c r="C831" s="25" t="s">
        <v>71</v>
      </c>
      <c r="D831" s="33" t="s">
        <v>86</v>
      </c>
      <c r="E831" s="24" t="s">
        <v>12</v>
      </c>
      <c r="F831" s="24" t="s">
        <v>12</v>
      </c>
      <c r="G831" s="24" t="s">
        <v>12</v>
      </c>
      <c r="H831" s="24" t="s">
        <v>32</v>
      </c>
    </row>
    <row r="832" ht="20" customHeight="1" spans="1:8" x14ac:dyDescent="0.25">
      <c r="A832" s="22" t="s">
        <v>51</v>
      </c>
      <c r="B832" s="22" t="s">
        <v>42</v>
      </c>
      <c r="C832" s="23" t="s">
        <v>71</v>
      </c>
      <c r="D832" s="35" t="s">
        <v>86</v>
      </c>
      <c r="E832" s="22" t="s">
        <v>12</v>
      </c>
      <c r="F832" s="22" t="s">
        <v>12</v>
      </c>
      <c r="G832" s="22" t="s">
        <v>12</v>
      </c>
      <c r="H832" s="22" t="s">
        <v>32</v>
      </c>
    </row>
    <row r="833" ht="20" customHeight="1" spans="1:8" x14ac:dyDescent="0.25">
      <c r="A833" s="24" t="s">
        <v>52</v>
      </c>
      <c r="B833" s="24" t="s">
        <v>45</v>
      </c>
      <c r="C833" s="25" t="s">
        <v>71</v>
      </c>
      <c r="D833" s="6" t="s">
        <v>4</v>
      </c>
      <c r="E833" s="24" t="s">
        <v>125</v>
      </c>
      <c r="F833" s="24" t="s">
        <v>136</v>
      </c>
      <c r="G833" s="24" t="s">
        <v>99</v>
      </c>
      <c r="H833" s="30" t="s">
        <v>79</v>
      </c>
    </row>
    <row r="834" ht="20" customHeight="1" spans="1:8" x14ac:dyDescent="0.25">
      <c r="A834" s="22" t="s">
        <v>53</v>
      </c>
      <c r="B834" s="22" t="s">
        <v>31</v>
      </c>
      <c r="C834" s="23" t="s">
        <v>71</v>
      </c>
      <c r="D834" s="6" t="s">
        <v>4</v>
      </c>
      <c r="E834" s="22" t="s">
        <v>125</v>
      </c>
      <c r="F834" s="22" t="s">
        <v>136</v>
      </c>
      <c r="G834" s="22" t="s">
        <v>99</v>
      </c>
      <c r="H834" s="32" t="s">
        <v>79</v>
      </c>
    </row>
    <row r="835" ht="20" customHeight="1" spans="1:8" x14ac:dyDescent="0.25">
      <c r="A835" s="24" t="s">
        <v>54</v>
      </c>
      <c r="B835" s="24" t="s">
        <v>34</v>
      </c>
      <c r="C835" s="25" t="s">
        <v>71</v>
      </c>
      <c r="D835" s="6" t="s">
        <v>4</v>
      </c>
      <c r="E835" s="24" t="s">
        <v>125</v>
      </c>
      <c r="F835" s="24" t="s">
        <v>136</v>
      </c>
      <c r="G835" s="24" t="s">
        <v>99</v>
      </c>
      <c r="H835" s="30" t="s">
        <v>79</v>
      </c>
    </row>
    <row r="836" ht="20" customHeight="1" spans="1:8" x14ac:dyDescent="0.25">
      <c r="A836" s="22" t="s">
        <v>55</v>
      </c>
      <c r="B836" s="22" t="s">
        <v>36</v>
      </c>
      <c r="C836" s="23" t="s">
        <v>71</v>
      </c>
      <c r="D836" s="6" t="s">
        <v>4</v>
      </c>
      <c r="E836" s="22" t="s">
        <v>125</v>
      </c>
      <c r="F836" s="22" t="s">
        <v>136</v>
      </c>
      <c r="G836" s="22" t="s">
        <v>99</v>
      </c>
      <c r="H836" s="32" t="s">
        <v>79</v>
      </c>
    </row>
    <row r="837" ht="20" customHeight="1" spans="1:8" x14ac:dyDescent="0.25">
      <c r="A837" s="24" t="s">
        <v>56</v>
      </c>
      <c r="B837" s="24" t="s">
        <v>38</v>
      </c>
      <c r="C837" s="25" t="s">
        <v>71</v>
      </c>
      <c r="D837" s="6" t="s">
        <v>4</v>
      </c>
      <c r="E837" s="24" t="s">
        <v>125</v>
      </c>
      <c r="F837" s="24" t="s">
        <v>136</v>
      </c>
      <c r="G837" s="24" t="s">
        <v>99</v>
      </c>
      <c r="H837" s="30" t="s">
        <v>79</v>
      </c>
    </row>
    <row r="838" ht="20" customHeight="1" spans="1:8" x14ac:dyDescent="0.25">
      <c r="A838" s="22" t="s">
        <v>57</v>
      </c>
      <c r="B838" s="22" t="s">
        <v>40</v>
      </c>
      <c r="C838" s="23" t="s">
        <v>71</v>
      </c>
      <c r="D838" s="6" t="s">
        <v>4</v>
      </c>
      <c r="E838" s="22" t="s">
        <v>125</v>
      </c>
      <c r="F838" s="22" t="s">
        <v>136</v>
      </c>
      <c r="G838" s="22" t="s">
        <v>99</v>
      </c>
      <c r="H838" s="32" t="s">
        <v>79</v>
      </c>
    </row>
    <row r="839" ht="20" customHeight="1" spans="1:8" x14ac:dyDescent="0.25">
      <c r="A839" s="24" t="s">
        <v>58</v>
      </c>
      <c r="B839" s="24" t="s">
        <v>42</v>
      </c>
      <c r="C839" s="25" t="s">
        <v>71</v>
      </c>
      <c r="D839" s="33" t="s">
        <v>86</v>
      </c>
      <c r="E839" s="24" t="s">
        <v>12</v>
      </c>
      <c r="F839" s="24" t="s">
        <v>12</v>
      </c>
      <c r="G839" s="24" t="s">
        <v>12</v>
      </c>
      <c r="H839" s="24" t="s">
        <v>32</v>
      </c>
    </row>
    <row r="840" ht="20" customHeight="1" spans="1:8" x14ac:dyDescent="0.25">
      <c r="A840" s="22" t="s">
        <v>59</v>
      </c>
      <c r="B840" s="22" t="s">
        <v>45</v>
      </c>
      <c r="C840" s="23" t="s">
        <v>71</v>
      </c>
      <c r="D840" s="6" t="s">
        <v>4</v>
      </c>
      <c r="E840" s="22" t="s">
        <v>125</v>
      </c>
      <c r="F840" s="22" t="s">
        <v>136</v>
      </c>
      <c r="G840" s="22" t="s">
        <v>99</v>
      </c>
      <c r="H840" s="32" t="s">
        <v>79</v>
      </c>
    </row>
    <row r="841" ht="20" customHeight="1" spans="1:8" x14ac:dyDescent="0.25">
      <c r="A841" s="24" t="s">
        <v>60</v>
      </c>
      <c r="B841" s="24" t="s">
        <v>31</v>
      </c>
      <c r="C841" s="25" t="s">
        <v>71</v>
      </c>
      <c r="D841" s="6" t="s">
        <v>4</v>
      </c>
      <c r="E841" s="24" t="s">
        <v>125</v>
      </c>
      <c r="F841" s="24" t="s">
        <v>136</v>
      </c>
      <c r="G841" s="24" t="s">
        <v>99</v>
      </c>
      <c r="H841" s="30" t="s">
        <v>79</v>
      </c>
    </row>
    <row r="842" ht="20" customHeight="1" spans="1:8" x14ac:dyDescent="0.25">
      <c r="A842" s="22" t="s">
        <v>61</v>
      </c>
      <c r="B842" s="22" t="s">
        <v>34</v>
      </c>
      <c r="C842" s="23" t="s">
        <v>71</v>
      </c>
      <c r="D842" s="6" t="s">
        <v>4</v>
      </c>
      <c r="E842" s="22" t="s">
        <v>125</v>
      </c>
      <c r="F842" s="22" t="s">
        <v>136</v>
      </c>
      <c r="G842" s="22" t="s">
        <v>99</v>
      </c>
      <c r="H842" s="32" t="s">
        <v>79</v>
      </c>
    </row>
    <row r="843" ht="20" customHeight="1" spans="1:8" x14ac:dyDescent="0.25">
      <c r="A843" s="24" t="s">
        <v>62</v>
      </c>
      <c r="B843" s="24" t="s">
        <v>36</v>
      </c>
      <c r="C843" s="25" t="s">
        <v>71</v>
      </c>
      <c r="D843" s="6" t="s">
        <v>4</v>
      </c>
      <c r="E843" s="24" t="s">
        <v>125</v>
      </c>
      <c r="F843" s="24" t="s">
        <v>136</v>
      </c>
      <c r="G843" s="24" t="s">
        <v>99</v>
      </c>
      <c r="H843" s="30" t="s">
        <v>79</v>
      </c>
    </row>
    <row r="844" ht="20" customHeight="1" spans="1:8" x14ac:dyDescent="0.25">
      <c r="A844" s="22" t="s">
        <v>63</v>
      </c>
      <c r="B844" s="22" t="s">
        <v>38</v>
      </c>
      <c r="C844" s="23" t="s">
        <v>71</v>
      </c>
      <c r="D844" s="6" t="s">
        <v>4</v>
      </c>
      <c r="E844" s="22" t="s">
        <v>125</v>
      </c>
      <c r="F844" s="22" t="s">
        <v>136</v>
      </c>
      <c r="G844" s="22" t="s">
        <v>99</v>
      </c>
      <c r="H844" s="32" t="s">
        <v>79</v>
      </c>
    </row>
    <row r="845" ht="20" customHeight="1" spans="1:8" x14ac:dyDescent="0.25">
      <c r="A845" s="24" t="s">
        <v>64</v>
      </c>
      <c r="B845" s="24" t="s">
        <v>40</v>
      </c>
      <c r="C845" s="25" t="s">
        <v>71</v>
      </c>
      <c r="D845" s="6" t="s">
        <v>4</v>
      </c>
      <c r="E845" s="24" t="s">
        <v>125</v>
      </c>
      <c r="F845" s="24" t="s">
        <v>136</v>
      </c>
      <c r="G845" s="24" t="s">
        <v>99</v>
      </c>
      <c r="H845" s="30" t="s">
        <v>79</v>
      </c>
    </row>
    <row r="846" ht="20" customHeight="1" spans="1:8" x14ac:dyDescent="0.25">
      <c r="A846" s="22" t="s">
        <v>65</v>
      </c>
      <c r="B846" s="22" t="s">
        <v>42</v>
      </c>
      <c r="C846" s="23" t="s">
        <v>71</v>
      </c>
      <c r="D846" s="35" t="s">
        <v>86</v>
      </c>
      <c r="E846" s="22" t="s">
        <v>12</v>
      </c>
      <c r="F846" s="22" t="s">
        <v>12</v>
      </c>
      <c r="G846" s="22" t="s">
        <v>12</v>
      </c>
      <c r="H846" s="22" t="s">
        <v>32</v>
      </c>
    </row>
    <row r="847" ht="20" customHeight="1" spans="1:8" x14ac:dyDescent="0.25">
      <c r="A847" s="24" t="s">
        <v>66</v>
      </c>
      <c r="B847" s="24" t="s">
        <v>45</v>
      </c>
      <c r="C847" s="25" t="s">
        <v>71</v>
      </c>
      <c r="D847" s="6" t="s">
        <v>4</v>
      </c>
      <c r="E847" s="24" t="s">
        <v>125</v>
      </c>
      <c r="F847" s="24" t="s">
        <v>136</v>
      </c>
      <c r="G847" s="24" t="s">
        <v>99</v>
      </c>
      <c r="H847" s="30" t="s">
        <v>79</v>
      </c>
    </row>
    <row r="848" ht="20" customHeight="1" spans="1:8" x14ac:dyDescent="0.25">
      <c r="A848" s="22" t="s">
        <v>67</v>
      </c>
      <c r="B848" s="22" t="s">
        <v>31</v>
      </c>
      <c r="C848" s="23" t="s">
        <v>71</v>
      </c>
      <c r="D848" s="6" t="s">
        <v>4</v>
      </c>
      <c r="E848" s="22" t="s">
        <v>125</v>
      </c>
      <c r="F848" s="22" t="s">
        <v>136</v>
      </c>
      <c r="G848" s="22" t="s">
        <v>99</v>
      </c>
      <c r="H848" s="32" t="s">
        <v>79</v>
      </c>
    </row>
    <row r="849" ht="20" customHeight="1" spans="1:8" x14ac:dyDescent="0.25">
      <c r="A849" s="24" t="s">
        <v>68</v>
      </c>
      <c r="B849" s="24" t="s">
        <v>34</v>
      </c>
      <c r="C849" s="25" t="s">
        <v>71</v>
      </c>
      <c r="D849" s="6" t="s">
        <v>4</v>
      </c>
      <c r="E849" s="24" t="s">
        <v>125</v>
      </c>
      <c r="F849" s="24" t="s">
        <v>136</v>
      </c>
      <c r="G849" s="24" t="s">
        <v>99</v>
      </c>
      <c r="H849" s="30" t="s">
        <v>79</v>
      </c>
    </row>
    <row r="850" ht="22" customHeight="1" spans="1:8" x14ac:dyDescent="0.25">
      <c r="A850" s="26" t="s">
        <v>69</v>
      </c>
      <c r="B850" s="26"/>
      <c r="C850" s="26"/>
      <c r="D850" s="26"/>
      <c r="E850" s="26"/>
      <c r="F850" s="26"/>
      <c r="G850" s="27" t="s">
        <v>270</v>
      </c>
      <c r="H850" s="28" t="s">
        <v>12</v>
      </c>
    </row>
    <row r="852" ht="26" customHeight="1" spans="1:8" x14ac:dyDescent="0.25">
      <c r="A852" s="20" t="s">
        <v>1502</v>
      </c>
      <c r="B852" s="20"/>
      <c r="C852" s="20"/>
      <c r="D852" s="20"/>
      <c r="E852" s="20"/>
      <c r="F852" s="20"/>
      <c r="G852" s="20"/>
      <c r="H852" s="20"/>
    </row>
    <row r="853" ht="22" customHeight="1" spans="1:8" x14ac:dyDescent="0.25">
      <c r="A853" s="21" t="s">
        <v>22</v>
      </c>
      <c r="B853" s="21" t="s">
        <v>23</v>
      </c>
      <c r="C853" s="21" t="s">
        <v>24</v>
      </c>
      <c r="D853" s="21" t="s">
        <v>25</v>
      </c>
      <c r="E853" s="21" t="s">
        <v>26</v>
      </c>
      <c r="F853" s="21" t="s">
        <v>27</v>
      </c>
      <c r="G853" s="21" t="s">
        <v>28</v>
      </c>
      <c r="H853" s="21" t="s">
        <v>29</v>
      </c>
    </row>
    <row r="854" ht="20" customHeight="1" spans="1:8" x14ac:dyDescent="0.25">
      <c r="A854" s="22" t="s">
        <v>30</v>
      </c>
      <c r="B854" s="22" t="s">
        <v>31</v>
      </c>
      <c r="C854" s="23" t="s">
        <v>71</v>
      </c>
      <c r="D854" s="6" t="s">
        <v>4</v>
      </c>
      <c r="E854" s="22" t="s">
        <v>564</v>
      </c>
      <c r="F854" s="22" t="s">
        <v>386</v>
      </c>
      <c r="G854" s="22" t="s">
        <v>516</v>
      </c>
      <c r="H854" s="32" t="s">
        <v>79</v>
      </c>
    </row>
    <row r="855" ht="20" customHeight="1" spans="1:8" x14ac:dyDescent="0.25">
      <c r="A855" s="24" t="s">
        <v>33</v>
      </c>
      <c r="B855" s="24" t="s">
        <v>34</v>
      </c>
      <c r="C855" s="25" t="s">
        <v>71</v>
      </c>
      <c r="D855" s="6" t="s">
        <v>4</v>
      </c>
      <c r="E855" s="24" t="s">
        <v>564</v>
      </c>
      <c r="F855" s="24" t="s">
        <v>374</v>
      </c>
      <c r="G855" s="24" t="s">
        <v>516</v>
      </c>
      <c r="H855" s="30" t="s">
        <v>79</v>
      </c>
    </row>
    <row r="856" ht="20" customHeight="1" spans="1:8" x14ac:dyDescent="0.25">
      <c r="A856" s="22" t="s">
        <v>35</v>
      </c>
      <c r="B856" s="22" t="s">
        <v>36</v>
      </c>
      <c r="C856" s="23" t="s">
        <v>71</v>
      </c>
      <c r="D856" s="6" t="s">
        <v>4</v>
      </c>
      <c r="E856" s="22" t="s">
        <v>377</v>
      </c>
      <c r="F856" s="22" t="s">
        <v>252</v>
      </c>
      <c r="G856" s="22" t="s">
        <v>414</v>
      </c>
      <c r="H856" s="29" t="s">
        <v>378</v>
      </c>
    </row>
    <row r="857" ht="20" customHeight="1" spans="1:8" x14ac:dyDescent="0.25">
      <c r="A857" s="24" t="s">
        <v>37</v>
      </c>
      <c r="B857" s="24" t="s">
        <v>38</v>
      </c>
      <c r="C857" s="25" t="s">
        <v>71</v>
      </c>
      <c r="D857" s="31" t="s">
        <v>11</v>
      </c>
      <c r="E857" s="24" t="s">
        <v>12</v>
      </c>
      <c r="F857" s="24" t="s">
        <v>12</v>
      </c>
      <c r="G857" s="24" t="s">
        <v>12</v>
      </c>
      <c r="H857" s="24" t="s">
        <v>32</v>
      </c>
    </row>
    <row r="858" ht="20" customHeight="1" spans="1:8" x14ac:dyDescent="0.25">
      <c r="A858" s="22" t="s">
        <v>39</v>
      </c>
      <c r="B858" s="22" t="s">
        <v>40</v>
      </c>
      <c r="C858" s="23" t="s">
        <v>71</v>
      </c>
      <c r="D858" s="6" t="s">
        <v>4</v>
      </c>
      <c r="E858" s="22" t="s">
        <v>564</v>
      </c>
      <c r="F858" s="22" t="s">
        <v>398</v>
      </c>
      <c r="G858" s="22" t="s">
        <v>154</v>
      </c>
      <c r="H858" s="32" t="s">
        <v>79</v>
      </c>
    </row>
    <row r="859" ht="20" customHeight="1" spans="1:8" x14ac:dyDescent="0.25">
      <c r="A859" s="24" t="s">
        <v>41</v>
      </c>
      <c r="B859" s="24" t="s">
        <v>42</v>
      </c>
      <c r="C859" s="25" t="s">
        <v>71</v>
      </c>
      <c r="D859" s="33" t="s">
        <v>86</v>
      </c>
      <c r="E859" s="24" t="s">
        <v>12</v>
      </c>
      <c r="F859" s="24" t="s">
        <v>12</v>
      </c>
      <c r="G859" s="24" t="s">
        <v>12</v>
      </c>
      <c r="H859" s="24" t="s">
        <v>32</v>
      </c>
    </row>
    <row r="860" ht="20" customHeight="1" spans="1:8" x14ac:dyDescent="0.25">
      <c r="A860" s="22" t="s">
        <v>44</v>
      </c>
      <c r="B860" s="22" t="s">
        <v>45</v>
      </c>
      <c r="C860" s="23" t="s">
        <v>71</v>
      </c>
      <c r="D860" s="6" t="s">
        <v>4</v>
      </c>
      <c r="E860" s="22" t="s">
        <v>564</v>
      </c>
      <c r="F860" s="22" t="s">
        <v>386</v>
      </c>
      <c r="G860" s="22" t="s">
        <v>516</v>
      </c>
      <c r="H860" s="32" t="s">
        <v>79</v>
      </c>
    </row>
    <row r="861" ht="20" customHeight="1" spans="1:8" x14ac:dyDescent="0.25">
      <c r="A861" s="24" t="s">
        <v>46</v>
      </c>
      <c r="B861" s="24" t="s">
        <v>31</v>
      </c>
      <c r="C861" s="25" t="s">
        <v>71</v>
      </c>
      <c r="D861" s="6" t="s">
        <v>4</v>
      </c>
      <c r="E861" s="24" t="s">
        <v>564</v>
      </c>
      <c r="F861" s="24" t="s">
        <v>252</v>
      </c>
      <c r="G861" s="24" t="s">
        <v>659</v>
      </c>
      <c r="H861" s="30" t="s">
        <v>79</v>
      </c>
    </row>
    <row r="862" ht="20" customHeight="1" spans="1:8" x14ac:dyDescent="0.25">
      <c r="A862" s="22" t="s">
        <v>47</v>
      </c>
      <c r="B862" s="22" t="s">
        <v>34</v>
      </c>
      <c r="C862" s="23" t="s">
        <v>71</v>
      </c>
      <c r="D862" s="6" t="s">
        <v>4</v>
      </c>
      <c r="E862" s="22" t="s">
        <v>348</v>
      </c>
      <c r="F862" s="22" t="s">
        <v>386</v>
      </c>
      <c r="G862" s="22" t="s">
        <v>505</v>
      </c>
      <c r="H862" s="29" t="s">
        <v>351</v>
      </c>
    </row>
    <row r="863" ht="20" customHeight="1" spans="1:8" x14ac:dyDescent="0.25">
      <c r="A863" s="24" t="s">
        <v>48</v>
      </c>
      <c r="B863" s="24" t="s">
        <v>36</v>
      </c>
      <c r="C863" s="25" t="s">
        <v>71</v>
      </c>
      <c r="D863" s="6" t="s">
        <v>4</v>
      </c>
      <c r="E863" s="24" t="s">
        <v>322</v>
      </c>
      <c r="F863" s="24" t="s">
        <v>374</v>
      </c>
      <c r="G863" s="24" t="s">
        <v>232</v>
      </c>
      <c r="H863" s="34" t="s">
        <v>323</v>
      </c>
    </row>
    <row r="864" ht="20" customHeight="1" spans="1:8" x14ac:dyDescent="0.25">
      <c r="A864" s="22" t="s">
        <v>49</v>
      </c>
      <c r="B864" s="22" t="s">
        <v>38</v>
      </c>
      <c r="C864" s="23" t="s">
        <v>71</v>
      </c>
      <c r="D864" s="6" t="s">
        <v>4</v>
      </c>
      <c r="E864" s="22" t="s">
        <v>364</v>
      </c>
      <c r="F864" s="22" t="s">
        <v>636</v>
      </c>
      <c r="G864" s="22" t="s">
        <v>659</v>
      </c>
      <c r="H864" s="32" t="s">
        <v>79</v>
      </c>
    </row>
    <row r="865" ht="20" customHeight="1" spans="1:8" x14ac:dyDescent="0.25">
      <c r="A865" s="24" t="s">
        <v>50</v>
      </c>
      <c r="B865" s="24" t="s">
        <v>40</v>
      </c>
      <c r="C865" s="25" t="s">
        <v>71</v>
      </c>
      <c r="D865" s="33" t="s">
        <v>86</v>
      </c>
      <c r="E865" s="24" t="s">
        <v>12</v>
      </c>
      <c r="F865" s="24" t="s">
        <v>12</v>
      </c>
      <c r="G865" s="24" t="s">
        <v>12</v>
      </c>
      <c r="H865" s="24" t="s">
        <v>32</v>
      </c>
    </row>
    <row r="866" ht="20" customHeight="1" spans="1:8" x14ac:dyDescent="0.25">
      <c r="A866" s="22" t="s">
        <v>51</v>
      </c>
      <c r="B866" s="22" t="s">
        <v>42</v>
      </c>
      <c r="C866" s="23" t="s">
        <v>71</v>
      </c>
      <c r="D866" s="35" t="s">
        <v>86</v>
      </c>
      <c r="E866" s="22" t="s">
        <v>12</v>
      </c>
      <c r="F866" s="22" t="s">
        <v>12</v>
      </c>
      <c r="G866" s="22" t="s">
        <v>12</v>
      </c>
      <c r="H866" s="22" t="s">
        <v>32</v>
      </c>
    </row>
    <row r="867" ht="20" customHeight="1" spans="1:8" x14ac:dyDescent="0.25">
      <c r="A867" s="24" t="s">
        <v>52</v>
      </c>
      <c r="B867" s="24" t="s">
        <v>45</v>
      </c>
      <c r="C867" s="25" t="s">
        <v>71</v>
      </c>
      <c r="D867" s="6" t="s">
        <v>4</v>
      </c>
      <c r="E867" s="24" t="s">
        <v>644</v>
      </c>
      <c r="F867" s="24" t="s">
        <v>321</v>
      </c>
      <c r="G867" s="24" t="s">
        <v>579</v>
      </c>
      <c r="H867" s="34" t="s">
        <v>645</v>
      </c>
    </row>
    <row r="868" ht="20" customHeight="1" spans="1:8" x14ac:dyDescent="0.25">
      <c r="A868" s="22" t="s">
        <v>53</v>
      </c>
      <c r="B868" s="22" t="s">
        <v>31</v>
      </c>
      <c r="C868" s="23" t="s">
        <v>71</v>
      </c>
      <c r="D868" s="6" t="s">
        <v>4</v>
      </c>
      <c r="E868" s="22" t="s">
        <v>564</v>
      </c>
      <c r="F868" s="22" t="s">
        <v>395</v>
      </c>
      <c r="G868" s="22" t="s">
        <v>516</v>
      </c>
      <c r="H868" s="32" t="s">
        <v>79</v>
      </c>
    </row>
    <row r="869" ht="20" customHeight="1" spans="1:8" x14ac:dyDescent="0.25">
      <c r="A869" s="24" t="s">
        <v>54</v>
      </c>
      <c r="B869" s="24" t="s">
        <v>34</v>
      </c>
      <c r="C869" s="25" t="s">
        <v>71</v>
      </c>
      <c r="D869" s="6" t="s">
        <v>4</v>
      </c>
      <c r="E869" s="24" t="s">
        <v>564</v>
      </c>
      <c r="F869" s="24" t="s">
        <v>374</v>
      </c>
      <c r="G869" s="24" t="s">
        <v>429</v>
      </c>
      <c r="H869" s="30" t="s">
        <v>79</v>
      </c>
    </row>
    <row r="870" ht="20" customHeight="1" spans="1:8" x14ac:dyDescent="0.25">
      <c r="A870" s="22" t="s">
        <v>55</v>
      </c>
      <c r="B870" s="22" t="s">
        <v>36</v>
      </c>
      <c r="C870" s="23" t="s">
        <v>71</v>
      </c>
      <c r="D870" s="6" t="s">
        <v>4</v>
      </c>
      <c r="E870" s="22" t="s">
        <v>364</v>
      </c>
      <c r="F870" s="22" t="s">
        <v>157</v>
      </c>
      <c r="G870" s="22" t="s">
        <v>134</v>
      </c>
      <c r="H870" s="32" t="s">
        <v>79</v>
      </c>
    </row>
    <row r="871" ht="20" customHeight="1" spans="1:8" x14ac:dyDescent="0.25">
      <c r="A871" s="24" t="s">
        <v>56</v>
      </c>
      <c r="B871" s="24" t="s">
        <v>38</v>
      </c>
      <c r="C871" s="25" t="s">
        <v>71</v>
      </c>
      <c r="D871" s="6" t="s">
        <v>4</v>
      </c>
      <c r="E871" s="24" t="s">
        <v>567</v>
      </c>
      <c r="F871" s="24" t="s">
        <v>324</v>
      </c>
      <c r="G871" s="24" t="s">
        <v>154</v>
      </c>
      <c r="H871" s="30" t="s">
        <v>79</v>
      </c>
    </row>
    <row r="872" ht="20" customHeight="1" spans="1:8" x14ac:dyDescent="0.25">
      <c r="A872" s="22" t="s">
        <v>57</v>
      </c>
      <c r="B872" s="22" t="s">
        <v>40</v>
      </c>
      <c r="C872" s="23" t="s">
        <v>71</v>
      </c>
      <c r="D872" s="10" t="s">
        <v>87</v>
      </c>
      <c r="E872" s="22" t="s">
        <v>12</v>
      </c>
      <c r="F872" s="22" t="s">
        <v>12</v>
      </c>
      <c r="G872" s="22" t="s">
        <v>12</v>
      </c>
      <c r="H872" s="22" t="s">
        <v>32</v>
      </c>
    </row>
    <row r="873" ht="20" customHeight="1" spans="1:8" x14ac:dyDescent="0.25">
      <c r="A873" s="24" t="s">
        <v>58</v>
      </c>
      <c r="B873" s="24" t="s">
        <v>42</v>
      </c>
      <c r="C873" s="25" t="s">
        <v>71</v>
      </c>
      <c r="D873" s="33" t="s">
        <v>86</v>
      </c>
      <c r="E873" s="24" t="s">
        <v>12</v>
      </c>
      <c r="F873" s="24" t="s">
        <v>12</v>
      </c>
      <c r="G873" s="24" t="s">
        <v>12</v>
      </c>
      <c r="H873" s="24" t="s">
        <v>32</v>
      </c>
    </row>
    <row r="874" ht="20" customHeight="1" spans="1:8" x14ac:dyDescent="0.25">
      <c r="A874" s="22" t="s">
        <v>59</v>
      </c>
      <c r="B874" s="22" t="s">
        <v>45</v>
      </c>
      <c r="C874" s="23" t="s">
        <v>71</v>
      </c>
      <c r="D874" s="6" t="s">
        <v>4</v>
      </c>
      <c r="E874" s="22" t="s">
        <v>518</v>
      </c>
      <c r="F874" s="22" t="s">
        <v>757</v>
      </c>
      <c r="G874" s="22" t="s">
        <v>190</v>
      </c>
      <c r="H874" s="32" t="s">
        <v>79</v>
      </c>
    </row>
    <row r="875" ht="20" customHeight="1" spans="1:8" x14ac:dyDescent="0.25">
      <c r="A875" s="24" t="s">
        <v>60</v>
      </c>
      <c r="B875" s="24" t="s">
        <v>31</v>
      </c>
      <c r="C875" s="25" t="s">
        <v>71</v>
      </c>
      <c r="D875" s="6" t="s">
        <v>4</v>
      </c>
      <c r="E875" s="24" t="s">
        <v>364</v>
      </c>
      <c r="F875" s="24" t="s">
        <v>374</v>
      </c>
      <c r="G875" s="24" t="s">
        <v>429</v>
      </c>
      <c r="H875" s="30" t="s">
        <v>79</v>
      </c>
    </row>
    <row r="876" ht="20" customHeight="1" spans="1:8" x14ac:dyDescent="0.25">
      <c r="A876" s="22" t="s">
        <v>61</v>
      </c>
      <c r="B876" s="22" t="s">
        <v>34</v>
      </c>
      <c r="C876" s="23" t="s">
        <v>71</v>
      </c>
      <c r="D876" s="6" t="s">
        <v>4</v>
      </c>
      <c r="E876" s="22" t="s">
        <v>635</v>
      </c>
      <c r="F876" s="22" t="s">
        <v>395</v>
      </c>
      <c r="G876" s="22" t="s">
        <v>187</v>
      </c>
      <c r="H876" s="32" t="s">
        <v>79</v>
      </c>
    </row>
    <row r="877" ht="20" customHeight="1" spans="1:8" x14ac:dyDescent="0.25">
      <c r="A877" s="24" t="s">
        <v>62</v>
      </c>
      <c r="B877" s="24" t="s">
        <v>36</v>
      </c>
      <c r="C877" s="25" t="s">
        <v>71</v>
      </c>
      <c r="D877" s="6" t="s">
        <v>4</v>
      </c>
      <c r="E877" s="24" t="s">
        <v>518</v>
      </c>
      <c r="F877" s="24" t="s">
        <v>374</v>
      </c>
      <c r="G877" s="24" t="s">
        <v>165</v>
      </c>
      <c r="H877" s="30" t="s">
        <v>79</v>
      </c>
    </row>
    <row r="878" ht="20" customHeight="1" spans="1:8" x14ac:dyDescent="0.25">
      <c r="A878" s="22" t="s">
        <v>63</v>
      </c>
      <c r="B878" s="22" t="s">
        <v>38</v>
      </c>
      <c r="C878" s="23" t="s">
        <v>71</v>
      </c>
      <c r="D878" s="6" t="s">
        <v>4</v>
      </c>
      <c r="E878" s="22" t="s">
        <v>564</v>
      </c>
      <c r="F878" s="22" t="s">
        <v>761</v>
      </c>
      <c r="G878" s="22" t="s">
        <v>177</v>
      </c>
      <c r="H878" s="32" t="s">
        <v>79</v>
      </c>
    </row>
    <row r="879" ht="20" customHeight="1" spans="1:8" x14ac:dyDescent="0.25">
      <c r="A879" s="24" t="s">
        <v>64</v>
      </c>
      <c r="B879" s="24" t="s">
        <v>40</v>
      </c>
      <c r="C879" s="25" t="s">
        <v>71</v>
      </c>
      <c r="D879" s="6" t="s">
        <v>4</v>
      </c>
      <c r="E879" s="24" t="s">
        <v>564</v>
      </c>
      <c r="F879" s="24" t="s">
        <v>384</v>
      </c>
      <c r="G879" s="24" t="s">
        <v>514</v>
      </c>
      <c r="H879" s="30" t="s">
        <v>79</v>
      </c>
    </row>
    <row r="880" ht="20" customHeight="1" spans="1:8" x14ac:dyDescent="0.25">
      <c r="A880" s="22" t="s">
        <v>65</v>
      </c>
      <c r="B880" s="22" t="s">
        <v>42</v>
      </c>
      <c r="C880" s="23" t="s">
        <v>71</v>
      </c>
      <c r="D880" s="35" t="s">
        <v>86</v>
      </c>
      <c r="E880" s="22" t="s">
        <v>12</v>
      </c>
      <c r="F880" s="22" t="s">
        <v>12</v>
      </c>
      <c r="G880" s="22" t="s">
        <v>12</v>
      </c>
      <c r="H880" s="22" t="s">
        <v>32</v>
      </c>
    </row>
    <row r="881" ht="20" customHeight="1" spans="1:8" x14ac:dyDescent="0.25">
      <c r="A881" s="24" t="s">
        <v>66</v>
      </c>
      <c r="B881" s="24" t="s">
        <v>45</v>
      </c>
      <c r="C881" s="25" t="s">
        <v>71</v>
      </c>
      <c r="D881" s="6" t="s">
        <v>4</v>
      </c>
      <c r="E881" s="24" t="s">
        <v>564</v>
      </c>
      <c r="F881" s="24" t="s">
        <v>321</v>
      </c>
      <c r="G881" s="24" t="s">
        <v>646</v>
      </c>
      <c r="H881" s="30" t="s">
        <v>79</v>
      </c>
    </row>
    <row r="882" ht="20" customHeight="1" spans="1:8" x14ac:dyDescent="0.25">
      <c r="A882" s="22" t="s">
        <v>67</v>
      </c>
      <c r="B882" s="22" t="s">
        <v>31</v>
      </c>
      <c r="C882" s="23" t="s">
        <v>71</v>
      </c>
      <c r="D882" s="6" t="s">
        <v>4</v>
      </c>
      <c r="E882" s="22" t="s">
        <v>564</v>
      </c>
      <c r="F882" s="22" t="s">
        <v>245</v>
      </c>
      <c r="G882" s="22" t="s">
        <v>281</v>
      </c>
      <c r="H882" s="32" t="s">
        <v>79</v>
      </c>
    </row>
    <row r="883" ht="20" customHeight="1" spans="1:8" x14ac:dyDescent="0.25">
      <c r="A883" s="24" t="s">
        <v>68</v>
      </c>
      <c r="B883" s="24" t="s">
        <v>34</v>
      </c>
      <c r="C883" s="25" t="s">
        <v>71</v>
      </c>
      <c r="D883" s="6" t="s">
        <v>4</v>
      </c>
      <c r="E883" s="24" t="s">
        <v>567</v>
      </c>
      <c r="F883" s="24" t="s">
        <v>389</v>
      </c>
      <c r="G883" s="24" t="s">
        <v>187</v>
      </c>
      <c r="H883" s="30" t="s">
        <v>79</v>
      </c>
    </row>
    <row r="884" ht="22" customHeight="1" spans="1:8" x14ac:dyDescent="0.25">
      <c r="A884" s="26" t="s">
        <v>69</v>
      </c>
      <c r="B884" s="26"/>
      <c r="C884" s="26"/>
      <c r="D884" s="26"/>
      <c r="E884" s="26"/>
      <c r="F884" s="26"/>
      <c r="G884" s="27" t="s">
        <v>1503</v>
      </c>
      <c r="H884" s="28" t="s">
        <v>12</v>
      </c>
    </row>
    <row r="886" ht="26" customHeight="1" spans="1:8" x14ac:dyDescent="0.25">
      <c r="A886" s="20" t="s">
        <v>1504</v>
      </c>
      <c r="B886" s="20"/>
      <c r="C886" s="20"/>
      <c r="D886" s="20"/>
      <c r="E886" s="20"/>
      <c r="F886" s="20"/>
      <c r="G886" s="20"/>
      <c r="H886" s="20"/>
    </row>
    <row r="887" ht="22" customHeight="1" spans="1:8" x14ac:dyDescent="0.25">
      <c r="A887" s="21" t="s">
        <v>22</v>
      </c>
      <c r="B887" s="21" t="s">
        <v>23</v>
      </c>
      <c r="C887" s="21" t="s">
        <v>24</v>
      </c>
      <c r="D887" s="21" t="s">
        <v>25</v>
      </c>
      <c r="E887" s="21" t="s">
        <v>26</v>
      </c>
      <c r="F887" s="21" t="s">
        <v>27</v>
      </c>
      <c r="G887" s="21" t="s">
        <v>28</v>
      </c>
      <c r="H887" s="21" t="s">
        <v>29</v>
      </c>
    </row>
    <row r="888" ht="20" customHeight="1" spans="1:8" x14ac:dyDescent="0.25">
      <c r="A888" s="22" t="s">
        <v>30</v>
      </c>
      <c r="B888" s="22" t="s">
        <v>31</v>
      </c>
      <c r="C888" s="23" t="s">
        <v>71</v>
      </c>
      <c r="D888" s="7" t="s">
        <v>5</v>
      </c>
      <c r="E888" s="22" t="s">
        <v>12</v>
      </c>
      <c r="F888" s="22" t="s">
        <v>12</v>
      </c>
      <c r="G888" s="22" t="s">
        <v>12</v>
      </c>
      <c r="H888" s="22" t="s">
        <v>32</v>
      </c>
    </row>
    <row r="889" ht="20" customHeight="1" spans="1:8" x14ac:dyDescent="0.25">
      <c r="A889" s="24" t="s">
        <v>33</v>
      </c>
      <c r="B889" s="24" t="s">
        <v>34</v>
      </c>
      <c r="C889" s="25" t="s">
        <v>71</v>
      </c>
      <c r="D889" s="7" t="s">
        <v>5</v>
      </c>
      <c r="E889" s="24" t="s">
        <v>12</v>
      </c>
      <c r="F889" s="24" t="s">
        <v>12</v>
      </c>
      <c r="G889" s="24" t="s">
        <v>12</v>
      </c>
      <c r="H889" s="24" t="s">
        <v>32</v>
      </c>
    </row>
    <row r="890" ht="20" customHeight="1" spans="1:8" x14ac:dyDescent="0.25">
      <c r="A890" s="22" t="s">
        <v>35</v>
      </c>
      <c r="B890" s="22" t="s">
        <v>36</v>
      </c>
      <c r="C890" s="23" t="s">
        <v>71</v>
      </c>
      <c r="D890" s="7" t="s">
        <v>5</v>
      </c>
      <c r="E890" s="22" t="s">
        <v>12</v>
      </c>
      <c r="F890" s="22" t="s">
        <v>12</v>
      </c>
      <c r="G890" s="22" t="s">
        <v>12</v>
      </c>
      <c r="H890" s="22" t="s">
        <v>32</v>
      </c>
    </row>
    <row r="891" ht="20" customHeight="1" spans="1:8" x14ac:dyDescent="0.25">
      <c r="A891" s="24" t="s">
        <v>37</v>
      </c>
      <c r="B891" s="24" t="s">
        <v>38</v>
      </c>
      <c r="C891" s="25" t="s">
        <v>71</v>
      </c>
      <c r="D891" s="16" t="s">
        <v>43</v>
      </c>
      <c r="E891" s="24" t="s">
        <v>12</v>
      </c>
      <c r="F891" s="24" t="s">
        <v>12</v>
      </c>
      <c r="G891" s="24" t="s">
        <v>12</v>
      </c>
      <c r="H891" s="24" t="s">
        <v>32</v>
      </c>
    </row>
    <row r="892" ht="20" customHeight="1" spans="1:8" x14ac:dyDescent="0.25">
      <c r="A892" s="22" t="s">
        <v>39</v>
      </c>
      <c r="B892" s="22" t="s">
        <v>40</v>
      </c>
      <c r="C892" s="23" t="s">
        <v>71</v>
      </c>
      <c r="D892" s="7" t="s">
        <v>5</v>
      </c>
      <c r="E892" s="22" t="s">
        <v>12</v>
      </c>
      <c r="F892" s="22" t="s">
        <v>12</v>
      </c>
      <c r="G892" s="22" t="s">
        <v>12</v>
      </c>
      <c r="H892" s="22" t="s">
        <v>32</v>
      </c>
    </row>
    <row r="893" ht="20" customHeight="1" spans="1:8" x14ac:dyDescent="0.25">
      <c r="A893" s="24" t="s">
        <v>41</v>
      </c>
      <c r="B893" s="24" t="s">
        <v>42</v>
      </c>
      <c r="C893" s="25" t="s">
        <v>71</v>
      </c>
      <c r="D893" s="16" t="s">
        <v>43</v>
      </c>
      <c r="E893" s="24" t="s">
        <v>12</v>
      </c>
      <c r="F893" s="24" t="s">
        <v>12</v>
      </c>
      <c r="G893" s="24" t="s">
        <v>12</v>
      </c>
      <c r="H893" s="24" t="s">
        <v>32</v>
      </c>
    </row>
    <row r="894" ht="20" customHeight="1" spans="1:8" x14ac:dyDescent="0.25">
      <c r="A894" s="22" t="s">
        <v>44</v>
      </c>
      <c r="B894" s="22" t="s">
        <v>45</v>
      </c>
      <c r="C894" s="23" t="s">
        <v>71</v>
      </c>
      <c r="D894" s="7" t="s">
        <v>5</v>
      </c>
      <c r="E894" s="22" t="s">
        <v>12</v>
      </c>
      <c r="F894" s="22" t="s">
        <v>12</v>
      </c>
      <c r="G894" s="22" t="s">
        <v>12</v>
      </c>
      <c r="H894" s="22" t="s">
        <v>32</v>
      </c>
    </row>
    <row r="895" ht="20" customHeight="1" spans="1:8" x14ac:dyDescent="0.25">
      <c r="A895" s="24" t="s">
        <v>46</v>
      </c>
      <c r="B895" s="24" t="s">
        <v>31</v>
      </c>
      <c r="C895" s="25" t="s">
        <v>71</v>
      </c>
      <c r="D895" s="7" t="s">
        <v>5</v>
      </c>
      <c r="E895" s="24" t="s">
        <v>12</v>
      </c>
      <c r="F895" s="24" t="s">
        <v>12</v>
      </c>
      <c r="G895" s="24" t="s">
        <v>12</v>
      </c>
      <c r="H895" s="24" t="s">
        <v>32</v>
      </c>
    </row>
    <row r="896" ht="20" customHeight="1" spans="1:8" x14ac:dyDescent="0.25">
      <c r="A896" s="22" t="s">
        <v>47</v>
      </c>
      <c r="B896" s="22" t="s">
        <v>34</v>
      </c>
      <c r="C896" s="23" t="s">
        <v>71</v>
      </c>
      <c r="D896" s="7" t="s">
        <v>5</v>
      </c>
      <c r="E896" s="22" t="s">
        <v>12</v>
      </c>
      <c r="F896" s="22" t="s">
        <v>12</v>
      </c>
      <c r="G896" s="22" t="s">
        <v>12</v>
      </c>
      <c r="H896" s="22" t="s">
        <v>32</v>
      </c>
    </row>
    <row r="897" ht="20" customHeight="1" spans="1:8" x14ac:dyDescent="0.25">
      <c r="A897" s="24" t="s">
        <v>48</v>
      </c>
      <c r="B897" s="24" t="s">
        <v>36</v>
      </c>
      <c r="C897" s="25" t="s">
        <v>71</v>
      </c>
      <c r="D897" s="7" t="s">
        <v>5</v>
      </c>
      <c r="E897" s="24" t="s">
        <v>12</v>
      </c>
      <c r="F897" s="24" t="s">
        <v>12</v>
      </c>
      <c r="G897" s="24" t="s">
        <v>12</v>
      </c>
      <c r="H897" s="24" t="s">
        <v>32</v>
      </c>
    </row>
    <row r="898" ht="20" customHeight="1" spans="1:8" x14ac:dyDescent="0.25">
      <c r="A898" s="22" t="s">
        <v>49</v>
      </c>
      <c r="B898" s="22" t="s">
        <v>38</v>
      </c>
      <c r="C898" s="23" t="s">
        <v>71</v>
      </c>
      <c r="D898" s="7" t="s">
        <v>5</v>
      </c>
      <c r="E898" s="22" t="s">
        <v>12</v>
      </c>
      <c r="F898" s="22" t="s">
        <v>12</v>
      </c>
      <c r="G898" s="22" t="s">
        <v>12</v>
      </c>
      <c r="H898" s="22" t="s">
        <v>32</v>
      </c>
    </row>
    <row r="899" ht="20" customHeight="1" spans="1:8" x14ac:dyDescent="0.25">
      <c r="A899" s="24" t="s">
        <v>50</v>
      </c>
      <c r="B899" s="24" t="s">
        <v>40</v>
      </c>
      <c r="C899" s="25" t="s">
        <v>71</v>
      </c>
      <c r="D899" s="16" t="s">
        <v>43</v>
      </c>
      <c r="E899" s="24" t="s">
        <v>12</v>
      </c>
      <c r="F899" s="24" t="s">
        <v>12</v>
      </c>
      <c r="G899" s="24" t="s">
        <v>12</v>
      </c>
      <c r="H899" s="24" t="s">
        <v>32</v>
      </c>
    </row>
    <row r="900" ht="20" customHeight="1" spans="1:8" x14ac:dyDescent="0.25">
      <c r="A900" s="22" t="s">
        <v>51</v>
      </c>
      <c r="B900" s="22" t="s">
        <v>42</v>
      </c>
      <c r="C900" s="23" t="s">
        <v>71</v>
      </c>
      <c r="D900" s="16" t="s">
        <v>43</v>
      </c>
      <c r="E900" s="22" t="s">
        <v>12</v>
      </c>
      <c r="F900" s="22" t="s">
        <v>12</v>
      </c>
      <c r="G900" s="22" t="s">
        <v>12</v>
      </c>
      <c r="H900" s="22" t="s">
        <v>32</v>
      </c>
    </row>
    <row r="901" ht="20" customHeight="1" spans="1:8" x14ac:dyDescent="0.25">
      <c r="A901" s="24" t="s">
        <v>52</v>
      </c>
      <c r="B901" s="24" t="s">
        <v>45</v>
      </c>
      <c r="C901" s="25" t="s">
        <v>71</v>
      </c>
      <c r="D901" s="7" t="s">
        <v>5</v>
      </c>
      <c r="E901" s="24" t="s">
        <v>12</v>
      </c>
      <c r="F901" s="24" t="s">
        <v>12</v>
      </c>
      <c r="G901" s="24" t="s">
        <v>12</v>
      </c>
      <c r="H901" s="24" t="s">
        <v>32</v>
      </c>
    </row>
    <row r="902" ht="20" customHeight="1" spans="1:8" x14ac:dyDescent="0.25">
      <c r="A902" s="22" t="s">
        <v>53</v>
      </c>
      <c r="B902" s="22" t="s">
        <v>31</v>
      </c>
      <c r="C902" s="23" t="s">
        <v>71</v>
      </c>
      <c r="D902" s="7" t="s">
        <v>5</v>
      </c>
      <c r="E902" s="22" t="s">
        <v>12</v>
      </c>
      <c r="F902" s="22" t="s">
        <v>12</v>
      </c>
      <c r="G902" s="22" t="s">
        <v>12</v>
      </c>
      <c r="H902" s="22" t="s">
        <v>32</v>
      </c>
    </row>
    <row r="903" ht="20" customHeight="1" spans="1:8" x14ac:dyDescent="0.25">
      <c r="A903" s="24" t="s">
        <v>54</v>
      </c>
      <c r="B903" s="24" t="s">
        <v>34</v>
      </c>
      <c r="C903" s="25" t="s">
        <v>71</v>
      </c>
      <c r="D903" s="7" t="s">
        <v>5</v>
      </c>
      <c r="E903" s="24" t="s">
        <v>12</v>
      </c>
      <c r="F903" s="24" t="s">
        <v>12</v>
      </c>
      <c r="G903" s="24" t="s">
        <v>12</v>
      </c>
      <c r="H903" s="24" t="s">
        <v>32</v>
      </c>
    </row>
    <row r="904" ht="20" customHeight="1" spans="1:8" x14ac:dyDescent="0.25">
      <c r="A904" s="22" t="s">
        <v>55</v>
      </c>
      <c r="B904" s="22" t="s">
        <v>36</v>
      </c>
      <c r="C904" s="23" t="s">
        <v>71</v>
      </c>
      <c r="D904" s="7" t="s">
        <v>5</v>
      </c>
      <c r="E904" s="22" t="s">
        <v>12</v>
      </c>
      <c r="F904" s="22" t="s">
        <v>12</v>
      </c>
      <c r="G904" s="22" t="s">
        <v>12</v>
      </c>
      <c r="H904" s="22" t="s">
        <v>32</v>
      </c>
    </row>
    <row r="905" ht="20" customHeight="1" spans="1:8" x14ac:dyDescent="0.25">
      <c r="A905" s="24" t="s">
        <v>56</v>
      </c>
      <c r="B905" s="24" t="s">
        <v>38</v>
      </c>
      <c r="C905" s="25" t="s">
        <v>71</v>
      </c>
      <c r="D905" s="7" t="s">
        <v>5</v>
      </c>
      <c r="E905" s="24" t="s">
        <v>12</v>
      </c>
      <c r="F905" s="24" t="s">
        <v>12</v>
      </c>
      <c r="G905" s="24" t="s">
        <v>12</v>
      </c>
      <c r="H905" s="24" t="s">
        <v>32</v>
      </c>
    </row>
    <row r="906" ht="20" customHeight="1" spans="1:8" x14ac:dyDescent="0.25">
      <c r="A906" s="22" t="s">
        <v>57</v>
      </c>
      <c r="B906" s="22" t="s">
        <v>40</v>
      </c>
      <c r="C906" s="23" t="s">
        <v>71</v>
      </c>
      <c r="D906" s="7" t="s">
        <v>5</v>
      </c>
      <c r="E906" s="22" t="s">
        <v>12</v>
      </c>
      <c r="F906" s="22" t="s">
        <v>12</v>
      </c>
      <c r="G906" s="22" t="s">
        <v>12</v>
      </c>
      <c r="H906" s="22" t="s">
        <v>32</v>
      </c>
    </row>
    <row r="907" ht="20" customHeight="1" spans="1:8" x14ac:dyDescent="0.25">
      <c r="A907" s="24" t="s">
        <v>58</v>
      </c>
      <c r="B907" s="24" t="s">
        <v>42</v>
      </c>
      <c r="C907" s="25" t="s">
        <v>71</v>
      </c>
      <c r="D907" s="16" t="s">
        <v>43</v>
      </c>
      <c r="E907" s="24" t="s">
        <v>12</v>
      </c>
      <c r="F907" s="24" t="s">
        <v>12</v>
      </c>
      <c r="G907" s="24" t="s">
        <v>12</v>
      </c>
      <c r="H907" s="24" t="s">
        <v>32</v>
      </c>
    </row>
    <row r="908" ht="20" customHeight="1" spans="1:8" x14ac:dyDescent="0.25">
      <c r="A908" s="22" t="s">
        <v>59</v>
      </c>
      <c r="B908" s="22" t="s">
        <v>45</v>
      </c>
      <c r="C908" s="23" t="s">
        <v>71</v>
      </c>
      <c r="D908" s="7" t="s">
        <v>5</v>
      </c>
      <c r="E908" s="22" t="s">
        <v>12</v>
      </c>
      <c r="F908" s="22" t="s">
        <v>12</v>
      </c>
      <c r="G908" s="22" t="s">
        <v>12</v>
      </c>
      <c r="H908" s="22" t="s">
        <v>32</v>
      </c>
    </row>
    <row r="909" ht="20" customHeight="1" spans="1:8" x14ac:dyDescent="0.25">
      <c r="A909" s="24" t="s">
        <v>60</v>
      </c>
      <c r="B909" s="24" t="s">
        <v>31</v>
      </c>
      <c r="C909" s="25" t="s">
        <v>71</v>
      </c>
      <c r="D909" s="7" t="s">
        <v>5</v>
      </c>
      <c r="E909" s="24" t="s">
        <v>12</v>
      </c>
      <c r="F909" s="24" t="s">
        <v>12</v>
      </c>
      <c r="G909" s="24" t="s">
        <v>12</v>
      </c>
      <c r="H909" s="24" t="s">
        <v>32</v>
      </c>
    </row>
    <row r="910" ht="20" customHeight="1" spans="1:8" x14ac:dyDescent="0.25">
      <c r="A910" s="22" t="s">
        <v>61</v>
      </c>
      <c r="B910" s="22" t="s">
        <v>34</v>
      </c>
      <c r="C910" s="23" t="s">
        <v>71</v>
      </c>
      <c r="D910" s="7" t="s">
        <v>5</v>
      </c>
      <c r="E910" s="22" t="s">
        <v>12</v>
      </c>
      <c r="F910" s="22" t="s">
        <v>12</v>
      </c>
      <c r="G910" s="22" t="s">
        <v>12</v>
      </c>
      <c r="H910" s="22" t="s">
        <v>32</v>
      </c>
    </row>
    <row r="911" ht="20" customHeight="1" spans="1:8" x14ac:dyDescent="0.25">
      <c r="A911" s="24" t="s">
        <v>62</v>
      </c>
      <c r="B911" s="24" t="s">
        <v>36</v>
      </c>
      <c r="C911" s="25" t="s">
        <v>71</v>
      </c>
      <c r="D911" s="7" t="s">
        <v>5</v>
      </c>
      <c r="E911" s="24" t="s">
        <v>12</v>
      </c>
      <c r="F911" s="24" t="s">
        <v>12</v>
      </c>
      <c r="G911" s="24" t="s">
        <v>12</v>
      </c>
      <c r="H911" s="24" t="s">
        <v>32</v>
      </c>
    </row>
    <row r="912" ht="20" customHeight="1" spans="1:8" x14ac:dyDescent="0.25">
      <c r="A912" s="22" t="s">
        <v>63</v>
      </c>
      <c r="B912" s="22" t="s">
        <v>38</v>
      </c>
      <c r="C912" s="23" t="s">
        <v>71</v>
      </c>
      <c r="D912" s="7" t="s">
        <v>5</v>
      </c>
      <c r="E912" s="22" t="s">
        <v>12</v>
      </c>
      <c r="F912" s="22" t="s">
        <v>12</v>
      </c>
      <c r="G912" s="22" t="s">
        <v>12</v>
      </c>
      <c r="H912" s="22" t="s">
        <v>32</v>
      </c>
    </row>
    <row r="913" ht="20" customHeight="1" spans="1:8" x14ac:dyDescent="0.25">
      <c r="A913" s="24" t="s">
        <v>64</v>
      </c>
      <c r="B913" s="24" t="s">
        <v>40</v>
      </c>
      <c r="C913" s="25" t="s">
        <v>71</v>
      </c>
      <c r="D913" s="7" t="s">
        <v>5</v>
      </c>
      <c r="E913" s="24" t="s">
        <v>12</v>
      </c>
      <c r="F913" s="24" t="s">
        <v>12</v>
      </c>
      <c r="G913" s="24" t="s">
        <v>12</v>
      </c>
      <c r="H913" s="24" t="s">
        <v>32</v>
      </c>
    </row>
    <row r="914" ht="20" customHeight="1" spans="1:8" x14ac:dyDescent="0.25">
      <c r="A914" s="22" t="s">
        <v>65</v>
      </c>
      <c r="B914" s="22" t="s">
        <v>42</v>
      </c>
      <c r="C914" s="23" t="s">
        <v>71</v>
      </c>
      <c r="D914" s="16" t="s">
        <v>43</v>
      </c>
      <c r="E914" s="22" t="s">
        <v>12</v>
      </c>
      <c r="F914" s="22" t="s">
        <v>12</v>
      </c>
      <c r="G914" s="22" t="s">
        <v>12</v>
      </c>
      <c r="H914" s="22" t="s">
        <v>32</v>
      </c>
    </row>
    <row r="915" ht="20" customHeight="1" spans="1:8" x14ac:dyDescent="0.25">
      <c r="A915" s="24" t="s">
        <v>66</v>
      </c>
      <c r="B915" s="24" t="s">
        <v>45</v>
      </c>
      <c r="C915" s="25" t="s">
        <v>71</v>
      </c>
      <c r="D915" s="7" t="s">
        <v>5</v>
      </c>
      <c r="E915" s="24" t="s">
        <v>12</v>
      </c>
      <c r="F915" s="24" t="s">
        <v>12</v>
      </c>
      <c r="G915" s="24" t="s">
        <v>12</v>
      </c>
      <c r="H915" s="24" t="s">
        <v>32</v>
      </c>
    </row>
    <row r="916" ht="20" customHeight="1" spans="1:8" x14ac:dyDescent="0.25">
      <c r="A916" s="22" t="s">
        <v>67</v>
      </c>
      <c r="B916" s="22" t="s">
        <v>31</v>
      </c>
      <c r="C916" s="23" t="s">
        <v>71</v>
      </c>
      <c r="D916" s="7" t="s">
        <v>5</v>
      </c>
      <c r="E916" s="22" t="s">
        <v>12</v>
      </c>
      <c r="F916" s="22" t="s">
        <v>12</v>
      </c>
      <c r="G916" s="22" t="s">
        <v>12</v>
      </c>
      <c r="H916" s="22" t="s">
        <v>32</v>
      </c>
    </row>
    <row r="917" ht="20" customHeight="1" spans="1:8" x14ac:dyDescent="0.25">
      <c r="A917" s="24" t="s">
        <v>68</v>
      </c>
      <c r="B917" s="24" t="s">
        <v>34</v>
      </c>
      <c r="C917" s="25" t="s">
        <v>71</v>
      </c>
      <c r="D917" s="7" t="s">
        <v>5</v>
      </c>
      <c r="E917" s="24" t="s">
        <v>12</v>
      </c>
      <c r="F917" s="24" t="s">
        <v>12</v>
      </c>
      <c r="G917" s="24" t="s">
        <v>12</v>
      </c>
      <c r="H917" s="24" t="s">
        <v>32</v>
      </c>
    </row>
    <row r="918" ht="22" customHeight="1" spans="1:8" x14ac:dyDescent="0.25">
      <c r="A918" s="26" t="s">
        <v>69</v>
      </c>
      <c r="B918" s="26"/>
      <c r="C918" s="26"/>
      <c r="D918" s="26"/>
      <c r="E918" s="26"/>
      <c r="F918" s="26"/>
      <c r="G918" s="27" t="s">
        <v>18</v>
      </c>
      <c r="H918" s="28" t="s">
        <v>12</v>
      </c>
    </row>
    <row r="920" ht="26" customHeight="1" spans="1:8" x14ac:dyDescent="0.25">
      <c r="A920" s="20" t="s">
        <v>1505</v>
      </c>
      <c r="B920" s="20"/>
      <c r="C920" s="20"/>
      <c r="D920" s="20"/>
      <c r="E920" s="20"/>
      <c r="F920" s="20"/>
      <c r="G920" s="20"/>
      <c r="H920" s="20"/>
    </row>
    <row r="921" ht="22" customHeight="1" spans="1:8" x14ac:dyDescent="0.25">
      <c r="A921" s="21" t="s">
        <v>22</v>
      </c>
      <c r="B921" s="21" t="s">
        <v>23</v>
      </c>
      <c r="C921" s="21" t="s">
        <v>24</v>
      </c>
      <c r="D921" s="21" t="s">
        <v>25</v>
      </c>
      <c r="E921" s="21" t="s">
        <v>26</v>
      </c>
      <c r="F921" s="21" t="s">
        <v>27</v>
      </c>
      <c r="G921" s="21" t="s">
        <v>28</v>
      </c>
      <c r="H921" s="21" t="s">
        <v>29</v>
      </c>
    </row>
    <row r="922" ht="20" customHeight="1" spans="1:8" x14ac:dyDescent="0.25">
      <c r="A922" s="22" t="s">
        <v>30</v>
      </c>
      <c r="B922" s="22" t="s">
        <v>31</v>
      </c>
      <c r="C922" s="23" t="s">
        <v>71</v>
      </c>
      <c r="D922" s="6" t="s">
        <v>4</v>
      </c>
      <c r="E922" s="22" t="s">
        <v>460</v>
      </c>
      <c r="F922" s="22" t="s">
        <v>1293</v>
      </c>
      <c r="G922" s="22" t="s">
        <v>367</v>
      </c>
      <c r="H922" s="29" t="s">
        <v>462</v>
      </c>
    </row>
    <row r="923" ht="20" customHeight="1" spans="1:8" x14ac:dyDescent="0.25">
      <c r="A923" s="24" t="s">
        <v>33</v>
      </c>
      <c r="B923" s="24" t="s">
        <v>34</v>
      </c>
      <c r="C923" s="25" t="s">
        <v>71</v>
      </c>
      <c r="D923" s="6" t="s">
        <v>4</v>
      </c>
      <c r="E923" s="24" t="s">
        <v>369</v>
      </c>
      <c r="F923" s="24" t="s">
        <v>759</v>
      </c>
      <c r="G923" s="24" t="s">
        <v>250</v>
      </c>
      <c r="H923" s="34" t="s">
        <v>371</v>
      </c>
    </row>
    <row r="924" ht="20" customHeight="1" spans="1:8" x14ac:dyDescent="0.25">
      <c r="A924" s="22" t="s">
        <v>35</v>
      </c>
      <c r="B924" s="22" t="s">
        <v>36</v>
      </c>
      <c r="C924" s="23" t="s">
        <v>71</v>
      </c>
      <c r="D924" s="6" t="s">
        <v>4</v>
      </c>
      <c r="E924" s="22" t="s">
        <v>476</v>
      </c>
      <c r="F924" s="22" t="s">
        <v>1004</v>
      </c>
      <c r="G924" s="22" t="s">
        <v>147</v>
      </c>
      <c r="H924" s="29" t="s">
        <v>479</v>
      </c>
    </row>
    <row r="925" ht="20" customHeight="1" spans="1:8" x14ac:dyDescent="0.25">
      <c r="A925" s="24" t="s">
        <v>37</v>
      </c>
      <c r="B925" s="24" t="s">
        <v>38</v>
      </c>
      <c r="C925" s="25" t="s">
        <v>71</v>
      </c>
      <c r="D925" s="31" t="s">
        <v>11</v>
      </c>
      <c r="E925" s="24" t="s">
        <v>12</v>
      </c>
      <c r="F925" s="24" t="s">
        <v>12</v>
      </c>
      <c r="G925" s="24" t="s">
        <v>12</v>
      </c>
      <c r="H925" s="24" t="s">
        <v>32</v>
      </c>
    </row>
    <row r="926" ht="20" customHeight="1" spans="1:8" x14ac:dyDescent="0.25">
      <c r="A926" s="22" t="s">
        <v>39</v>
      </c>
      <c r="B926" s="22" t="s">
        <v>40</v>
      </c>
      <c r="C926" s="23" t="s">
        <v>71</v>
      </c>
      <c r="D926" s="6" t="s">
        <v>4</v>
      </c>
      <c r="E926" s="22" t="s">
        <v>1506</v>
      </c>
      <c r="F926" s="22" t="s">
        <v>389</v>
      </c>
      <c r="G926" s="22" t="s">
        <v>1507</v>
      </c>
      <c r="H926" s="29" t="s">
        <v>1508</v>
      </c>
    </row>
    <row r="927" ht="20" customHeight="1" spans="1:8" x14ac:dyDescent="0.25">
      <c r="A927" s="24" t="s">
        <v>41</v>
      </c>
      <c r="B927" s="24" t="s">
        <v>42</v>
      </c>
      <c r="C927" s="25" t="s">
        <v>71</v>
      </c>
      <c r="D927" s="33" t="s">
        <v>86</v>
      </c>
      <c r="E927" s="24" t="s">
        <v>12</v>
      </c>
      <c r="F927" s="24" t="s">
        <v>12</v>
      </c>
      <c r="G927" s="24" t="s">
        <v>12</v>
      </c>
      <c r="H927" s="24" t="s">
        <v>32</v>
      </c>
    </row>
    <row r="928" ht="20" customHeight="1" spans="1:8" x14ac:dyDescent="0.25">
      <c r="A928" s="22" t="s">
        <v>44</v>
      </c>
      <c r="B928" s="22" t="s">
        <v>45</v>
      </c>
      <c r="C928" s="23" t="s">
        <v>71</v>
      </c>
      <c r="D928" s="6" t="s">
        <v>4</v>
      </c>
      <c r="E928" s="22" t="s">
        <v>979</v>
      </c>
      <c r="F928" s="22" t="s">
        <v>1438</v>
      </c>
      <c r="G928" s="22" t="s">
        <v>708</v>
      </c>
      <c r="H928" s="29" t="s">
        <v>982</v>
      </c>
    </row>
    <row r="929" ht="20" customHeight="1" spans="1:8" x14ac:dyDescent="0.25">
      <c r="A929" s="24" t="s">
        <v>46</v>
      </c>
      <c r="B929" s="24" t="s">
        <v>31</v>
      </c>
      <c r="C929" s="25" t="s">
        <v>71</v>
      </c>
      <c r="D929" s="6" t="s">
        <v>4</v>
      </c>
      <c r="E929" s="24" t="s">
        <v>457</v>
      </c>
      <c r="F929" s="24" t="s">
        <v>1351</v>
      </c>
      <c r="G929" s="24" t="s">
        <v>646</v>
      </c>
      <c r="H929" s="34" t="s">
        <v>459</v>
      </c>
    </row>
    <row r="930" ht="20" customHeight="1" spans="1:8" x14ac:dyDescent="0.25">
      <c r="A930" s="22" t="s">
        <v>47</v>
      </c>
      <c r="B930" s="22" t="s">
        <v>34</v>
      </c>
      <c r="C930" s="23" t="s">
        <v>71</v>
      </c>
      <c r="D930" s="6" t="s">
        <v>4</v>
      </c>
      <c r="E930" s="22" t="s">
        <v>1509</v>
      </c>
      <c r="F930" s="22" t="s">
        <v>986</v>
      </c>
      <c r="G930" s="22" t="s">
        <v>250</v>
      </c>
      <c r="H930" s="29" t="s">
        <v>1510</v>
      </c>
    </row>
    <row r="931" ht="20" customHeight="1" spans="1:8" x14ac:dyDescent="0.25">
      <c r="A931" s="24" t="s">
        <v>48</v>
      </c>
      <c r="B931" s="24" t="s">
        <v>36</v>
      </c>
      <c r="C931" s="25" t="s">
        <v>71</v>
      </c>
      <c r="D931" s="6" t="s">
        <v>4</v>
      </c>
      <c r="E931" s="24" t="s">
        <v>1511</v>
      </c>
      <c r="F931" s="24" t="s">
        <v>1342</v>
      </c>
      <c r="G931" s="24" t="s">
        <v>325</v>
      </c>
      <c r="H931" s="34" t="s">
        <v>1512</v>
      </c>
    </row>
    <row r="932" ht="20" customHeight="1" spans="1:8" x14ac:dyDescent="0.25">
      <c r="A932" s="22" t="s">
        <v>49</v>
      </c>
      <c r="B932" s="22" t="s">
        <v>38</v>
      </c>
      <c r="C932" s="23" t="s">
        <v>71</v>
      </c>
      <c r="D932" s="6" t="s">
        <v>4</v>
      </c>
      <c r="E932" s="22" t="s">
        <v>1513</v>
      </c>
      <c r="F932" s="22" t="s">
        <v>461</v>
      </c>
      <c r="G932" s="22" t="s">
        <v>574</v>
      </c>
      <c r="H932" s="29" t="s">
        <v>1514</v>
      </c>
    </row>
    <row r="933" ht="20" customHeight="1" spans="1:8" x14ac:dyDescent="0.25">
      <c r="A933" s="24" t="s">
        <v>50</v>
      </c>
      <c r="B933" s="24" t="s">
        <v>40</v>
      </c>
      <c r="C933" s="25" t="s">
        <v>71</v>
      </c>
      <c r="D933" s="33" t="s">
        <v>86</v>
      </c>
      <c r="E933" s="24" t="s">
        <v>12</v>
      </c>
      <c r="F933" s="24" t="s">
        <v>12</v>
      </c>
      <c r="G933" s="24" t="s">
        <v>12</v>
      </c>
      <c r="H933" s="24" t="s">
        <v>32</v>
      </c>
    </row>
    <row r="934" ht="20" customHeight="1" spans="1:8" x14ac:dyDescent="0.25">
      <c r="A934" s="22" t="s">
        <v>51</v>
      </c>
      <c r="B934" s="22" t="s">
        <v>42</v>
      </c>
      <c r="C934" s="23" t="s">
        <v>71</v>
      </c>
      <c r="D934" s="35" t="s">
        <v>86</v>
      </c>
      <c r="E934" s="22" t="s">
        <v>12</v>
      </c>
      <c r="F934" s="22" t="s">
        <v>12</v>
      </c>
      <c r="G934" s="22" t="s">
        <v>12</v>
      </c>
      <c r="H934" s="22" t="s">
        <v>32</v>
      </c>
    </row>
    <row r="935" ht="20" customHeight="1" spans="1:8" x14ac:dyDescent="0.25">
      <c r="A935" s="24" t="s">
        <v>52</v>
      </c>
      <c r="B935" s="24" t="s">
        <v>45</v>
      </c>
      <c r="C935" s="25" t="s">
        <v>71</v>
      </c>
      <c r="D935" s="6" t="s">
        <v>4</v>
      </c>
      <c r="E935" s="24" t="s">
        <v>216</v>
      </c>
      <c r="F935" s="24" t="s">
        <v>84</v>
      </c>
      <c r="G935" s="24" t="s">
        <v>267</v>
      </c>
      <c r="H935" s="34" t="s">
        <v>217</v>
      </c>
    </row>
    <row r="936" ht="20" customHeight="1" spans="1:8" x14ac:dyDescent="0.25">
      <c r="A936" s="22" t="s">
        <v>53</v>
      </c>
      <c r="B936" s="22" t="s">
        <v>31</v>
      </c>
      <c r="C936" s="23" t="s">
        <v>71</v>
      </c>
      <c r="D936" s="6" t="s">
        <v>4</v>
      </c>
      <c r="E936" s="22" t="s">
        <v>1005</v>
      </c>
      <c r="F936" s="22" t="s">
        <v>990</v>
      </c>
      <c r="G936" s="22" t="s">
        <v>1515</v>
      </c>
      <c r="H936" s="29" t="s">
        <v>1007</v>
      </c>
    </row>
    <row r="937" ht="20" customHeight="1" spans="1:8" x14ac:dyDescent="0.25">
      <c r="A937" s="24" t="s">
        <v>54</v>
      </c>
      <c r="B937" s="24" t="s">
        <v>34</v>
      </c>
      <c r="C937" s="25" t="s">
        <v>71</v>
      </c>
      <c r="D937" s="6" t="s">
        <v>4</v>
      </c>
      <c r="E937" s="24" t="s">
        <v>469</v>
      </c>
      <c r="F937" s="24" t="s">
        <v>1342</v>
      </c>
      <c r="G937" s="24" t="s">
        <v>429</v>
      </c>
      <c r="H937" s="34" t="s">
        <v>471</v>
      </c>
    </row>
    <row r="938" ht="20" customHeight="1" spans="1:8" x14ac:dyDescent="0.25">
      <c r="A938" s="22" t="s">
        <v>55</v>
      </c>
      <c r="B938" s="22" t="s">
        <v>36</v>
      </c>
      <c r="C938" s="23" t="s">
        <v>71</v>
      </c>
      <c r="D938" s="6" t="s">
        <v>4</v>
      </c>
      <c r="E938" s="22" t="s">
        <v>1516</v>
      </c>
      <c r="F938" s="22" t="s">
        <v>1080</v>
      </c>
      <c r="G938" s="22" t="s">
        <v>263</v>
      </c>
      <c r="H938" s="29" t="s">
        <v>1517</v>
      </c>
    </row>
    <row r="939" ht="20" customHeight="1" spans="1:8" x14ac:dyDescent="0.25">
      <c r="A939" s="24" t="s">
        <v>56</v>
      </c>
      <c r="B939" s="24" t="s">
        <v>38</v>
      </c>
      <c r="C939" s="25" t="s">
        <v>71</v>
      </c>
      <c r="D939" s="6" t="s">
        <v>4</v>
      </c>
      <c r="E939" s="24" t="s">
        <v>649</v>
      </c>
      <c r="F939" s="24" t="s">
        <v>931</v>
      </c>
      <c r="G939" s="24" t="s">
        <v>299</v>
      </c>
      <c r="H939" s="34" t="s">
        <v>651</v>
      </c>
    </row>
    <row r="940" ht="20" customHeight="1" spans="1:8" x14ac:dyDescent="0.25">
      <c r="A940" s="22" t="s">
        <v>57</v>
      </c>
      <c r="B940" s="22" t="s">
        <v>40</v>
      </c>
      <c r="C940" s="23" t="s">
        <v>71</v>
      </c>
      <c r="D940" s="10" t="s">
        <v>87</v>
      </c>
      <c r="E940" s="22" t="s">
        <v>12</v>
      </c>
      <c r="F940" s="22" t="s">
        <v>12</v>
      </c>
      <c r="G940" s="22" t="s">
        <v>12</v>
      </c>
      <c r="H940" s="22" t="s">
        <v>32</v>
      </c>
    </row>
    <row r="941" ht="20" customHeight="1" spans="1:8" x14ac:dyDescent="0.25">
      <c r="A941" s="24" t="s">
        <v>58</v>
      </c>
      <c r="B941" s="24" t="s">
        <v>42</v>
      </c>
      <c r="C941" s="25" t="s">
        <v>71</v>
      </c>
      <c r="D941" s="33" t="s">
        <v>86</v>
      </c>
      <c r="E941" s="24" t="s">
        <v>12</v>
      </c>
      <c r="F941" s="24" t="s">
        <v>12</v>
      </c>
      <c r="G941" s="24" t="s">
        <v>12</v>
      </c>
      <c r="H941" s="24" t="s">
        <v>32</v>
      </c>
    </row>
    <row r="942" ht="20" customHeight="1" spans="1:8" x14ac:dyDescent="0.25">
      <c r="A942" s="22" t="s">
        <v>59</v>
      </c>
      <c r="B942" s="22" t="s">
        <v>45</v>
      </c>
      <c r="C942" s="23" t="s">
        <v>71</v>
      </c>
      <c r="D942" s="6" t="s">
        <v>4</v>
      </c>
      <c r="E942" s="22" t="s">
        <v>365</v>
      </c>
      <c r="F942" s="22" t="s">
        <v>1082</v>
      </c>
      <c r="G942" s="22" t="s">
        <v>283</v>
      </c>
      <c r="H942" s="29" t="s">
        <v>368</v>
      </c>
    </row>
    <row r="943" ht="20" customHeight="1" spans="1:8" x14ac:dyDescent="0.25">
      <c r="A943" s="24" t="s">
        <v>60</v>
      </c>
      <c r="B943" s="24" t="s">
        <v>31</v>
      </c>
      <c r="C943" s="25" t="s">
        <v>71</v>
      </c>
      <c r="D943" s="6" t="s">
        <v>4</v>
      </c>
      <c r="E943" s="24" t="s">
        <v>489</v>
      </c>
      <c r="F943" s="24" t="s">
        <v>455</v>
      </c>
      <c r="G943" s="24" t="s">
        <v>325</v>
      </c>
      <c r="H943" s="34" t="s">
        <v>491</v>
      </c>
    </row>
    <row r="944" ht="20" customHeight="1" spans="1:8" x14ac:dyDescent="0.25">
      <c r="A944" s="22" t="s">
        <v>61</v>
      </c>
      <c r="B944" s="22" t="s">
        <v>34</v>
      </c>
      <c r="C944" s="23" t="s">
        <v>71</v>
      </c>
      <c r="D944" s="6" t="s">
        <v>4</v>
      </c>
      <c r="E944" s="22" t="s">
        <v>1518</v>
      </c>
      <c r="F944" s="22" t="s">
        <v>464</v>
      </c>
      <c r="G944" s="22" t="s">
        <v>154</v>
      </c>
      <c r="H944" s="29" t="s">
        <v>1519</v>
      </c>
    </row>
    <row r="945" ht="20" customHeight="1" spans="1:8" x14ac:dyDescent="0.25">
      <c r="A945" s="24" t="s">
        <v>62</v>
      </c>
      <c r="B945" s="24" t="s">
        <v>36</v>
      </c>
      <c r="C945" s="25" t="s">
        <v>71</v>
      </c>
      <c r="D945" s="6" t="s">
        <v>4</v>
      </c>
      <c r="E945" s="24" t="s">
        <v>1509</v>
      </c>
      <c r="F945" s="24" t="s">
        <v>746</v>
      </c>
      <c r="G945" s="24" t="s">
        <v>393</v>
      </c>
      <c r="H945" s="34" t="s">
        <v>1510</v>
      </c>
    </row>
    <row r="946" ht="20" customHeight="1" spans="1:8" x14ac:dyDescent="0.25">
      <c r="A946" s="22" t="s">
        <v>63</v>
      </c>
      <c r="B946" s="22" t="s">
        <v>38</v>
      </c>
      <c r="C946" s="23" t="s">
        <v>71</v>
      </c>
      <c r="D946" s="6" t="s">
        <v>4</v>
      </c>
      <c r="E946" s="22" t="s">
        <v>451</v>
      </c>
      <c r="F946" s="22" t="s">
        <v>331</v>
      </c>
      <c r="G946" s="22" t="s">
        <v>240</v>
      </c>
      <c r="H946" s="29" t="s">
        <v>453</v>
      </c>
    </row>
    <row r="947" ht="20" customHeight="1" spans="1:8" x14ac:dyDescent="0.25">
      <c r="A947" s="24" t="s">
        <v>64</v>
      </c>
      <c r="B947" s="24" t="s">
        <v>40</v>
      </c>
      <c r="C947" s="25" t="s">
        <v>71</v>
      </c>
      <c r="D947" s="6" t="s">
        <v>4</v>
      </c>
      <c r="E947" s="24" t="s">
        <v>476</v>
      </c>
      <c r="F947" s="24" t="s">
        <v>133</v>
      </c>
      <c r="G947" s="24" t="s">
        <v>1520</v>
      </c>
      <c r="H947" s="34" t="s">
        <v>479</v>
      </c>
    </row>
    <row r="948" ht="20" customHeight="1" spans="1:8" x14ac:dyDescent="0.25">
      <c r="A948" s="22" t="s">
        <v>65</v>
      </c>
      <c r="B948" s="22" t="s">
        <v>42</v>
      </c>
      <c r="C948" s="23" t="s">
        <v>71</v>
      </c>
      <c r="D948" s="35" t="s">
        <v>86</v>
      </c>
      <c r="E948" s="22" t="s">
        <v>12</v>
      </c>
      <c r="F948" s="22" t="s">
        <v>12</v>
      </c>
      <c r="G948" s="22" t="s">
        <v>12</v>
      </c>
      <c r="H948" s="22" t="s">
        <v>32</v>
      </c>
    </row>
    <row r="949" ht="20" customHeight="1" spans="1:8" x14ac:dyDescent="0.25">
      <c r="A949" s="24" t="s">
        <v>66</v>
      </c>
      <c r="B949" s="24" t="s">
        <v>45</v>
      </c>
      <c r="C949" s="25" t="s">
        <v>71</v>
      </c>
      <c r="D949" s="6" t="s">
        <v>4</v>
      </c>
      <c r="E949" s="24" t="s">
        <v>196</v>
      </c>
      <c r="F949" s="24" t="s">
        <v>970</v>
      </c>
      <c r="G949" s="24" t="s">
        <v>794</v>
      </c>
      <c r="H949" s="34" t="s">
        <v>198</v>
      </c>
    </row>
    <row r="950" ht="20" customHeight="1" spans="1:8" x14ac:dyDescent="0.25">
      <c r="A950" s="22" t="s">
        <v>67</v>
      </c>
      <c r="B950" s="22" t="s">
        <v>31</v>
      </c>
      <c r="C950" s="23" t="s">
        <v>71</v>
      </c>
      <c r="D950" s="6" t="s">
        <v>4</v>
      </c>
      <c r="E950" s="22" t="s">
        <v>1436</v>
      </c>
      <c r="F950" s="22" t="s">
        <v>589</v>
      </c>
      <c r="G950" s="22" t="s">
        <v>971</v>
      </c>
      <c r="H950" s="29" t="s">
        <v>1437</v>
      </c>
    </row>
    <row r="951" ht="20" customHeight="1" spans="1:8" x14ac:dyDescent="0.25">
      <c r="A951" s="24" t="s">
        <v>68</v>
      </c>
      <c r="B951" s="24" t="s">
        <v>34</v>
      </c>
      <c r="C951" s="25" t="s">
        <v>71</v>
      </c>
      <c r="D951" s="6" t="s">
        <v>4</v>
      </c>
      <c r="E951" s="24" t="s">
        <v>12</v>
      </c>
      <c r="F951" s="24" t="s">
        <v>12</v>
      </c>
      <c r="G951" s="24" t="s">
        <v>516</v>
      </c>
      <c r="H951" s="30" t="s">
        <v>79</v>
      </c>
    </row>
    <row r="952" ht="22" customHeight="1" spans="1:8" x14ac:dyDescent="0.25">
      <c r="A952" s="26" t="s">
        <v>69</v>
      </c>
      <c r="B952" s="26"/>
      <c r="C952" s="26"/>
      <c r="D952" s="26"/>
      <c r="E952" s="26"/>
      <c r="F952" s="26"/>
      <c r="G952" s="27" t="s">
        <v>1521</v>
      </c>
      <c r="H952" s="28" t="s">
        <v>12</v>
      </c>
    </row>
    <row r="954" ht="26" customHeight="1" spans="1:8" x14ac:dyDescent="0.25">
      <c r="A954" s="20" t="s">
        <v>1522</v>
      </c>
      <c r="B954" s="20"/>
      <c r="C954" s="20"/>
      <c r="D954" s="20"/>
      <c r="E954" s="20"/>
      <c r="F954" s="20"/>
      <c r="G954" s="20"/>
      <c r="H954" s="20"/>
    </row>
    <row r="955" ht="22" customHeight="1" spans="1:8" x14ac:dyDescent="0.25">
      <c r="A955" s="21" t="s">
        <v>22</v>
      </c>
      <c r="B955" s="21" t="s">
        <v>23</v>
      </c>
      <c r="C955" s="21" t="s">
        <v>24</v>
      </c>
      <c r="D955" s="21" t="s">
        <v>25</v>
      </c>
      <c r="E955" s="21" t="s">
        <v>26</v>
      </c>
      <c r="F955" s="21" t="s">
        <v>27</v>
      </c>
      <c r="G955" s="21" t="s">
        <v>28</v>
      </c>
      <c r="H955" s="21" t="s">
        <v>29</v>
      </c>
    </row>
    <row r="956" ht="20" customHeight="1" spans="1:8" x14ac:dyDescent="0.25">
      <c r="A956" s="22" t="s">
        <v>30</v>
      </c>
      <c r="B956" s="22" t="s">
        <v>31</v>
      </c>
      <c r="C956" s="23" t="s">
        <v>71</v>
      </c>
      <c r="D956" s="6" t="s">
        <v>4</v>
      </c>
      <c r="E956" s="22" t="s">
        <v>377</v>
      </c>
      <c r="F956" s="22" t="s">
        <v>231</v>
      </c>
      <c r="G956" s="22" t="s">
        <v>250</v>
      </c>
      <c r="H956" s="29" t="s">
        <v>378</v>
      </c>
    </row>
    <row r="957" ht="20" customHeight="1" spans="1:8" x14ac:dyDescent="0.25">
      <c r="A957" s="24" t="s">
        <v>33</v>
      </c>
      <c r="B957" s="24" t="s">
        <v>34</v>
      </c>
      <c r="C957" s="25" t="s">
        <v>71</v>
      </c>
      <c r="D957" s="6" t="s">
        <v>4</v>
      </c>
      <c r="E957" s="24" t="s">
        <v>364</v>
      </c>
      <c r="F957" s="24" t="s">
        <v>344</v>
      </c>
      <c r="G957" s="24" t="s">
        <v>180</v>
      </c>
      <c r="H957" s="30" t="s">
        <v>79</v>
      </c>
    </row>
    <row r="958" ht="20" customHeight="1" spans="1:8" x14ac:dyDescent="0.25">
      <c r="A958" s="22" t="s">
        <v>35</v>
      </c>
      <c r="B958" s="22" t="s">
        <v>36</v>
      </c>
      <c r="C958" s="23" t="s">
        <v>71</v>
      </c>
      <c r="D958" s="6" t="s">
        <v>4</v>
      </c>
      <c r="E958" s="22" t="s">
        <v>390</v>
      </c>
      <c r="F958" s="22" t="s">
        <v>237</v>
      </c>
      <c r="G958" s="22" t="s">
        <v>177</v>
      </c>
      <c r="H958" s="32" t="s">
        <v>79</v>
      </c>
    </row>
    <row r="959" ht="20" customHeight="1" spans="1:8" x14ac:dyDescent="0.25">
      <c r="A959" s="24" t="s">
        <v>37</v>
      </c>
      <c r="B959" s="24" t="s">
        <v>38</v>
      </c>
      <c r="C959" s="25" t="s">
        <v>71</v>
      </c>
      <c r="D959" s="31" t="s">
        <v>11</v>
      </c>
      <c r="E959" s="24" t="s">
        <v>12</v>
      </c>
      <c r="F959" s="24" t="s">
        <v>12</v>
      </c>
      <c r="G959" s="24" t="s">
        <v>12</v>
      </c>
      <c r="H959" s="24" t="s">
        <v>32</v>
      </c>
    </row>
    <row r="960" ht="20" customHeight="1" spans="1:8" x14ac:dyDescent="0.25">
      <c r="A960" s="22" t="s">
        <v>39</v>
      </c>
      <c r="B960" s="22" t="s">
        <v>40</v>
      </c>
      <c r="C960" s="23" t="s">
        <v>71</v>
      </c>
      <c r="D960" s="6" t="s">
        <v>4</v>
      </c>
      <c r="E960" s="22" t="s">
        <v>320</v>
      </c>
      <c r="F960" s="22" t="s">
        <v>354</v>
      </c>
      <c r="G960" s="22" t="s">
        <v>180</v>
      </c>
      <c r="H960" s="32" t="s">
        <v>79</v>
      </c>
    </row>
    <row r="961" ht="20" customHeight="1" spans="1:8" x14ac:dyDescent="0.25">
      <c r="A961" s="24" t="s">
        <v>41</v>
      </c>
      <c r="B961" s="24" t="s">
        <v>42</v>
      </c>
      <c r="C961" s="25" t="s">
        <v>71</v>
      </c>
      <c r="D961" s="33" t="s">
        <v>86</v>
      </c>
      <c r="E961" s="24" t="s">
        <v>12</v>
      </c>
      <c r="F961" s="24" t="s">
        <v>12</v>
      </c>
      <c r="G961" s="24" t="s">
        <v>12</v>
      </c>
      <c r="H961" s="24" t="s">
        <v>32</v>
      </c>
    </row>
    <row r="962" ht="20" customHeight="1" spans="1:8" x14ac:dyDescent="0.25">
      <c r="A962" s="22" t="s">
        <v>44</v>
      </c>
      <c r="B962" s="22" t="s">
        <v>45</v>
      </c>
      <c r="C962" s="23" t="s">
        <v>71</v>
      </c>
      <c r="D962" s="6" t="s">
        <v>4</v>
      </c>
      <c r="E962" s="22" t="s">
        <v>379</v>
      </c>
      <c r="F962" s="22" t="s">
        <v>231</v>
      </c>
      <c r="G962" s="22" t="s">
        <v>267</v>
      </c>
      <c r="H962" s="29" t="s">
        <v>380</v>
      </c>
    </row>
    <row r="963" ht="20" customHeight="1" spans="1:8" x14ac:dyDescent="0.25">
      <c r="A963" s="24" t="s">
        <v>46</v>
      </c>
      <c r="B963" s="24" t="s">
        <v>31</v>
      </c>
      <c r="C963" s="25" t="s">
        <v>71</v>
      </c>
      <c r="D963" s="6" t="s">
        <v>4</v>
      </c>
      <c r="E963" s="24" t="s">
        <v>377</v>
      </c>
      <c r="F963" s="24" t="s">
        <v>344</v>
      </c>
      <c r="G963" s="24" t="s">
        <v>99</v>
      </c>
      <c r="H963" s="34" t="s">
        <v>378</v>
      </c>
    </row>
    <row r="964" ht="20" customHeight="1" spans="1:8" x14ac:dyDescent="0.25">
      <c r="A964" s="22" t="s">
        <v>47</v>
      </c>
      <c r="B964" s="22" t="s">
        <v>34</v>
      </c>
      <c r="C964" s="23" t="s">
        <v>71</v>
      </c>
      <c r="D964" s="6" t="s">
        <v>4</v>
      </c>
      <c r="E964" s="22" t="s">
        <v>635</v>
      </c>
      <c r="F964" s="22" t="s">
        <v>133</v>
      </c>
      <c r="G964" s="22" t="s">
        <v>99</v>
      </c>
      <c r="H964" s="32" t="s">
        <v>79</v>
      </c>
    </row>
    <row r="965" ht="20" customHeight="1" spans="1:8" x14ac:dyDescent="0.25">
      <c r="A965" s="24" t="s">
        <v>48</v>
      </c>
      <c r="B965" s="24" t="s">
        <v>36</v>
      </c>
      <c r="C965" s="25" t="s">
        <v>71</v>
      </c>
      <c r="D965" s="6" t="s">
        <v>4</v>
      </c>
      <c r="E965" s="24" t="s">
        <v>515</v>
      </c>
      <c r="F965" s="24" t="s">
        <v>402</v>
      </c>
      <c r="G965" s="24" t="s">
        <v>259</v>
      </c>
      <c r="H965" s="34" t="s">
        <v>517</v>
      </c>
    </row>
    <row r="966" ht="20" customHeight="1" spans="1:8" x14ac:dyDescent="0.25">
      <c r="A966" s="22" t="s">
        <v>49</v>
      </c>
      <c r="B966" s="22" t="s">
        <v>38</v>
      </c>
      <c r="C966" s="23" t="s">
        <v>71</v>
      </c>
      <c r="D966" s="6" t="s">
        <v>4</v>
      </c>
      <c r="E966" s="22" t="s">
        <v>564</v>
      </c>
      <c r="F966" s="22" t="s">
        <v>354</v>
      </c>
      <c r="G966" s="22" t="s">
        <v>99</v>
      </c>
      <c r="H966" s="32" t="s">
        <v>79</v>
      </c>
    </row>
    <row r="967" ht="20" customHeight="1" spans="1:8" x14ac:dyDescent="0.25">
      <c r="A967" s="24" t="s">
        <v>50</v>
      </c>
      <c r="B967" s="24" t="s">
        <v>40</v>
      </c>
      <c r="C967" s="25" t="s">
        <v>71</v>
      </c>
      <c r="D967" s="33" t="s">
        <v>86</v>
      </c>
      <c r="E967" s="24" t="s">
        <v>12</v>
      </c>
      <c r="F967" s="24" t="s">
        <v>12</v>
      </c>
      <c r="G967" s="24" t="s">
        <v>12</v>
      </c>
      <c r="H967" s="24" t="s">
        <v>32</v>
      </c>
    </row>
    <row r="968" ht="20" customHeight="1" spans="1:8" x14ac:dyDescent="0.25">
      <c r="A968" s="22" t="s">
        <v>51</v>
      </c>
      <c r="B968" s="22" t="s">
        <v>42</v>
      </c>
      <c r="C968" s="23" t="s">
        <v>71</v>
      </c>
      <c r="D968" s="35" t="s">
        <v>86</v>
      </c>
      <c r="E968" s="22" t="s">
        <v>12</v>
      </c>
      <c r="F968" s="22" t="s">
        <v>12</v>
      </c>
      <c r="G968" s="22" t="s">
        <v>12</v>
      </c>
      <c r="H968" s="22" t="s">
        <v>32</v>
      </c>
    </row>
    <row r="969" ht="20" customHeight="1" spans="1:8" x14ac:dyDescent="0.25">
      <c r="A969" s="24" t="s">
        <v>52</v>
      </c>
      <c r="B969" s="24" t="s">
        <v>45</v>
      </c>
      <c r="C969" s="25" t="s">
        <v>71</v>
      </c>
      <c r="D969" s="6" t="s">
        <v>4</v>
      </c>
      <c r="E969" s="24" t="s">
        <v>951</v>
      </c>
      <c r="F969" s="24" t="s">
        <v>12</v>
      </c>
      <c r="G969" s="24" t="s">
        <v>1523</v>
      </c>
      <c r="H969" s="30" t="s">
        <v>79</v>
      </c>
    </row>
    <row r="970" ht="20" customHeight="1" spans="1:8" x14ac:dyDescent="0.25">
      <c r="A970" s="22" t="s">
        <v>53</v>
      </c>
      <c r="B970" s="22" t="s">
        <v>31</v>
      </c>
      <c r="C970" s="23" t="s">
        <v>71</v>
      </c>
      <c r="D970" s="6" t="s">
        <v>4</v>
      </c>
      <c r="E970" s="22" t="s">
        <v>518</v>
      </c>
      <c r="F970" s="22" t="s">
        <v>376</v>
      </c>
      <c r="G970" s="22" t="s">
        <v>187</v>
      </c>
      <c r="H970" s="32" t="s">
        <v>79</v>
      </c>
    </row>
    <row r="971" ht="20" customHeight="1" spans="1:8" x14ac:dyDescent="0.25">
      <c r="A971" s="24" t="s">
        <v>54</v>
      </c>
      <c r="B971" s="24" t="s">
        <v>34</v>
      </c>
      <c r="C971" s="25" t="s">
        <v>71</v>
      </c>
      <c r="D971" s="6" t="s">
        <v>4</v>
      </c>
      <c r="E971" s="24" t="s">
        <v>251</v>
      </c>
      <c r="F971" s="24" t="s">
        <v>252</v>
      </c>
      <c r="G971" s="24" t="s">
        <v>99</v>
      </c>
      <c r="H971" s="34" t="s">
        <v>253</v>
      </c>
    </row>
    <row r="972" ht="20" customHeight="1" spans="1:8" x14ac:dyDescent="0.25">
      <c r="A972" s="22" t="s">
        <v>55</v>
      </c>
      <c r="B972" s="22" t="s">
        <v>36</v>
      </c>
      <c r="C972" s="23" t="s">
        <v>71</v>
      </c>
      <c r="D972" s="6" t="s">
        <v>4</v>
      </c>
      <c r="E972" s="22" t="s">
        <v>125</v>
      </c>
      <c r="F972" s="22" t="s">
        <v>338</v>
      </c>
      <c r="G972" s="22" t="s">
        <v>414</v>
      </c>
      <c r="H972" s="32" t="s">
        <v>79</v>
      </c>
    </row>
    <row r="973" ht="20" customHeight="1" spans="1:8" x14ac:dyDescent="0.25">
      <c r="A973" s="24" t="s">
        <v>56</v>
      </c>
      <c r="B973" s="24" t="s">
        <v>38</v>
      </c>
      <c r="C973" s="25" t="s">
        <v>71</v>
      </c>
      <c r="D973" s="10" t="s">
        <v>87</v>
      </c>
      <c r="E973" s="24" t="s">
        <v>12</v>
      </c>
      <c r="F973" s="24" t="s">
        <v>12</v>
      </c>
      <c r="G973" s="24" t="s">
        <v>12</v>
      </c>
      <c r="H973" s="24" t="s">
        <v>32</v>
      </c>
    </row>
    <row r="974" ht="20" customHeight="1" spans="1:8" x14ac:dyDescent="0.25">
      <c r="A974" s="22" t="s">
        <v>57</v>
      </c>
      <c r="B974" s="22" t="s">
        <v>40</v>
      </c>
      <c r="C974" s="23" t="s">
        <v>71</v>
      </c>
      <c r="D974" s="6" t="s">
        <v>4</v>
      </c>
      <c r="E974" s="22" t="s">
        <v>518</v>
      </c>
      <c r="F974" s="22" t="s">
        <v>404</v>
      </c>
      <c r="G974" s="22" t="s">
        <v>259</v>
      </c>
      <c r="H974" s="32" t="s">
        <v>79</v>
      </c>
    </row>
    <row r="975" ht="20" customHeight="1" spans="1:8" x14ac:dyDescent="0.25">
      <c r="A975" s="24" t="s">
        <v>58</v>
      </c>
      <c r="B975" s="24" t="s">
        <v>42</v>
      </c>
      <c r="C975" s="25" t="s">
        <v>71</v>
      </c>
      <c r="D975" s="33" t="s">
        <v>86</v>
      </c>
      <c r="E975" s="24" t="s">
        <v>12</v>
      </c>
      <c r="F975" s="24" t="s">
        <v>12</v>
      </c>
      <c r="G975" s="24" t="s">
        <v>12</v>
      </c>
      <c r="H975" s="24" t="s">
        <v>32</v>
      </c>
    </row>
    <row r="976" ht="20" customHeight="1" spans="1:8" x14ac:dyDescent="0.25">
      <c r="A976" s="22" t="s">
        <v>59</v>
      </c>
      <c r="B976" s="22" t="s">
        <v>45</v>
      </c>
      <c r="C976" s="23" t="s">
        <v>71</v>
      </c>
      <c r="D976" s="6" t="s">
        <v>4</v>
      </c>
      <c r="E976" s="22" t="s">
        <v>377</v>
      </c>
      <c r="F976" s="22" t="s">
        <v>404</v>
      </c>
      <c r="G976" s="22" t="s">
        <v>259</v>
      </c>
      <c r="H976" s="29" t="s">
        <v>378</v>
      </c>
    </row>
    <row r="977" ht="20" customHeight="1" spans="1:8" x14ac:dyDescent="0.25">
      <c r="A977" s="24" t="s">
        <v>60</v>
      </c>
      <c r="B977" s="24" t="s">
        <v>31</v>
      </c>
      <c r="C977" s="25" t="s">
        <v>71</v>
      </c>
      <c r="D977" s="6" t="s">
        <v>4</v>
      </c>
      <c r="E977" s="24" t="s">
        <v>257</v>
      </c>
      <c r="F977" s="24" t="s">
        <v>153</v>
      </c>
      <c r="G977" s="24" t="s">
        <v>267</v>
      </c>
      <c r="H977" s="34" t="s">
        <v>260</v>
      </c>
    </row>
    <row r="978" ht="20" customHeight="1" spans="1:8" x14ac:dyDescent="0.25">
      <c r="A978" s="22" t="s">
        <v>61</v>
      </c>
      <c r="B978" s="22" t="s">
        <v>34</v>
      </c>
      <c r="C978" s="23" t="s">
        <v>71</v>
      </c>
      <c r="D978" s="6" t="s">
        <v>4</v>
      </c>
      <c r="E978" s="22" t="s">
        <v>228</v>
      </c>
      <c r="F978" s="22" t="s">
        <v>252</v>
      </c>
      <c r="G978" s="22" t="s">
        <v>161</v>
      </c>
      <c r="H978" s="29" t="s">
        <v>229</v>
      </c>
    </row>
    <row r="979" ht="20" customHeight="1" spans="1:8" x14ac:dyDescent="0.25">
      <c r="A979" s="24" t="s">
        <v>62</v>
      </c>
      <c r="B979" s="24" t="s">
        <v>36</v>
      </c>
      <c r="C979" s="25" t="s">
        <v>71</v>
      </c>
      <c r="D979" s="6" t="s">
        <v>4</v>
      </c>
      <c r="E979" s="24" t="s">
        <v>189</v>
      </c>
      <c r="F979" s="24" t="s">
        <v>366</v>
      </c>
      <c r="G979" s="24" t="s">
        <v>329</v>
      </c>
      <c r="H979" s="34" t="s">
        <v>191</v>
      </c>
    </row>
    <row r="980" ht="20" customHeight="1" spans="1:8" x14ac:dyDescent="0.25">
      <c r="A980" s="22" t="s">
        <v>63</v>
      </c>
      <c r="B980" s="22" t="s">
        <v>38</v>
      </c>
      <c r="C980" s="23" t="s">
        <v>71</v>
      </c>
      <c r="D980" s="6" t="s">
        <v>4</v>
      </c>
      <c r="E980" s="22" t="s">
        <v>377</v>
      </c>
      <c r="F980" s="22" t="s">
        <v>402</v>
      </c>
      <c r="G980" s="22" t="s">
        <v>267</v>
      </c>
      <c r="H980" s="29" t="s">
        <v>378</v>
      </c>
    </row>
    <row r="981" ht="20" customHeight="1" spans="1:8" x14ac:dyDescent="0.25">
      <c r="A981" s="24" t="s">
        <v>64</v>
      </c>
      <c r="B981" s="24" t="s">
        <v>40</v>
      </c>
      <c r="C981" s="25" t="s">
        <v>71</v>
      </c>
      <c r="D981" s="6" t="s">
        <v>4</v>
      </c>
      <c r="E981" s="24" t="s">
        <v>379</v>
      </c>
      <c r="F981" s="24" t="s">
        <v>231</v>
      </c>
      <c r="G981" s="24" t="s">
        <v>267</v>
      </c>
      <c r="H981" s="34" t="s">
        <v>380</v>
      </c>
    </row>
    <row r="982" ht="20" customHeight="1" spans="1:8" x14ac:dyDescent="0.25">
      <c r="A982" s="22" t="s">
        <v>65</v>
      </c>
      <c r="B982" s="22" t="s">
        <v>42</v>
      </c>
      <c r="C982" s="23" t="s">
        <v>71</v>
      </c>
      <c r="D982" s="6" t="s">
        <v>4</v>
      </c>
      <c r="E982" s="22" t="s">
        <v>409</v>
      </c>
      <c r="F982" s="22" t="s">
        <v>352</v>
      </c>
      <c r="G982" s="22" t="s">
        <v>1306</v>
      </c>
      <c r="H982" s="32" t="s">
        <v>79</v>
      </c>
    </row>
    <row r="983" ht="20" customHeight="1" spans="1:8" x14ac:dyDescent="0.25">
      <c r="A983" s="24" t="s">
        <v>66</v>
      </c>
      <c r="B983" s="24" t="s">
        <v>45</v>
      </c>
      <c r="C983" s="25" t="s">
        <v>71</v>
      </c>
      <c r="D983" s="6" t="s">
        <v>4</v>
      </c>
      <c r="E983" s="24" t="s">
        <v>375</v>
      </c>
      <c r="F983" s="24" t="s">
        <v>402</v>
      </c>
      <c r="G983" s="24" t="s">
        <v>285</v>
      </c>
      <c r="H983" s="30" t="s">
        <v>79</v>
      </c>
    </row>
    <row r="984" ht="20" customHeight="1" spans="1:8" x14ac:dyDescent="0.25">
      <c r="A984" s="22" t="s">
        <v>67</v>
      </c>
      <c r="B984" s="22" t="s">
        <v>31</v>
      </c>
      <c r="C984" s="23" t="s">
        <v>71</v>
      </c>
      <c r="D984" s="6" t="s">
        <v>4</v>
      </c>
      <c r="E984" s="22" t="s">
        <v>411</v>
      </c>
      <c r="F984" s="22" t="s">
        <v>560</v>
      </c>
      <c r="G984" s="22" t="s">
        <v>563</v>
      </c>
      <c r="H984" s="32" t="s">
        <v>79</v>
      </c>
    </row>
    <row r="985" ht="20" customHeight="1" spans="1:8" x14ac:dyDescent="0.25">
      <c r="A985" s="24" t="s">
        <v>68</v>
      </c>
      <c r="B985" s="24" t="s">
        <v>34</v>
      </c>
      <c r="C985" s="25" t="s">
        <v>71</v>
      </c>
      <c r="D985" s="6" t="s">
        <v>4</v>
      </c>
      <c r="E985" s="24" t="s">
        <v>311</v>
      </c>
      <c r="F985" s="24" t="s">
        <v>376</v>
      </c>
      <c r="G985" s="24" t="s">
        <v>130</v>
      </c>
      <c r="H985" s="30" t="s">
        <v>79</v>
      </c>
    </row>
    <row r="986" ht="22" customHeight="1" spans="1:8" x14ac:dyDescent="0.25">
      <c r="A986" s="26" t="s">
        <v>69</v>
      </c>
      <c r="B986" s="26"/>
      <c r="C986" s="26"/>
      <c r="D986" s="26"/>
      <c r="E986" s="26"/>
      <c r="F986" s="26"/>
      <c r="G986" s="27" t="s">
        <v>1524</v>
      </c>
      <c r="H986" s="28" t="s">
        <v>12</v>
      </c>
    </row>
    <row r="988" ht="26" customHeight="1" spans="1:8" x14ac:dyDescent="0.25">
      <c r="A988" s="20" t="s">
        <v>1525</v>
      </c>
      <c r="B988" s="20"/>
      <c r="C988" s="20"/>
      <c r="D988" s="20"/>
      <c r="E988" s="20"/>
      <c r="F988" s="20"/>
      <c r="G988" s="20"/>
      <c r="H988" s="20"/>
    </row>
    <row r="989" ht="22" customHeight="1" spans="1:8" x14ac:dyDescent="0.25">
      <c r="A989" s="21" t="s">
        <v>22</v>
      </c>
      <c r="B989" s="21" t="s">
        <v>23</v>
      </c>
      <c r="C989" s="21" t="s">
        <v>24</v>
      </c>
      <c r="D989" s="21" t="s">
        <v>25</v>
      </c>
      <c r="E989" s="21" t="s">
        <v>26</v>
      </c>
      <c r="F989" s="21" t="s">
        <v>27</v>
      </c>
      <c r="G989" s="21" t="s">
        <v>28</v>
      </c>
      <c r="H989" s="21" t="s">
        <v>29</v>
      </c>
    </row>
    <row r="990" ht="20" customHeight="1" spans="1:8" x14ac:dyDescent="0.25">
      <c r="A990" s="22" t="s">
        <v>30</v>
      </c>
      <c r="B990" s="22" t="s">
        <v>31</v>
      </c>
      <c r="C990" s="23" t="s">
        <v>71</v>
      </c>
      <c r="D990" s="6" t="s">
        <v>4</v>
      </c>
      <c r="E990" s="22" t="s">
        <v>340</v>
      </c>
      <c r="F990" s="22" t="s">
        <v>211</v>
      </c>
      <c r="G990" s="22" t="s">
        <v>165</v>
      </c>
      <c r="H990" s="29" t="s">
        <v>342</v>
      </c>
    </row>
    <row r="991" ht="20" customHeight="1" spans="1:8" x14ac:dyDescent="0.25">
      <c r="A991" s="24" t="s">
        <v>33</v>
      </c>
      <c r="B991" s="24" t="s">
        <v>34</v>
      </c>
      <c r="C991" s="25" t="s">
        <v>71</v>
      </c>
      <c r="D991" s="6" t="s">
        <v>4</v>
      </c>
      <c r="E991" s="24" t="s">
        <v>196</v>
      </c>
      <c r="F991" s="24" t="s">
        <v>211</v>
      </c>
      <c r="G991" s="24" t="s">
        <v>261</v>
      </c>
      <c r="H991" s="34" t="s">
        <v>198</v>
      </c>
    </row>
    <row r="992" ht="20" customHeight="1" spans="1:8" x14ac:dyDescent="0.25">
      <c r="A992" s="22" t="s">
        <v>35</v>
      </c>
      <c r="B992" s="22" t="s">
        <v>36</v>
      </c>
      <c r="C992" s="23" t="s">
        <v>71</v>
      </c>
      <c r="D992" s="6" t="s">
        <v>4</v>
      </c>
      <c r="E992" s="22" t="s">
        <v>212</v>
      </c>
      <c r="F992" s="22" t="s">
        <v>412</v>
      </c>
      <c r="G992" s="22" t="s">
        <v>119</v>
      </c>
      <c r="H992" s="29" t="s">
        <v>215</v>
      </c>
    </row>
    <row r="993" ht="20" customHeight="1" spans="1:8" x14ac:dyDescent="0.25">
      <c r="A993" s="24" t="s">
        <v>37</v>
      </c>
      <c r="B993" s="24" t="s">
        <v>38</v>
      </c>
      <c r="C993" s="25" t="s">
        <v>71</v>
      </c>
      <c r="D993" s="31" t="s">
        <v>11</v>
      </c>
      <c r="E993" s="24" t="s">
        <v>12</v>
      </c>
      <c r="F993" s="24" t="s">
        <v>12</v>
      </c>
      <c r="G993" s="24" t="s">
        <v>12</v>
      </c>
      <c r="H993" s="24" t="s">
        <v>32</v>
      </c>
    </row>
    <row r="994" ht="20" customHeight="1" spans="1:8" x14ac:dyDescent="0.25">
      <c r="A994" s="22" t="s">
        <v>39</v>
      </c>
      <c r="B994" s="22" t="s">
        <v>40</v>
      </c>
      <c r="C994" s="23" t="s">
        <v>71</v>
      </c>
      <c r="D994" s="6" t="s">
        <v>4</v>
      </c>
      <c r="E994" s="22" t="s">
        <v>359</v>
      </c>
      <c r="F994" s="22" t="s">
        <v>245</v>
      </c>
      <c r="G994" s="22" t="s">
        <v>240</v>
      </c>
      <c r="H994" s="29" t="s">
        <v>360</v>
      </c>
    </row>
    <row r="995" ht="20" customHeight="1" spans="1:8" x14ac:dyDescent="0.25">
      <c r="A995" s="24" t="s">
        <v>41</v>
      </c>
      <c r="B995" s="24" t="s">
        <v>42</v>
      </c>
      <c r="C995" s="25" t="s">
        <v>71</v>
      </c>
      <c r="D995" s="33" t="s">
        <v>86</v>
      </c>
      <c r="E995" s="24" t="s">
        <v>12</v>
      </c>
      <c r="F995" s="24" t="s">
        <v>12</v>
      </c>
      <c r="G995" s="24" t="s">
        <v>12</v>
      </c>
      <c r="H995" s="24" t="s">
        <v>32</v>
      </c>
    </row>
    <row r="996" ht="20" customHeight="1" spans="1:8" x14ac:dyDescent="0.25">
      <c r="A996" s="22" t="s">
        <v>44</v>
      </c>
      <c r="B996" s="22" t="s">
        <v>45</v>
      </c>
      <c r="C996" s="23" t="s">
        <v>71</v>
      </c>
      <c r="D996" s="6" t="s">
        <v>4</v>
      </c>
      <c r="E996" s="22" t="s">
        <v>356</v>
      </c>
      <c r="F996" s="22" t="s">
        <v>447</v>
      </c>
      <c r="G996" s="22" t="s">
        <v>339</v>
      </c>
      <c r="H996" s="29" t="s">
        <v>357</v>
      </c>
    </row>
    <row r="997" ht="20" customHeight="1" spans="1:8" x14ac:dyDescent="0.25">
      <c r="A997" s="24" t="s">
        <v>46</v>
      </c>
      <c r="B997" s="24" t="s">
        <v>31</v>
      </c>
      <c r="C997" s="25" t="s">
        <v>71</v>
      </c>
      <c r="D997" s="6" t="s">
        <v>4</v>
      </c>
      <c r="E997" s="24" t="s">
        <v>205</v>
      </c>
      <c r="F997" s="24" t="s">
        <v>243</v>
      </c>
      <c r="G997" s="24" t="s">
        <v>574</v>
      </c>
      <c r="H997" s="34" t="s">
        <v>207</v>
      </c>
    </row>
    <row r="998" ht="20" customHeight="1" spans="1:8" x14ac:dyDescent="0.25">
      <c r="A998" s="22" t="s">
        <v>47</v>
      </c>
      <c r="B998" s="22" t="s">
        <v>34</v>
      </c>
      <c r="C998" s="23" t="s">
        <v>71</v>
      </c>
      <c r="D998" s="6" t="s">
        <v>4</v>
      </c>
      <c r="E998" s="22" t="s">
        <v>876</v>
      </c>
      <c r="F998" s="22" t="s">
        <v>160</v>
      </c>
      <c r="G998" s="22" t="s">
        <v>339</v>
      </c>
      <c r="H998" s="29" t="s">
        <v>877</v>
      </c>
    </row>
    <row r="999" ht="20" customHeight="1" spans="1:8" x14ac:dyDescent="0.25">
      <c r="A999" s="24" t="s">
        <v>48</v>
      </c>
      <c r="B999" s="24" t="s">
        <v>36</v>
      </c>
      <c r="C999" s="25" t="s">
        <v>71</v>
      </c>
      <c r="D999" s="6" t="s">
        <v>4</v>
      </c>
      <c r="E999" s="24" t="s">
        <v>205</v>
      </c>
      <c r="F999" s="24" t="s">
        <v>84</v>
      </c>
      <c r="G999" s="24" t="s">
        <v>154</v>
      </c>
      <c r="H999" s="34" t="s">
        <v>207</v>
      </c>
    </row>
    <row r="1000" ht="20" customHeight="1" spans="1:8" x14ac:dyDescent="0.25">
      <c r="A1000" s="22" t="s">
        <v>49</v>
      </c>
      <c r="B1000" s="22" t="s">
        <v>38</v>
      </c>
      <c r="C1000" s="23" t="s">
        <v>71</v>
      </c>
      <c r="D1000" s="6" t="s">
        <v>4</v>
      </c>
      <c r="E1000" s="22" t="s">
        <v>876</v>
      </c>
      <c r="F1000" s="22" t="s">
        <v>77</v>
      </c>
      <c r="G1000" s="22" t="s">
        <v>238</v>
      </c>
      <c r="H1000" s="29" t="s">
        <v>877</v>
      </c>
    </row>
    <row r="1001" ht="20" customHeight="1" spans="1:8" x14ac:dyDescent="0.25">
      <c r="A1001" s="24" t="s">
        <v>50</v>
      </c>
      <c r="B1001" s="24" t="s">
        <v>40</v>
      </c>
      <c r="C1001" s="25" t="s">
        <v>71</v>
      </c>
      <c r="D1001" s="33" t="s">
        <v>86</v>
      </c>
      <c r="E1001" s="24" t="s">
        <v>12</v>
      </c>
      <c r="F1001" s="24" t="s">
        <v>12</v>
      </c>
      <c r="G1001" s="24" t="s">
        <v>12</v>
      </c>
      <c r="H1001" s="24" t="s">
        <v>32</v>
      </c>
    </row>
    <row r="1002" ht="20" customHeight="1" spans="1:8" x14ac:dyDescent="0.25">
      <c r="A1002" s="22" t="s">
        <v>51</v>
      </c>
      <c r="B1002" s="22" t="s">
        <v>42</v>
      </c>
      <c r="C1002" s="23" t="s">
        <v>71</v>
      </c>
      <c r="D1002" s="35" t="s">
        <v>86</v>
      </c>
      <c r="E1002" s="22" t="s">
        <v>12</v>
      </c>
      <c r="F1002" s="22" t="s">
        <v>12</v>
      </c>
      <c r="G1002" s="22" t="s">
        <v>12</v>
      </c>
      <c r="H1002" s="22" t="s">
        <v>32</v>
      </c>
    </row>
    <row r="1003" ht="20" customHeight="1" spans="1:8" x14ac:dyDescent="0.25">
      <c r="A1003" s="24" t="s">
        <v>52</v>
      </c>
      <c r="B1003" s="24" t="s">
        <v>45</v>
      </c>
      <c r="C1003" s="25" t="s">
        <v>71</v>
      </c>
      <c r="D1003" s="6" t="s">
        <v>4</v>
      </c>
      <c r="E1003" s="24" t="s">
        <v>196</v>
      </c>
      <c r="F1003" s="24" t="s">
        <v>757</v>
      </c>
      <c r="G1003" s="24" t="s">
        <v>614</v>
      </c>
      <c r="H1003" s="34" t="s">
        <v>198</v>
      </c>
    </row>
    <row r="1004" ht="20" customHeight="1" spans="1:8" x14ac:dyDescent="0.25">
      <c r="A1004" s="22" t="s">
        <v>53</v>
      </c>
      <c r="B1004" s="22" t="s">
        <v>31</v>
      </c>
      <c r="C1004" s="23" t="s">
        <v>71</v>
      </c>
      <c r="D1004" s="6" t="s">
        <v>4</v>
      </c>
      <c r="E1004" s="22" t="s">
        <v>196</v>
      </c>
      <c r="F1004" s="22" t="s">
        <v>186</v>
      </c>
      <c r="G1004" s="22" t="s">
        <v>214</v>
      </c>
      <c r="H1004" s="29" t="s">
        <v>198</v>
      </c>
    </row>
    <row r="1005" ht="20" customHeight="1" spans="1:8" x14ac:dyDescent="0.25">
      <c r="A1005" s="24" t="s">
        <v>54</v>
      </c>
      <c r="B1005" s="24" t="s">
        <v>34</v>
      </c>
      <c r="C1005" s="25" t="s">
        <v>71</v>
      </c>
      <c r="D1005" s="6" t="s">
        <v>4</v>
      </c>
      <c r="E1005" s="24" t="s">
        <v>454</v>
      </c>
      <c r="F1005" s="24" t="s">
        <v>102</v>
      </c>
      <c r="G1005" s="24" t="s">
        <v>475</v>
      </c>
      <c r="H1005" s="34" t="s">
        <v>456</v>
      </c>
    </row>
    <row r="1006" ht="20" customHeight="1" spans="1:8" x14ac:dyDescent="0.25">
      <c r="A1006" s="22" t="s">
        <v>55</v>
      </c>
      <c r="B1006" s="22" t="s">
        <v>36</v>
      </c>
      <c r="C1006" s="23" t="s">
        <v>71</v>
      </c>
      <c r="D1006" s="6" t="s">
        <v>4</v>
      </c>
      <c r="E1006" s="22" t="s">
        <v>234</v>
      </c>
      <c r="F1006" s="22" t="s">
        <v>182</v>
      </c>
      <c r="G1006" s="22" t="s">
        <v>250</v>
      </c>
      <c r="H1006" s="29" t="s">
        <v>236</v>
      </c>
    </row>
    <row r="1007" ht="20" customHeight="1" spans="1:8" x14ac:dyDescent="0.25">
      <c r="A1007" s="24" t="s">
        <v>56</v>
      </c>
      <c r="B1007" s="24" t="s">
        <v>38</v>
      </c>
      <c r="C1007" s="25" t="s">
        <v>71</v>
      </c>
      <c r="D1007" s="6" t="s">
        <v>4</v>
      </c>
      <c r="E1007" s="24" t="s">
        <v>1292</v>
      </c>
      <c r="F1007" s="24" t="s">
        <v>12</v>
      </c>
      <c r="G1007" s="24" t="s">
        <v>12</v>
      </c>
      <c r="H1007" s="34" t="s">
        <v>1294</v>
      </c>
    </row>
    <row r="1008" ht="20" customHeight="1" spans="1:8" x14ac:dyDescent="0.25">
      <c r="A1008" s="22" t="s">
        <v>57</v>
      </c>
      <c r="B1008" s="22" t="s">
        <v>40</v>
      </c>
      <c r="C1008" s="23" t="s">
        <v>71</v>
      </c>
      <c r="D1008" s="6" t="s">
        <v>4</v>
      </c>
      <c r="E1008" s="22" t="s">
        <v>1526</v>
      </c>
      <c r="F1008" s="22" t="s">
        <v>370</v>
      </c>
      <c r="G1008" s="22" t="s">
        <v>574</v>
      </c>
      <c r="H1008" s="29" t="s">
        <v>1452</v>
      </c>
    </row>
    <row r="1009" ht="20" customHeight="1" spans="1:8" x14ac:dyDescent="0.25">
      <c r="A1009" s="24" t="s">
        <v>58</v>
      </c>
      <c r="B1009" s="24" t="s">
        <v>42</v>
      </c>
      <c r="C1009" s="25" t="s">
        <v>71</v>
      </c>
      <c r="D1009" s="33" t="s">
        <v>86</v>
      </c>
      <c r="E1009" s="24" t="s">
        <v>12</v>
      </c>
      <c r="F1009" s="24" t="s">
        <v>12</v>
      </c>
      <c r="G1009" s="24" t="s">
        <v>12</v>
      </c>
      <c r="H1009" s="24" t="s">
        <v>32</v>
      </c>
    </row>
    <row r="1010" ht="20" customHeight="1" spans="1:8" x14ac:dyDescent="0.25">
      <c r="A1010" s="22" t="s">
        <v>59</v>
      </c>
      <c r="B1010" s="22" t="s">
        <v>45</v>
      </c>
      <c r="C1010" s="23" t="s">
        <v>71</v>
      </c>
      <c r="D1010" s="6" t="s">
        <v>4</v>
      </c>
      <c r="E1010" s="22" t="s">
        <v>359</v>
      </c>
      <c r="F1010" s="22" t="s">
        <v>992</v>
      </c>
      <c r="G1010" s="22" t="s">
        <v>1167</v>
      </c>
      <c r="H1010" s="29" t="s">
        <v>360</v>
      </c>
    </row>
    <row r="1011" ht="20" customHeight="1" spans="1:8" x14ac:dyDescent="0.25">
      <c r="A1011" s="24" t="s">
        <v>60</v>
      </c>
      <c r="B1011" s="24" t="s">
        <v>31</v>
      </c>
      <c r="C1011" s="25" t="s">
        <v>71</v>
      </c>
      <c r="D1011" s="6" t="s">
        <v>4</v>
      </c>
      <c r="E1011" s="24" t="s">
        <v>364</v>
      </c>
      <c r="F1011" s="24" t="s">
        <v>757</v>
      </c>
      <c r="G1011" s="24" t="s">
        <v>481</v>
      </c>
      <c r="H1011" s="30" t="s">
        <v>79</v>
      </c>
    </row>
    <row r="1012" ht="20" customHeight="1" spans="1:8" x14ac:dyDescent="0.25">
      <c r="A1012" s="22" t="s">
        <v>61</v>
      </c>
      <c r="B1012" s="22" t="s">
        <v>34</v>
      </c>
      <c r="C1012" s="23" t="s">
        <v>71</v>
      </c>
      <c r="D1012" s="6" t="s">
        <v>4</v>
      </c>
      <c r="E1012" s="22" t="s">
        <v>156</v>
      </c>
      <c r="F1012" s="22" t="s">
        <v>104</v>
      </c>
      <c r="G1012" s="22" t="s">
        <v>285</v>
      </c>
      <c r="H1012" s="29" t="s">
        <v>158</v>
      </c>
    </row>
    <row r="1013" ht="20" customHeight="1" spans="1:8" x14ac:dyDescent="0.25">
      <c r="A1013" s="24" t="s">
        <v>62</v>
      </c>
      <c r="B1013" s="24" t="s">
        <v>36</v>
      </c>
      <c r="C1013" s="25" t="s">
        <v>71</v>
      </c>
      <c r="D1013" s="6" t="s">
        <v>4</v>
      </c>
      <c r="E1013" s="24" t="s">
        <v>205</v>
      </c>
      <c r="F1013" s="24" t="s">
        <v>12</v>
      </c>
      <c r="G1013" s="24" t="s">
        <v>12</v>
      </c>
      <c r="H1013" s="34" t="s">
        <v>207</v>
      </c>
    </row>
    <row r="1014" ht="20" customHeight="1" spans="1:8" x14ac:dyDescent="0.25">
      <c r="A1014" s="22" t="s">
        <v>63</v>
      </c>
      <c r="B1014" s="22" t="s">
        <v>38</v>
      </c>
      <c r="C1014" s="23" t="s">
        <v>71</v>
      </c>
      <c r="D1014" s="6" t="s">
        <v>4</v>
      </c>
      <c r="E1014" s="22" t="s">
        <v>322</v>
      </c>
      <c r="F1014" s="22" t="s">
        <v>366</v>
      </c>
      <c r="G1014" s="22" t="s">
        <v>177</v>
      </c>
      <c r="H1014" s="29" t="s">
        <v>323</v>
      </c>
    </row>
    <row r="1015" ht="20" customHeight="1" spans="1:8" x14ac:dyDescent="0.25">
      <c r="A1015" s="24" t="s">
        <v>64</v>
      </c>
      <c r="B1015" s="24" t="s">
        <v>40</v>
      </c>
      <c r="C1015" s="25" t="s">
        <v>71</v>
      </c>
      <c r="D1015" s="6" t="s">
        <v>4</v>
      </c>
      <c r="E1015" s="24" t="s">
        <v>876</v>
      </c>
      <c r="F1015" s="24" t="s">
        <v>477</v>
      </c>
      <c r="G1015" s="24" t="s">
        <v>1248</v>
      </c>
      <c r="H1015" s="34" t="s">
        <v>877</v>
      </c>
    </row>
    <row r="1016" ht="20" customHeight="1" spans="1:8" x14ac:dyDescent="0.25">
      <c r="A1016" s="22" t="s">
        <v>65</v>
      </c>
      <c r="B1016" s="22" t="s">
        <v>42</v>
      </c>
      <c r="C1016" s="23" t="s">
        <v>71</v>
      </c>
      <c r="D1016" s="35" t="s">
        <v>86</v>
      </c>
      <c r="E1016" s="22" t="s">
        <v>12</v>
      </c>
      <c r="F1016" s="22" t="s">
        <v>12</v>
      </c>
      <c r="G1016" s="22" t="s">
        <v>12</v>
      </c>
      <c r="H1016" s="22" t="s">
        <v>32</v>
      </c>
    </row>
    <row r="1017" ht="20" customHeight="1" spans="1:8" x14ac:dyDescent="0.25">
      <c r="A1017" s="24" t="s">
        <v>66</v>
      </c>
      <c r="B1017" s="24" t="s">
        <v>45</v>
      </c>
      <c r="C1017" s="25" t="s">
        <v>71</v>
      </c>
      <c r="D1017" s="6" t="s">
        <v>4</v>
      </c>
      <c r="E1017" s="24" t="s">
        <v>257</v>
      </c>
      <c r="F1017" s="24" t="s">
        <v>343</v>
      </c>
      <c r="G1017" s="24" t="s">
        <v>232</v>
      </c>
      <c r="H1017" s="34" t="s">
        <v>260</v>
      </c>
    </row>
    <row r="1018" ht="20" customHeight="1" spans="1:8" x14ac:dyDescent="0.25">
      <c r="A1018" s="22" t="s">
        <v>67</v>
      </c>
      <c r="B1018" s="22" t="s">
        <v>31</v>
      </c>
      <c r="C1018" s="23" t="s">
        <v>71</v>
      </c>
      <c r="D1018" s="6" t="s">
        <v>4</v>
      </c>
      <c r="E1018" s="22" t="s">
        <v>392</v>
      </c>
      <c r="F1018" s="22" t="s">
        <v>258</v>
      </c>
      <c r="G1018" s="22" t="s">
        <v>285</v>
      </c>
      <c r="H1018" s="29" t="s">
        <v>394</v>
      </c>
    </row>
    <row r="1019" ht="20" customHeight="1" spans="1:8" x14ac:dyDescent="0.25">
      <c r="A1019" s="24" t="s">
        <v>68</v>
      </c>
      <c r="B1019" s="24" t="s">
        <v>34</v>
      </c>
      <c r="C1019" s="25" t="s">
        <v>71</v>
      </c>
      <c r="D1019" s="6" t="s">
        <v>4</v>
      </c>
      <c r="E1019" s="24" t="s">
        <v>173</v>
      </c>
      <c r="F1019" s="24" t="s">
        <v>1350</v>
      </c>
      <c r="G1019" s="24" t="s">
        <v>296</v>
      </c>
      <c r="H1019" s="34" t="s">
        <v>175</v>
      </c>
    </row>
    <row r="1020" ht="22" customHeight="1" spans="1:8" x14ac:dyDescent="0.25">
      <c r="A1020" s="26" t="s">
        <v>69</v>
      </c>
      <c r="B1020" s="26"/>
      <c r="C1020" s="26"/>
      <c r="D1020" s="26"/>
      <c r="E1020" s="26"/>
      <c r="F1020" s="26"/>
      <c r="G1020" s="27" t="s">
        <v>1527</v>
      </c>
      <c r="H1020" s="28" t="s">
        <v>12</v>
      </c>
    </row>
  </sheetData>
  <mergeCells count="60">
    <mergeCell ref="A1:P1"/>
    <mergeCell ref="A2:P2"/>
    <mergeCell ref="A36:H36"/>
    <mergeCell ref="A68:F68"/>
    <mergeCell ref="A70:H70"/>
    <mergeCell ref="A102:F102"/>
    <mergeCell ref="A104:H104"/>
    <mergeCell ref="A136:F136"/>
    <mergeCell ref="A138:H138"/>
    <mergeCell ref="A170:F170"/>
    <mergeCell ref="A172:H172"/>
    <mergeCell ref="A204:F204"/>
    <mergeCell ref="A206:H206"/>
    <mergeCell ref="A238:F238"/>
    <mergeCell ref="A240:H240"/>
    <mergeCell ref="A272:F272"/>
    <mergeCell ref="A274:H274"/>
    <mergeCell ref="A306:F306"/>
    <mergeCell ref="A308:H308"/>
    <mergeCell ref="A340:F340"/>
    <mergeCell ref="A342:H342"/>
    <mergeCell ref="A374:F374"/>
    <mergeCell ref="A376:H376"/>
    <mergeCell ref="A408:F408"/>
    <mergeCell ref="A410:H410"/>
    <mergeCell ref="A442:F442"/>
    <mergeCell ref="A444:H444"/>
    <mergeCell ref="A476:F476"/>
    <mergeCell ref="A478:H478"/>
    <mergeCell ref="A510:F510"/>
    <mergeCell ref="A512:H512"/>
    <mergeCell ref="A544:F544"/>
    <mergeCell ref="A546:H546"/>
    <mergeCell ref="A578:F578"/>
    <mergeCell ref="A580:H580"/>
    <mergeCell ref="A612:F612"/>
    <mergeCell ref="A614:H614"/>
    <mergeCell ref="A646:F646"/>
    <mergeCell ref="A648:H648"/>
    <mergeCell ref="A680:F680"/>
    <mergeCell ref="A682:H682"/>
    <mergeCell ref="A714:F714"/>
    <mergeCell ref="A716:H716"/>
    <mergeCell ref="A748:F748"/>
    <mergeCell ref="A750:H750"/>
    <mergeCell ref="A782:F782"/>
    <mergeCell ref="A784:H784"/>
    <mergeCell ref="A816:F816"/>
    <mergeCell ref="A818:H818"/>
    <mergeCell ref="A850:F850"/>
    <mergeCell ref="A852:H852"/>
    <mergeCell ref="A884:F884"/>
    <mergeCell ref="A886:H886"/>
    <mergeCell ref="A918:F918"/>
    <mergeCell ref="A920:H920"/>
    <mergeCell ref="A952:F952"/>
    <mergeCell ref="A954:H954"/>
    <mergeCell ref="A986:F986"/>
    <mergeCell ref="A988:H988"/>
    <mergeCell ref="A1020:F10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85"/>
  <sheetViews>
    <sheetView workbookViewId="0"/>
  </sheetViews>
  <sheetFormatPr defaultRowHeight="15" outlineLevelRow="0" outlineLevelCol="0" x14ac:dyDescent="55"/>
  <cols>
    <col min="1" max="1" width="28" customWidth="1"/>
    <col min="2" max="2" width="20" customWidth="1"/>
    <col min="3" max="4" width="13" customWidth="1"/>
    <col min="5" max="7" width="18" customWidth="1"/>
    <col min="8" max="10" width="14" customWidth="1"/>
    <col min="11" max="12" width="6" customWidth="1"/>
    <col min="13" max="13" width="28" customWidth="1"/>
    <col min="14" max="14" width="14" customWidth="1"/>
    <col min="15" max="16" width="18" customWidth="1"/>
  </cols>
  <sheetData>
    <row r="1" ht="30" customHeight="1" spans="1:16" x14ac:dyDescent="0.25">
      <c r="A1" s="1" t="s">
        <v>1528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2" customHeight="1" spans="1:16" x14ac:dyDescent="0.25">
      <c r="A2" s="2" t="s">
        <v>1529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26" customHeight="1" spans="1:1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</row>
    <row r="5" ht="22" customHeight="1" spans="1:16" x14ac:dyDescent="0.25">
      <c r="A5" s="4" t="s">
        <v>1530</v>
      </c>
      <c r="B5" s="5">
        <v>28</v>
      </c>
      <c r="C5" s="6">
        <v>22</v>
      </c>
      <c r="D5" s="7">
        <v>1</v>
      </c>
      <c r="E5" s="8">
        <v>0</v>
      </c>
      <c r="F5" s="9">
        <v>0</v>
      </c>
      <c r="G5" s="10">
        <v>0</v>
      </c>
      <c r="H5" s="11">
        <v>0</v>
      </c>
      <c r="I5" s="12">
        <v>5</v>
      </c>
      <c r="J5" s="13">
        <v>1</v>
      </c>
      <c r="K5" s="14" t="s">
        <v>12</v>
      </c>
      <c r="L5" s="14" t="s">
        <v>12</v>
      </c>
      <c r="M5" s="15">
        <v>0</v>
      </c>
      <c r="N5" s="16">
        <v>0</v>
      </c>
      <c r="O5" s="17">
        <v>0</v>
      </c>
      <c r="P5" s="18" t="s">
        <v>1531</v>
      </c>
    </row>
    <row r="6" ht="22" customHeight="1" spans="1:16" x14ac:dyDescent="0.25">
      <c r="A6" s="19" t="s">
        <v>1532</v>
      </c>
      <c r="B6" s="5">
        <v>30</v>
      </c>
      <c r="C6" s="6">
        <v>24</v>
      </c>
      <c r="D6" s="7">
        <v>0</v>
      </c>
      <c r="E6" s="8">
        <v>0</v>
      </c>
      <c r="F6" s="9">
        <v>0</v>
      </c>
      <c r="G6" s="10">
        <v>0</v>
      </c>
      <c r="H6" s="11">
        <v>0</v>
      </c>
      <c r="I6" s="12">
        <v>5</v>
      </c>
      <c r="J6" s="13">
        <v>1</v>
      </c>
      <c r="K6" s="14" t="s">
        <v>12</v>
      </c>
      <c r="L6" s="14" t="s">
        <v>12</v>
      </c>
      <c r="M6" s="15">
        <v>12</v>
      </c>
      <c r="N6" s="16">
        <v>0</v>
      </c>
      <c r="O6" s="17">
        <v>12</v>
      </c>
      <c r="P6" s="18" t="s">
        <v>99</v>
      </c>
    </row>
    <row r="7" ht="22" customHeight="1" spans="1:16" x14ac:dyDescent="0.25">
      <c r="A7" s="4" t="s">
        <v>1533</v>
      </c>
      <c r="B7" s="5">
        <v>30</v>
      </c>
      <c r="C7" s="6">
        <v>18</v>
      </c>
      <c r="D7" s="7">
        <v>0</v>
      </c>
      <c r="E7" s="8">
        <v>0</v>
      </c>
      <c r="F7" s="9">
        <v>6</v>
      </c>
      <c r="G7" s="10">
        <v>6</v>
      </c>
      <c r="H7" s="11">
        <v>0</v>
      </c>
      <c r="I7" s="12">
        <v>5</v>
      </c>
      <c r="J7" s="13">
        <v>1</v>
      </c>
      <c r="K7" s="14" t="s">
        <v>12</v>
      </c>
      <c r="L7" s="14" t="s">
        <v>12</v>
      </c>
      <c r="M7" s="15">
        <v>61</v>
      </c>
      <c r="N7" s="16">
        <v>6</v>
      </c>
      <c r="O7" s="17">
        <v>55</v>
      </c>
      <c r="P7" s="18" t="s">
        <v>232</v>
      </c>
    </row>
    <row r="8" ht="22" customHeight="1" spans="1:16" x14ac:dyDescent="0.25">
      <c r="A8" s="19" t="s">
        <v>1534</v>
      </c>
      <c r="B8" s="5">
        <v>30</v>
      </c>
      <c r="C8" s="6">
        <v>22.5</v>
      </c>
      <c r="D8" s="7">
        <v>0</v>
      </c>
      <c r="E8" s="8">
        <v>1</v>
      </c>
      <c r="F8" s="9">
        <v>1</v>
      </c>
      <c r="G8" s="10">
        <v>1.5</v>
      </c>
      <c r="H8" s="11">
        <v>0</v>
      </c>
      <c r="I8" s="12">
        <v>5</v>
      </c>
      <c r="J8" s="13">
        <v>1</v>
      </c>
      <c r="K8" s="14" t="s">
        <v>12</v>
      </c>
      <c r="L8" s="14" t="s">
        <v>12</v>
      </c>
      <c r="M8" s="15">
        <v>14.5</v>
      </c>
      <c r="N8" s="16">
        <v>1.5</v>
      </c>
      <c r="O8" s="17">
        <v>13</v>
      </c>
      <c r="P8" s="18" t="s">
        <v>127</v>
      </c>
    </row>
    <row r="9" ht="22" customHeight="1" spans="1:16" x14ac:dyDescent="0.25">
      <c r="A9" s="4" t="s">
        <v>1535</v>
      </c>
      <c r="B9" s="5">
        <v>30</v>
      </c>
      <c r="C9" s="6">
        <v>24</v>
      </c>
      <c r="D9" s="7">
        <v>0</v>
      </c>
      <c r="E9" s="8">
        <v>0</v>
      </c>
      <c r="F9" s="9">
        <v>2</v>
      </c>
      <c r="G9" s="10">
        <v>2</v>
      </c>
      <c r="H9" s="11">
        <v>0</v>
      </c>
      <c r="I9" s="12">
        <v>4</v>
      </c>
      <c r="J9" s="13">
        <v>0</v>
      </c>
      <c r="K9" s="14" t="s">
        <v>12</v>
      </c>
      <c r="L9" s="14" t="s">
        <v>12</v>
      </c>
      <c r="M9" s="15">
        <v>73.5</v>
      </c>
      <c r="N9" s="16">
        <v>2</v>
      </c>
      <c r="O9" s="17">
        <v>71.5</v>
      </c>
      <c r="P9" s="18" t="s">
        <v>1157</v>
      </c>
    </row>
    <row r="10" ht="22" customHeight="1" spans="1:16" x14ac:dyDescent="0.25">
      <c r="A10" s="19" t="s">
        <v>1536</v>
      </c>
      <c r="B10" s="5">
        <v>30</v>
      </c>
      <c r="C10" s="6">
        <v>22.5</v>
      </c>
      <c r="D10" s="7">
        <v>0</v>
      </c>
      <c r="E10" s="8">
        <v>1</v>
      </c>
      <c r="F10" s="9">
        <v>1</v>
      </c>
      <c r="G10" s="10">
        <v>1.5</v>
      </c>
      <c r="H10" s="11">
        <v>0</v>
      </c>
      <c r="I10" s="12">
        <v>5</v>
      </c>
      <c r="J10" s="13">
        <v>1</v>
      </c>
      <c r="K10" s="14" t="s">
        <v>12</v>
      </c>
      <c r="L10" s="14" t="s">
        <v>12</v>
      </c>
      <c r="M10" s="15">
        <v>64</v>
      </c>
      <c r="N10" s="16">
        <v>1.5</v>
      </c>
      <c r="O10" s="17">
        <v>62.5</v>
      </c>
      <c r="P10" s="18" t="s">
        <v>429</v>
      </c>
    </row>
    <row r="11" ht="22" customHeight="1" spans="1:16" x14ac:dyDescent="0.25">
      <c r="A11" s="4" t="s">
        <v>1537</v>
      </c>
      <c r="B11" s="5">
        <v>30</v>
      </c>
      <c r="C11" s="6">
        <v>16</v>
      </c>
      <c r="D11" s="7">
        <v>0</v>
      </c>
      <c r="E11" s="8">
        <v>0</v>
      </c>
      <c r="F11" s="9">
        <v>8</v>
      </c>
      <c r="G11" s="10">
        <v>8</v>
      </c>
      <c r="H11" s="11">
        <v>0</v>
      </c>
      <c r="I11" s="12">
        <v>5</v>
      </c>
      <c r="J11" s="13">
        <v>1</v>
      </c>
      <c r="K11" s="14" t="s">
        <v>12</v>
      </c>
      <c r="L11" s="14" t="s">
        <v>12</v>
      </c>
      <c r="M11" s="15">
        <v>18</v>
      </c>
      <c r="N11" s="16">
        <v>8</v>
      </c>
      <c r="O11" s="17">
        <v>10</v>
      </c>
      <c r="P11" s="18" t="s">
        <v>429</v>
      </c>
    </row>
    <row r="12" ht="22" customHeight="1" spans="1:16" x14ac:dyDescent="0.25">
      <c r="A12" s="19" t="s">
        <v>1538</v>
      </c>
      <c r="B12" s="5">
        <v>28</v>
      </c>
      <c r="C12" s="6">
        <v>23</v>
      </c>
      <c r="D12" s="7">
        <v>0</v>
      </c>
      <c r="E12" s="8">
        <v>0</v>
      </c>
      <c r="F12" s="9">
        <v>0</v>
      </c>
      <c r="G12" s="10">
        <v>0</v>
      </c>
      <c r="H12" s="11">
        <v>2</v>
      </c>
      <c r="I12" s="12">
        <v>4</v>
      </c>
      <c r="J12" s="13">
        <v>1</v>
      </c>
      <c r="K12" s="14" t="s">
        <v>12</v>
      </c>
      <c r="L12" s="14" t="s">
        <v>12</v>
      </c>
      <c r="M12" s="15">
        <v>0</v>
      </c>
      <c r="N12" s="16">
        <v>0</v>
      </c>
      <c r="O12" s="17">
        <v>0</v>
      </c>
      <c r="P12" s="18" t="s">
        <v>414</v>
      </c>
    </row>
    <row r="13" ht="22" customHeight="1" spans="1:16" x14ac:dyDescent="0.25">
      <c r="A13" s="4" t="s">
        <v>1539</v>
      </c>
      <c r="B13" s="5">
        <v>30</v>
      </c>
      <c r="C13" s="6">
        <v>23</v>
      </c>
      <c r="D13" s="7">
        <v>0</v>
      </c>
      <c r="E13" s="8">
        <v>0</v>
      </c>
      <c r="F13" s="9">
        <v>1</v>
      </c>
      <c r="G13" s="10">
        <v>1</v>
      </c>
      <c r="H13" s="11">
        <v>0</v>
      </c>
      <c r="I13" s="12">
        <v>5</v>
      </c>
      <c r="J13" s="13">
        <v>1</v>
      </c>
      <c r="K13" s="14" t="s">
        <v>12</v>
      </c>
      <c r="L13" s="14" t="s">
        <v>12</v>
      </c>
      <c r="M13" s="15">
        <v>15.5</v>
      </c>
      <c r="N13" s="16">
        <v>1</v>
      </c>
      <c r="O13" s="17">
        <v>14.5</v>
      </c>
      <c r="P13" s="18" t="s">
        <v>99</v>
      </c>
    </row>
    <row r="14" ht="22" customHeight="1" spans="1:16" x14ac:dyDescent="0.25">
      <c r="A14" s="19" t="s">
        <v>1540</v>
      </c>
      <c r="B14" s="5">
        <v>30</v>
      </c>
      <c r="C14" s="6">
        <v>22</v>
      </c>
      <c r="D14" s="7">
        <v>0</v>
      </c>
      <c r="E14" s="8">
        <v>0</v>
      </c>
      <c r="F14" s="9">
        <v>2</v>
      </c>
      <c r="G14" s="10">
        <v>2</v>
      </c>
      <c r="H14" s="11">
        <v>0</v>
      </c>
      <c r="I14" s="12">
        <v>5</v>
      </c>
      <c r="J14" s="13">
        <v>1</v>
      </c>
      <c r="K14" s="14" t="s">
        <v>12</v>
      </c>
      <c r="L14" s="14" t="s">
        <v>12</v>
      </c>
      <c r="M14" s="15">
        <v>13</v>
      </c>
      <c r="N14" s="16">
        <v>2</v>
      </c>
      <c r="O14" s="17">
        <v>11</v>
      </c>
      <c r="P14" s="18" t="s">
        <v>367</v>
      </c>
    </row>
    <row r="15" ht="22" customHeight="1" spans="1:16" x14ac:dyDescent="0.25">
      <c r="A15" s="4" t="s">
        <v>1541</v>
      </c>
      <c r="B15" s="5">
        <v>30</v>
      </c>
      <c r="C15" s="6">
        <v>24</v>
      </c>
      <c r="D15" s="7">
        <v>0</v>
      </c>
      <c r="E15" s="8">
        <v>0</v>
      </c>
      <c r="F15" s="9">
        <v>0</v>
      </c>
      <c r="G15" s="10">
        <v>0</v>
      </c>
      <c r="H15" s="11">
        <v>0</v>
      </c>
      <c r="I15" s="12">
        <v>5</v>
      </c>
      <c r="J15" s="13">
        <v>1</v>
      </c>
      <c r="K15" s="14" t="s">
        <v>12</v>
      </c>
      <c r="L15" s="14" t="s">
        <v>12</v>
      </c>
      <c r="M15" s="15">
        <v>0</v>
      </c>
      <c r="N15" s="16">
        <v>0</v>
      </c>
      <c r="O15" s="17">
        <v>0</v>
      </c>
      <c r="P15" s="18" t="s">
        <v>232</v>
      </c>
    </row>
    <row r="16" ht="22" customHeight="1" spans="1:16" x14ac:dyDescent="0.25">
      <c r="A16" s="19" t="s">
        <v>1542</v>
      </c>
      <c r="B16" s="5">
        <v>30</v>
      </c>
      <c r="C16" s="6">
        <v>23</v>
      </c>
      <c r="D16" s="7">
        <v>0</v>
      </c>
      <c r="E16" s="8">
        <v>0</v>
      </c>
      <c r="F16" s="9">
        <v>1</v>
      </c>
      <c r="G16" s="10">
        <v>1</v>
      </c>
      <c r="H16" s="11">
        <v>0</v>
      </c>
      <c r="I16" s="12">
        <v>5</v>
      </c>
      <c r="J16" s="13">
        <v>1</v>
      </c>
      <c r="K16" s="14" t="s">
        <v>12</v>
      </c>
      <c r="L16" s="14" t="s">
        <v>12</v>
      </c>
      <c r="M16" s="15">
        <v>21</v>
      </c>
      <c r="N16" s="16">
        <v>1</v>
      </c>
      <c r="O16" s="17">
        <v>20</v>
      </c>
      <c r="P16" s="18" t="s">
        <v>429</v>
      </c>
    </row>
    <row r="17" ht="22" customHeight="1" spans="1:16" x14ac:dyDescent="0.25">
      <c r="A17" s="4" t="s">
        <v>1543</v>
      </c>
      <c r="B17" s="5">
        <v>0</v>
      </c>
      <c r="C17" s="6">
        <v>0</v>
      </c>
      <c r="D17" s="7">
        <v>24</v>
      </c>
      <c r="E17" s="8">
        <v>0</v>
      </c>
      <c r="F17" s="9">
        <v>0</v>
      </c>
      <c r="G17" s="10">
        <v>0</v>
      </c>
      <c r="H17" s="11">
        <v>6</v>
      </c>
      <c r="I17" s="12">
        <v>0</v>
      </c>
      <c r="J17" s="13">
        <v>0</v>
      </c>
      <c r="K17" s="14" t="s">
        <v>12</v>
      </c>
      <c r="L17" s="14" t="s">
        <v>12</v>
      </c>
      <c r="M17" s="15">
        <v>0</v>
      </c>
      <c r="N17" s="16">
        <v>0</v>
      </c>
      <c r="O17" s="17">
        <v>0</v>
      </c>
      <c r="P17" s="18" t="s">
        <v>18</v>
      </c>
    </row>
    <row r="18" ht="22" customHeight="1" spans="1:16" x14ac:dyDescent="0.25">
      <c r="A18" s="19" t="s">
        <v>1544</v>
      </c>
      <c r="B18" s="5">
        <v>29.5</v>
      </c>
      <c r="C18" s="6">
        <v>26.5</v>
      </c>
      <c r="D18" s="7">
        <v>0.5</v>
      </c>
      <c r="E18" s="8">
        <v>0</v>
      </c>
      <c r="F18" s="9">
        <v>0</v>
      </c>
      <c r="G18" s="10">
        <v>0</v>
      </c>
      <c r="H18" s="11">
        <v>0</v>
      </c>
      <c r="I18" s="12">
        <v>3</v>
      </c>
      <c r="J18" s="13">
        <v>0</v>
      </c>
      <c r="K18" s="14" t="s">
        <v>12</v>
      </c>
      <c r="L18" s="14" t="s">
        <v>12</v>
      </c>
      <c r="M18" s="15">
        <v>42.5</v>
      </c>
      <c r="N18" s="16">
        <v>0</v>
      </c>
      <c r="O18" s="17">
        <v>42.5</v>
      </c>
      <c r="P18" s="18" t="s">
        <v>579</v>
      </c>
    </row>
    <row r="19" ht="22" customHeight="1" spans="1:16" x14ac:dyDescent="0.25">
      <c r="A19" s="4" t="s">
        <v>1545</v>
      </c>
      <c r="B19" s="5">
        <v>30</v>
      </c>
      <c r="C19" s="6">
        <v>24</v>
      </c>
      <c r="D19" s="7">
        <v>0</v>
      </c>
      <c r="E19" s="8">
        <v>0</v>
      </c>
      <c r="F19" s="9">
        <v>0</v>
      </c>
      <c r="G19" s="10">
        <v>0</v>
      </c>
      <c r="H19" s="11">
        <v>0</v>
      </c>
      <c r="I19" s="12">
        <v>5</v>
      </c>
      <c r="J19" s="13">
        <v>1</v>
      </c>
      <c r="K19" s="14" t="s">
        <v>12</v>
      </c>
      <c r="L19" s="14" t="s">
        <v>12</v>
      </c>
      <c r="M19" s="15">
        <v>14</v>
      </c>
      <c r="N19" s="16">
        <v>0</v>
      </c>
      <c r="O19" s="17">
        <v>14</v>
      </c>
      <c r="P19" s="18" t="s">
        <v>232</v>
      </c>
    </row>
    <row r="20" ht="22" customHeight="1" spans="1:16" x14ac:dyDescent="0.25">
      <c r="A20" s="19" t="s">
        <v>1546</v>
      </c>
      <c r="B20" s="5">
        <v>30</v>
      </c>
      <c r="C20" s="6">
        <v>15.5</v>
      </c>
      <c r="D20" s="7">
        <v>0</v>
      </c>
      <c r="E20" s="8">
        <v>1</v>
      </c>
      <c r="F20" s="9">
        <v>9</v>
      </c>
      <c r="G20" s="10">
        <v>9.5</v>
      </c>
      <c r="H20" s="11">
        <v>0</v>
      </c>
      <c r="I20" s="12">
        <v>4</v>
      </c>
      <c r="J20" s="13">
        <v>1</v>
      </c>
      <c r="K20" s="14" t="s">
        <v>12</v>
      </c>
      <c r="L20" s="14" t="s">
        <v>12</v>
      </c>
      <c r="M20" s="15">
        <v>20.5</v>
      </c>
      <c r="N20" s="16">
        <v>9.5</v>
      </c>
      <c r="O20" s="17">
        <v>11</v>
      </c>
      <c r="P20" s="18" t="s">
        <v>147</v>
      </c>
    </row>
    <row r="21" ht="22" customHeight="1" spans="1:16" x14ac:dyDescent="0.25">
      <c r="A21" s="4" t="s">
        <v>1547</v>
      </c>
      <c r="B21" s="5">
        <v>30</v>
      </c>
      <c r="C21" s="6">
        <v>24</v>
      </c>
      <c r="D21" s="7">
        <v>0</v>
      </c>
      <c r="E21" s="8">
        <v>0</v>
      </c>
      <c r="F21" s="9">
        <v>0</v>
      </c>
      <c r="G21" s="10">
        <v>0</v>
      </c>
      <c r="H21" s="11">
        <v>0</v>
      </c>
      <c r="I21" s="12">
        <v>5</v>
      </c>
      <c r="J21" s="13">
        <v>1</v>
      </c>
      <c r="K21" s="14" t="s">
        <v>12</v>
      </c>
      <c r="L21" s="14" t="s">
        <v>12</v>
      </c>
      <c r="M21" s="15">
        <v>0</v>
      </c>
      <c r="N21" s="16">
        <v>0</v>
      </c>
      <c r="O21" s="17">
        <v>0</v>
      </c>
      <c r="P21" s="18" t="s">
        <v>99</v>
      </c>
    </row>
    <row r="22" ht="22" customHeight="1" spans="1:16" x14ac:dyDescent="0.25">
      <c r="A22" s="19" t="s">
        <v>1548</v>
      </c>
      <c r="B22" s="5">
        <v>30</v>
      </c>
      <c r="C22" s="6">
        <v>22</v>
      </c>
      <c r="D22" s="7">
        <v>0</v>
      </c>
      <c r="E22" s="8">
        <v>0</v>
      </c>
      <c r="F22" s="9">
        <v>2</v>
      </c>
      <c r="G22" s="10">
        <v>2</v>
      </c>
      <c r="H22" s="11">
        <v>0</v>
      </c>
      <c r="I22" s="12">
        <v>5</v>
      </c>
      <c r="J22" s="13">
        <v>1</v>
      </c>
      <c r="K22" s="14" t="s">
        <v>12</v>
      </c>
      <c r="L22" s="14" t="s">
        <v>12</v>
      </c>
      <c r="M22" s="15">
        <v>161.5</v>
      </c>
      <c r="N22" s="16">
        <v>2</v>
      </c>
      <c r="O22" s="17">
        <v>159.5</v>
      </c>
      <c r="P22" s="18" t="s">
        <v>119</v>
      </c>
    </row>
    <row r="23" ht="22" customHeight="1" spans="1:16" x14ac:dyDescent="0.25">
      <c r="A23" s="4" t="s">
        <v>1549</v>
      </c>
      <c r="B23" s="5">
        <v>30</v>
      </c>
      <c r="C23" s="6">
        <v>23</v>
      </c>
      <c r="D23" s="7">
        <v>0</v>
      </c>
      <c r="E23" s="8">
        <v>0</v>
      </c>
      <c r="F23" s="9">
        <v>1</v>
      </c>
      <c r="G23" s="10">
        <v>1</v>
      </c>
      <c r="H23" s="11">
        <v>0</v>
      </c>
      <c r="I23" s="12">
        <v>5</v>
      </c>
      <c r="J23" s="13">
        <v>1</v>
      </c>
      <c r="K23" s="14" t="s">
        <v>12</v>
      </c>
      <c r="L23" s="14" t="s">
        <v>12</v>
      </c>
      <c r="M23" s="15">
        <v>9.5</v>
      </c>
      <c r="N23" s="16">
        <v>1</v>
      </c>
      <c r="O23" s="17">
        <v>8.5</v>
      </c>
      <c r="P23" s="18" t="s">
        <v>579</v>
      </c>
    </row>
    <row r="24" ht="22" customHeight="1" spans="1:16" x14ac:dyDescent="0.25">
      <c r="A24" s="19" t="s">
        <v>1550</v>
      </c>
      <c r="B24" s="5">
        <v>30</v>
      </c>
      <c r="C24" s="6">
        <v>20</v>
      </c>
      <c r="D24" s="7">
        <v>0</v>
      </c>
      <c r="E24" s="8">
        <v>0</v>
      </c>
      <c r="F24" s="9">
        <v>5</v>
      </c>
      <c r="G24" s="10">
        <v>5</v>
      </c>
      <c r="H24" s="11">
        <v>0</v>
      </c>
      <c r="I24" s="12">
        <v>4</v>
      </c>
      <c r="J24" s="13">
        <v>1</v>
      </c>
      <c r="K24" s="14" t="s">
        <v>12</v>
      </c>
      <c r="L24" s="14" t="s">
        <v>12</v>
      </c>
      <c r="M24" s="15">
        <v>48.5</v>
      </c>
      <c r="N24" s="16">
        <v>5</v>
      </c>
      <c r="O24" s="17">
        <v>43.5</v>
      </c>
      <c r="P24" s="18" t="s">
        <v>516</v>
      </c>
    </row>
    <row r="25" ht="22" customHeight="1" spans="1:16" x14ac:dyDescent="0.25">
      <c r="A25" s="4" t="s">
        <v>1551</v>
      </c>
      <c r="B25" s="5">
        <v>30</v>
      </c>
      <c r="C25" s="6">
        <v>24</v>
      </c>
      <c r="D25" s="7">
        <v>0</v>
      </c>
      <c r="E25" s="8">
        <v>0</v>
      </c>
      <c r="F25" s="9">
        <v>0</v>
      </c>
      <c r="G25" s="10">
        <v>0</v>
      </c>
      <c r="H25" s="11">
        <v>0</v>
      </c>
      <c r="I25" s="12">
        <v>5</v>
      </c>
      <c r="J25" s="13">
        <v>1</v>
      </c>
      <c r="K25" s="14" t="s">
        <v>12</v>
      </c>
      <c r="L25" s="14" t="s">
        <v>12</v>
      </c>
      <c r="M25" s="15">
        <v>69</v>
      </c>
      <c r="N25" s="16">
        <v>0</v>
      </c>
      <c r="O25" s="17">
        <v>69</v>
      </c>
      <c r="P25" s="18" t="s">
        <v>232</v>
      </c>
    </row>
    <row r="26" ht="22" customHeight="1" spans="1:16" x14ac:dyDescent="0.25">
      <c r="A26" s="19" t="s">
        <v>1552</v>
      </c>
      <c r="B26" s="5">
        <v>29.5</v>
      </c>
      <c r="C26" s="6">
        <v>24.5</v>
      </c>
      <c r="D26" s="7">
        <v>0</v>
      </c>
      <c r="E26" s="8">
        <v>0</v>
      </c>
      <c r="F26" s="9">
        <v>0</v>
      </c>
      <c r="G26" s="10">
        <v>0</v>
      </c>
      <c r="H26" s="11">
        <v>0.5</v>
      </c>
      <c r="I26" s="12">
        <v>4</v>
      </c>
      <c r="J26" s="13">
        <v>1</v>
      </c>
      <c r="K26" s="14" t="s">
        <v>12</v>
      </c>
      <c r="L26" s="14" t="s">
        <v>12</v>
      </c>
      <c r="M26" s="15">
        <v>1.5</v>
      </c>
      <c r="N26" s="16">
        <v>0</v>
      </c>
      <c r="O26" s="17">
        <v>1.5</v>
      </c>
      <c r="P26" s="18" t="s">
        <v>579</v>
      </c>
    </row>
    <row r="27" ht="22" customHeight="1" spans="1:16" x14ac:dyDescent="0.25">
      <c r="A27" s="4" t="s">
        <v>1553</v>
      </c>
      <c r="B27" s="5">
        <v>30</v>
      </c>
      <c r="C27" s="6">
        <v>24</v>
      </c>
      <c r="D27" s="7">
        <v>0</v>
      </c>
      <c r="E27" s="8">
        <v>0</v>
      </c>
      <c r="F27" s="9">
        <v>0</v>
      </c>
      <c r="G27" s="10">
        <v>0</v>
      </c>
      <c r="H27" s="11">
        <v>0</v>
      </c>
      <c r="I27" s="12">
        <v>5</v>
      </c>
      <c r="J27" s="13">
        <v>1</v>
      </c>
      <c r="K27" s="14" t="s">
        <v>12</v>
      </c>
      <c r="L27" s="14" t="s">
        <v>12</v>
      </c>
      <c r="M27" s="15">
        <v>0</v>
      </c>
      <c r="N27" s="16">
        <v>0</v>
      </c>
      <c r="O27" s="17">
        <v>0</v>
      </c>
      <c r="P27" s="18" t="s">
        <v>686</v>
      </c>
    </row>
    <row r="28" ht="22" customHeight="1" spans="1:16" x14ac:dyDescent="0.25">
      <c r="A28" s="19" t="s">
        <v>1554</v>
      </c>
      <c r="B28" s="5">
        <v>30</v>
      </c>
      <c r="C28" s="6">
        <v>22</v>
      </c>
      <c r="D28" s="7">
        <v>0</v>
      </c>
      <c r="E28" s="8">
        <v>0</v>
      </c>
      <c r="F28" s="9">
        <v>2</v>
      </c>
      <c r="G28" s="10">
        <v>2</v>
      </c>
      <c r="H28" s="11">
        <v>0</v>
      </c>
      <c r="I28" s="12">
        <v>5</v>
      </c>
      <c r="J28" s="13">
        <v>1</v>
      </c>
      <c r="K28" s="14" t="s">
        <v>12</v>
      </c>
      <c r="L28" s="14" t="s">
        <v>12</v>
      </c>
      <c r="M28" s="15">
        <v>6</v>
      </c>
      <c r="N28" s="16">
        <v>2</v>
      </c>
      <c r="O28" s="17">
        <v>4</v>
      </c>
      <c r="P28" s="18" t="s">
        <v>686</v>
      </c>
    </row>
    <row r="29" ht="22" customHeight="1" spans="1:16" x14ac:dyDescent="0.25">
      <c r="A29" s="4" t="s">
        <v>1555</v>
      </c>
      <c r="B29" s="5">
        <v>30</v>
      </c>
      <c r="C29" s="6">
        <v>24</v>
      </c>
      <c r="D29" s="7">
        <v>0</v>
      </c>
      <c r="E29" s="8">
        <v>0</v>
      </c>
      <c r="F29" s="9">
        <v>0</v>
      </c>
      <c r="G29" s="10">
        <v>0</v>
      </c>
      <c r="H29" s="11">
        <v>0</v>
      </c>
      <c r="I29" s="12">
        <v>5</v>
      </c>
      <c r="J29" s="13">
        <v>1</v>
      </c>
      <c r="K29" s="14" t="s">
        <v>12</v>
      </c>
      <c r="L29" s="14" t="s">
        <v>12</v>
      </c>
      <c r="M29" s="15">
        <v>0</v>
      </c>
      <c r="N29" s="16">
        <v>0</v>
      </c>
      <c r="O29" s="17">
        <v>0</v>
      </c>
      <c r="P29" s="18" t="s">
        <v>99</v>
      </c>
    </row>
    <row r="30" ht="22" customHeight="1" spans="1:16" x14ac:dyDescent="0.25">
      <c r="A30" s="19" t="s">
        <v>1556</v>
      </c>
      <c r="B30" s="5">
        <v>0</v>
      </c>
      <c r="C30" s="6">
        <v>0</v>
      </c>
      <c r="D30" s="7">
        <v>24</v>
      </c>
      <c r="E30" s="8">
        <v>0</v>
      </c>
      <c r="F30" s="9">
        <v>0</v>
      </c>
      <c r="G30" s="10">
        <v>0</v>
      </c>
      <c r="H30" s="11">
        <v>6</v>
      </c>
      <c r="I30" s="12">
        <v>0</v>
      </c>
      <c r="J30" s="13">
        <v>0</v>
      </c>
      <c r="K30" s="14" t="s">
        <v>12</v>
      </c>
      <c r="L30" s="14" t="s">
        <v>12</v>
      </c>
      <c r="M30" s="15">
        <v>0</v>
      </c>
      <c r="N30" s="16">
        <v>0</v>
      </c>
      <c r="O30" s="17">
        <v>0</v>
      </c>
      <c r="P30" s="18" t="s">
        <v>18</v>
      </c>
    </row>
    <row r="31" ht="22" customHeight="1" spans="1:16" x14ac:dyDescent="0.25">
      <c r="A31" s="4" t="s">
        <v>1557</v>
      </c>
      <c r="B31" s="5">
        <v>29.5</v>
      </c>
      <c r="C31" s="6">
        <v>22.5</v>
      </c>
      <c r="D31" s="7">
        <v>0.5</v>
      </c>
      <c r="E31" s="8">
        <v>0</v>
      </c>
      <c r="F31" s="9">
        <v>1</v>
      </c>
      <c r="G31" s="10">
        <v>1</v>
      </c>
      <c r="H31" s="11">
        <v>0</v>
      </c>
      <c r="I31" s="12">
        <v>5</v>
      </c>
      <c r="J31" s="13">
        <v>1</v>
      </c>
      <c r="K31" s="14" t="s">
        <v>12</v>
      </c>
      <c r="L31" s="14" t="s">
        <v>12</v>
      </c>
      <c r="M31" s="15">
        <v>105.5</v>
      </c>
      <c r="N31" s="16">
        <v>1</v>
      </c>
      <c r="O31" s="17">
        <v>104.5</v>
      </c>
      <c r="P31" s="18" t="s">
        <v>137</v>
      </c>
    </row>
    <row r="32" ht="22" customHeight="1" spans="1:16" x14ac:dyDescent="0.25">
      <c r="A32" s="19" t="s">
        <v>1558</v>
      </c>
      <c r="B32" s="5">
        <v>30</v>
      </c>
      <c r="C32" s="6">
        <v>23</v>
      </c>
      <c r="D32" s="7">
        <v>0</v>
      </c>
      <c r="E32" s="8">
        <v>0</v>
      </c>
      <c r="F32" s="9">
        <v>1</v>
      </c>
      <c r="G32" s="10">
        <v>1</v>
      </c>
      <c r="H32" s="11">
        <v>0</v>
      </c>
      <c r="I32" s="12">
        <v>5</v>
      </c>
      <c r="J32" s="13">
        <v>1</v>
      </c>
      <c r="K32" s="14" t="s">
        <v>12</v>
      </c>
      <c r="L32" s="14" t="s">
        <v>12</v>
      </c>
      <c r="M32" s="15">
        <v>54</v>
      </c>
      <c r="N32" s="16">
        <v>1</v>
      </c>
      <c r="O32" s="17">
        <v>53</v>
      </c>
      <c r="P32" s="18" t="s">
        <v>429</v>
      </c>
    </row>
    <row r="35" ht="26" customHeight="1" spans="1:8" x14ac:dyDescent="0.25">
      <c r="A35" s="20" t="s">
        <v>1559</v>
      </c>
      <c r="B35" s="20"/>
      <c r="C35" s="20"/>
      <c r="D35" s="20"/>
      <c r="E35" s="20"/>
      <c r="F35" s="20"/>
      <c r="G35" s="20"/>
      <c r="H35" s="20"/>
    </row>
    <row r="36" ht="22" customHeight="1" spans="1:8" x14ac:dyDescent="0.25">
      <c r="A36" s="21" t="s">
        <v>22</v>
      </c>
      <c r="B36" s="21" t="s">
        <v>23</v>
      </c>
      <c r="C36" s="21" t="s">
        <v>24</v>
      </c>
      <c r="D36" s="21" t="s">
        <v>25</v>
      </c>
      <c r="E36" s="21" t="s">
        <v>26</v>
      </c>
      <c r="F36" s="21" t="s">
        <v>27</v>
      </c>
      <c r="G36" s="21" t="s">
        <v>28</v>
      </c>
      <c r="H36" s="21" t="s">
        <v>29</v>
      </c>
    </row>
    <row r="37" ht="20" customHeight="1" spans="1:8" x14ac:dyDescent="0.25">
      <c r="A37" s="22" t="s">
        <v>30</v>
      </c>
      <c r="B37" s="22" t="s">
        <v>31</v>
      </c>
      <c r="C37" s="23" t="s">
        <v>605</v>
      </c>
      <c r="D37" s="7" t="s">
        <v>5</v>
      </c>
      <c r="E37" s="22" t="s">
        <v>12</v>
      </c>
      <c r="F37" s="22" t="s">
        <v>12</v>
      </c>
      <c r="G37" s="22" t="s">
        <v>12</v>
      </c>
      <c r="H37" s="22" t="s">
        <v>32</v>
      </c>
    </row>
    <row r="38" ht="20" customHeight="1" spans="1:8" x14ac:dyDescent="0.25">
      <c r="A38" s="24" t="s">
        <v>33</v>
      </c>
      <c r="B38" s="24" t="s">
        <v>34</v>
      </c>
      <c r="C38" s="25" t="s">
        <v>605</v>
      </c>
      <c r="D38" s="7" t="s">
        <v>5</v>
      </c>
      <c r="E38" s="24" t="s">
        <v>12</v>
      </c>
      <c r="F38" s="24" t="s">
        <v>12</v>
      </c>
      <c r="G38" s="24" t="s">
        <v>12</v>
      </c>
      <c r="H38" s="24" t="s">
        <v>32</v>
      </c>
    </row>
    <row r="39" ht="20" customHeight="1" spans="1:8" x14ac:dyDescent="0.25">
      <c r="A39" s="22" t="s">
        <v>35</v>
      </c>
      <c r="B39" s="22" t="s">
        <v>36</v>
      </c>
      <c r="C39" s="23" t="s">
        <v>605</v>
      </c>
      <c r="D39" s="6" t="s">
        <v>4</v>
      </c>
      <c r="E39" s="22" t="s">
        <v>12</v>
      </c>
      <c r="F39" s="22" t="s">
        <v>12</v>
      </c>
      <c r="G39" s="22" t="s">
        <v>12</v>
      </c>
      <c r="H39" s="22" t="s">
        <v>32</v>
      </c>
    </row>
    <row r="40" ht="20" customHeight="1" spans="1:8" x14ac:dyDescent="0.25">
      <c r="A40" s="24" t="s">
        <v>37</v>
      </c>
      <c r="B40" s="24" t="s">
        <v>38</v>
      </c>
      <c r="C40" s="25" t="s">
        <v>605</v>
      </c>
      <c r="D40" s="31" t="s">
        <v>11</v>
      </c>
      <c r="E40" s="24" t="s">
        <v>12</v>
      </c>
      <c r="F40" s="24" t="s">
        <v>12</v>
      </c>
      <c r="G40" s="24" t="s">
        <v>12</v>
      </c>
      <c r="H40" s="24" t="s">
        <v>32</v>
      </c>
    </row>
    <row r="41" ht="20" customHeight="1" spans="1:8" x14ac:dyDescent="0.25">
      <c r="A41" s="22" t="s">
        <v>39</v>
      </c>
      <c r="B41" s="22" t="s">
        <v>40</v>
      </c>
      <c r="C41" s="23" t="s">
        <v>605</v>
      </c>
      <c r="D41" s="6" t="s">
        <v>4</v>
      </c>
      <c r="E41" s="22" t="s">
        <v>12</v>
      </c>
      <c r="F41" s="22" t="s">
        <v>12</v>
      </c>
      <c r="G41" s="22" t="s">
        <v>12</v>
      </c>
      <c r="H41" s="22" t="s">
        <v>32</v>
      </c>
    </row>
    <row r="42" ht="20" customHeight="1" spans="1:8" x14ac:dyDescent="0.25">
      <c r="A42" s="24" t="s">
        <v>41</v>
      </c>
      <c r="B42" s="24" t="s">
        <v>42</v>
      </c>
      <c r="C42" s="25" t="s">
        <v>605</v>
      </c>
      <c r="D42" s="33" t="s">
        <v>86</v>
      </c>
      <c r="E42" s="24" t="s">
        <v>12</v>
      </c>
      <c r="F42" s="24" t="s">
        <v>12</v>
      </c>
      <c r="G42" s="24" t="s">
        <v>12</v>
      </c>
      <c r="H42" s="24" t="s">
        <v>32</v>
      </c>
    </row>
    <row r="43" ht="20" customHeight="1" spans="1:8" x14ac:dyDescent="0.25">
      <c r="A43" s="22" t="s">
        <v>44</v>
      </c>
      <c r="B43" s="22" t="s">
        <v>45</v>
      </c>
      <c r="C43" s="23" t="s">
        <v>605</v>
      </c>
      <c r="D43" s="6" t="s">
        <v>4</v>
      </c>
      <c r="E43" s="22" t="s">
        <v>1560</v>
      </c>
      <c r="F43" s="22" t="s">
        <v>1561</v>
      </c>
      <c r="G43" s="22" t="s">
        <v>1562</v>
      </c>
      <c r="H43" s="29" t="s">
        <v>1563</v>
      </c>
    </row>
    <row r="44" ht="20" customHeight="1" spans="1:8" x14ac:dyDescent="0.25">
      <c r="A44" s="24" t="s">
        <v>46</v>
      </c>
      <c r="B44" s="24" t="s">
        <v>31</v>
      </c>
      <c r="C44" s="25" t="s">
        <v>605</v>
      </c>
      <c r="D44" s="6" t="s">
        <v>4</v>
      </c>
      <c r="E44" s="24" t="s">
        <v>12</v>
      </c>
      <c r="F44" s="24" t="s">
        <v>12</v>
      </c>
      <c r="G44" s="24" t="s">
        <v>12</v>
      </c>
      <c r="H44" s="24" t="s">
        <v>32</v>
      </c>
    </row>
    <row r="45" ht="20" customHeight="1" spans="1:8" x14ac:dyDescent="0.25">
      <c r="A45" s="22" t="s">
        <v>47</v>
      </c>
      <c r="B45" s="22" t="s">
        <v>34</v>
      </c>
      <c r="C45" s="23" t="s">
        <v>605</v>
      </c>
      <c r="D45" s="6" t="s">
        <v>4</v>
      </c>
      <c r="E45" s="22" t="s">
        <v>1564</v>
      </c>
      <c r="F45" s="22" t="s">
        <v>993</v>
      </c>
      <c r="G45" s="22" t="s">
        <v>740</v>
      </c>
      <c r="H45" s="29" t="s">
        <v>1565</v>
      </c>
    </row>
    <row r="46" ht="20" customHeight="1" spans="1:8" x14ac:dyDescent="0.25">
      <c r="A46" s="24" t="s">
        <v>48</v>
      </c>
      <c r="B46" s="24" t="s">
        <v>36</v>
      </c>
      <c r="C46" s="25" t="s">
        <v>605</v>
      </c>
      <c r="D46" s="6" t="s">
        <v>4</v>
      </c>
      <c r="E46" s="24" t="s">
        <v>1208</v>
      </c>
      <c r="F46" s="24" t="s">
        <v>12</v>
      </c>
      <c r="G46" s="24" t="s">
        <v>889</v>
      </c>
      <c r="H46" s="34" t="s">
        <v>1209</v>
      </c>
    </row>
    <row r="47" ht="20" customHeight="1" spans="1:8" x14ac:dyDescent="0.25">
      <c r="A47" s="22" t="s">
        <v>49</v>
      </c>
      <c r="B47" s="22" t="s">
        <v>38</v>
      </c>
      <c r="C47" s="23" t="s">
        <v>605</v>
      </c>
      <c r="D47" s="6" t="s">
        <v>4</v>
      </c>
      <c r="E47" s="22" t="s">
        <v>379</v>
      </c>
      <c r="F47" s="22" t="s">
        <v>12</v>
      </c>
      <c r="G47" s="22" t="s">
        <v>889</v>
      </c>
      <c r="H47" s="29" t="s">
        <v>380</v>
      </c>
    </row>
    <row r="48" ht="20" customHeight="1" spans="1:8" x14ac:dyDescent="0.25">
      <c r="A48" s="24" t="s">
        <v>50</v>
      </c>
      <c r="B48" s="24" t="s">
        <v>40</v>
      </c>
      <c r="C48" s="25" t="s">
        <v>605</v>
      </c>
      <c r="D48" s="33" t="s">
        <v>86</v>
      </c>
      <c r="E48" s="24" t="s">
        <v>12</v>
      </c>
      <c r="F48" s="24" t="s">
        <v>12</v>
      </c>
      <c r="G48" s="24" t="s">
        <v>12</v>
      </c>
      <c r="H48" s="24" t="s">
        <v>32</v>
      </c>
    </row>
    <row r="49" ht="20" customHeight="1" spans="1:8" x14ac:dyDescent="0.25">
      <c r="A49" s="22" t="s">
        <v>51</v>
      </c>
      <c r="B49" s="22" t="s">
        <v>42</v>
      </c>
      <c r="C49" s="23" t="s">
        <v>605</v>
      </c>
      <c r="D49" s="35" t="s">
        <v>86</v>
      </c>
      <c r="E49" s="22" t="s">
        <v>12</v>
      </c>
      <c r="F49" s="22" t="s">
        <v>12</v>
      </c>
      <c r="G49" s="22" t="s">
        <v>12</v>
      </c>
      <c r="H49" s="22" t="s">
        <v>32</v>
      </c>
    </row>
    <row r="50" ht="20" customHeight="1" spans="1:8" x14ac:dyDescent="0.25">
      <c r="A50" s="24" t="s">
        <v>52</v>
      </c>
      <c r="B50" s="24" t="s">
        <v>45</v>
      </c>
      <c r="C50" s="25" t="s">
        <v>605</v>
      </c>
      <c r="D50" s="6" t="s">
        <v>4</v>
      </c>
      <c r="E50" s="24" t="s">
        <v>1441</v>
      </c>
      <c r="F50" s="24" t="s">
        <v>12</v>
      </c>
      <c r="G50" s="24" t="s">
        <v>889</v>
      </c>
      <c r="H50" s="34" t="s">
        <v>1442</v>
      </c>
    </row>
    <row r="51" ht="20" customHeight="1" spans="1:8" x14ac:dyDescent="0.25">
      <c r="A51" s="22" t="s">
        <v>53</v>
      </c>
      <c r="B51" s="22" t="s">
        <v>31</v>
      </c>
      <c r="C51" s="23" t="s">
        <v>605</v>
      </c>
      <c r="D51" s="6" t="s">
        <v>4</v>
      </c>
      <c r="E51" s="22" t="s">
        <v>409</v>
      </c>
      <c r="F51" s="22" t="s">
        <v>293</v>
      </c>
      <c r="G51" s="22" t="s">
        <v>329</v>
      </c>
      <c r="H51" s="32" t="s">
        <v>79</v>
      </c>
    </row>
    <row r="52" ht="20" customHeight="1" spans="1:8" x14ac:dyDescent="0.25">
      <c r="A52" s="24" t="s">
        <v>54</v>
      </c>
      <c r="B52" s="24" t="s">
        <v>34</v>
      </c>
      <c r="C52" s="25" t="s">
        <v>605</v>
      </c>
      <c r="D52" s="6" t="s">
        <v>4</v>
      </c>
      <c r="E52" s="24" t="s">
        <v>307</v>
      </c>
      <c r="F52" s="24" t="s">
        <v>12</v>
      </c>
      <c r="G52" s="24" t="s">
        <v>889</v>
      </c>
      <c r="H52" s="30" t="s">
        <v>79</v>
      </c>
    </row>
    <row r="53" ht="20" customHeight="1" spans="1:8" x14ac:dyDescent="0.25">
      <c r="A53" s="22" t="s">
        <v>55</v>
      </c>
      <c r="B53" s="22" t="s">
        <v>36</v>
      </c>
      <c r="C53" s="23" t="s">
        <v>605</v>
      </c>
      <c r="D53" s="6" t="s">
        <v>4</v>
      </c>
      <c r="E53" s="22" t="s">
        <v>369</v>
      </c>
      <c r="F53" s="22" t="s">
        <v>272</v>
      </c>
      <c r="G53" s="22" t="s">
        <v>1566</v>
      </c>
      <c r="H53" s="29" t="s">
        <v>1567</v>
      </c>
    </row>
    <row r="54" ht="20" customHeight="1" spans="1:8" x14ac:dyDescent="0.25">
      <c r="A54" s="24" t="s">
        <v>56</v>
      </c>
      <c r="B54" s="24" t="s">
        <v>38</v>
      </c>
      <c r="C54" s="25" t="s">
        <v>605</v>
      </c>
      <c r="D54" s="6" t="s">
        <v>4</v>
      </c>
      <c r="E54" s="24" t="s">
        <v>322</v>
      </c>
      <c r="F54" s="24" t="s">
        <v>1568</v>
      </c>
      <c r="G54" s="24" t="s">
        <v>1569</v>
      </c>
      <c r="H54" s="34" t="s">
        <v>1570</v>
      </c>
    </row>
    <row r="55" ht="20" customHeight="1" spans="1:8" x14ac:dyDescent="0.25">
      <c r="A55" s="22" t="s">
        <v>57</v>
      </c>
      <c r="B55" s="22" t="s">
        <v>40</v>
      </c>
      <c r="C55" s="23" t="s">
        <v>605</v>
      </c>
      <c r="D55" s="6" t="s">
        <v>4</v>
      </c>
      <c r="E55" s="22" t="s">
        <v>408</v>
      </c>
      <c r="F55" s="22" t="s">
        <v>12</v>
      </c>
      <c r="G55" s="22" t="s">
        <v>12</v>
      </c>
      <c r="H55" s="32" t="s">
        <v>79</v>
      </c>
    </row>
    <row r="56" ht="20" customHeight="1" spans="1:8" x14ac:dyDescent="0.25">
      <c r="A56" s="24" t="s">
        <v>58</v>
      </c>
      <c r="B56" s="24" t="s">
        <v>42</v>
      </c>
      <c r="C56" s="25" t="s">
        <v>605</v>
      </c>
      <c r="D56" s="33" t="s">
        <v>86</v>
      </c>
      <c r="E56" s="24" t="s">
        <v>12</v>
      </c>
      <c r="F56" s="24" t="s">
        <v>12</v>
      </c>
      <c r="G56" s="24" t="s">
        <v>12</v>
      </c>
      <c r="H56" s="24" t="s">
        <v>32</v>
      </c>
    </row>
    <row r="57" ht="20" customHeight="1" spans="1:8" x14ac:dyDescent="0.25">
      <c r="A57" s="22" t="s">
        <v>59</v>
      </c>
      <c r="B57" s="22" t="s">
        <v>45</v>
      </c>
      <c r="C57" s="23" t="s">
        <v>605</v>
      </c>
      <c r="D57" s="6" t="s">
        <v>4</v>
      </c>
      <c r="E57" s="22" t="s">
        <v>443</v>
      </c>
      <c r="F57" s="22" t="s">
        <v>258</v>
      </c>
      <c r="G57" s="22" t="s">
        <v>440</v>
      </c>
      <c r="H57" s="32" t="s">
        <v>79</v>
      </c>
    </row>
    <row r="58" ht="20" customHeight="1" spans="1:8" x14ac:dyDescent="0.25">
      <c r="A58" s="24" t="s">
        <v>60</v>
      </c>
      <c r="B58" s="24" t="s">
        <v>31</v>
      </c>
      <c r="C58" s="25" t="s">
        <v>605</v>
      </c>
      <c r="D58" s="6" t="s">
        <v>4</v>
      </c>
      <c r="E58" s="24" t="s">
        <v>242</v>
      </c>
      <c r="F58" s="24" t="s">
        <v>12</v>
      </c>
      <c r="G58" s="24" t="s">
        <v>889</v>
      </c>
      <c r="H58" s="34" t="s">
        <v>244</v>
      </c>
    </row>
    <row r="59" ht="20" customHeight="1" spans="1:8" x14ac:dyDescent="0.25">
      <c r="A59" s="22" t="s">
        <v>61</v>
      </c>
      <c r="B59" s="22" t="s">
        <v>34</v>
      </c>
      <c r="C59" s="23" t="s">
        <v>605</v>
      </c>
      <c r="D59" s="6" t="s">
        <v>4</v>
      </c>
      <c r="E59" s="22" t="s">
        <v>322</v>
      </c>
      <c r="F59" s="22" t="s">
        <v>322</v>
      </c>
      <c r="G59" s="22" t="s">
        <v>1038</v>
      </c>
      <c r="H59" s="29" t="s">
        <v>1571</v>
      </c>
    </row>
    <row r="60" ht="20" customHeight="1" spans="1:8" x14ac:dyDescent="0.25">
      <c r="A60" s="24" t="s">
        <v>62</v>
      </c>
      <c r="B60" s="24" t="s">
        <v>36</v>
      </c>
      <c r="C60" s="25" t="s">
        <v>605</v>
      </c>
      <c r="D60" s="6" t="s">
        <v>4</v>
      </c>
      <c r="E60" s="24" t="s">
        <v>1572</v>
      </c>
      <c r="F60" s="24" t="s">
        <v>12</v>
      </c>
      <c r="G60" s="24" t="s">
        <v>889</v>
      </c>
      <c r="H60" s="34" t="s">
        <v>1573</v>
      </c>
    </row>
    <row r="61" ht="20" customHeight="1" spans="1:8" x14ac:dyDescent="0.25">
      <c r="A61" s="22" t="s">
        <v>63</v>
      </c>
      <c r="B61" s="22" t="s">
        <v>38</v>
      </c>
      <c r="C61" s="23" t="s">
        <v>605</v>
      </c>
      <c r="D61" s="6" t="s">
        <v>4</v>
      </c>
      <c r="E61" s="22" t="s">
        <v>167</v>
      </c>
      <c r="F61" s="22" t="s">
        <v>979</v>
      </c>
      <c r="G61" s="22" t="s">
        <v>1562</v>
      </c>
      <c r="H61" s="29" t="s">
        <v>1574</v>
      </c>
    </row>
    <row r="62" ht="20" customHeight="1" spans="1:8" x14ac:dyDescent="0.25">
      <c r="A62" s="24" t="s">
        <v>64</v>
      </c>
      <c r="B62" s="24" t="s">
        <v>40</v>
      </c>
      <c r="C62" s="25" t="s">
        <v>605</v>
      </c>
      <c r="D62" s="6" t="s">
        <v>4</v>
      </c>
      <c r="E62" s="24" t="s">
        <v>1357</v>
      </c>
      <c r="F62" s="24" t="s">
        <v>12</v>
      </c>
      <c r="G62" s="24" t="s">
        <v>12</v>
      </c>
      <c r="H62" s="30" t="s">
        <v>79</v>
      </c>
    </row>
    <row r="63" ht="20" customHeight="1" spans="1:8" x14ac:dyDescent="0.25">
      <c r="A63" s="22" t="s">
        <v>65</v>
      </c>
      <c r="B63" s="22" t="s">
        <v>42</v>
      </c>
      <c r="C63" s="23" t="s">
        <v>605</v>
      </c>
      <c r="D63" s="35" t="s">
        <v>86</v>
      </c>
      <c r="E63" s="22" t="s">
        <v>12</v>
      </c>
      <c r="F63" s="22" t="s">
        <v>12</v>
      </c>
      <c r="G63" s="22" t="s">
        <v>12</v>
      </c>
      <c r="H63" s="22" t="s">
        <v>32</v>
      </c>
    </row>
    <row r="64" ht="20" customHeight="1" spans="1:8" x14ac:dyDescent="0.25">
      <c r="A64" s="24" t="s">
        <v>66</v>
      </c>
      <c r="B64" s="24" t="s">
        <v>45</v>
      </c>
      <c r="C64" s="25" t="s">
        <v>605</v>
      </c>
      <c r="D64" s="6" t="s">
        <v>4</v>
      </c>
      <c r="E64" s="24" t="s">
        <v>251</v>
      </c>
      <c r="F64" s="24" t="s">
        <v>112</v>
      </c>
      <c r="G64" s="24" t="s">
        <v>165</v>
      </c>
      <c r="H64" s="34" t="s">
        <v>253</v>
      </c>
    </row>
    <row r="65" ht="20" customHeight="1" spans="1:8" x14ac:dyDescent="0.25">
      <c r="A65" s="22" t="s">
        <v>67</v>
      </c>
      <c r="B65" s="22" t="s">
        <v>31</v>
      </c>
      <c r="C65" s="23" t="s">
        <v>605</v>
      </c>
      <c r="D65" s="6" t="s">
        <v>4</v>
      </c>
      <c r="E65" s="22" t="s">
        <v>109</v>
      </c>
      <c r="F65" s="22" t="s">
        <v>12</v>
      </c>
      <c r="G65" s="22" t="s">
        <v>12</v>
      </c>
      <c r="H65" s="32" t="s">
        <v>79</v>
      </c>
    </row>
    <row r="66" ht="20" customHeight="1" spans="1:8" x14ac:dyDescent="0.25">
      <c r="A66" s="24" t="s">
        <v>68</v>
      </c>
      <c r="B66" s="24" t="s">
        <v>34</v>
      </c>
      <c r="C66" s="25" t="s">
        <v>605</v>
      </c>
      <c r="D66" s="6" t="s">
        <v>4</v>
      </c>
      <c r="E66" s="24" t="s">
        <v>503</v>
      </c>
      <c r="F66" s="24" t="s">
        <v>398</v>
      </c>
      <c r="G66" s="24" t="s">
        <v>414</v>
      </c>
      <c r="H66" s="30" t="s">
        <v>79</v>
      </c>
    </row>
    <row r="67" ht="22" customHeight="1" spans="1:8" x14ac:dyDescent="0.25">
      <c r="A67" s="26" t="s">
        <v>69</v>
      </c>
      <c r="B67" s="26"/>
      <c r="C67" s="26"/>
      <c r="D67" s="26"/>
      <c r="E67" s="26"/>
      <c r="F67" s="26"/>
      <c r="G67" s="27" t="s">
        <v>1575</v>
      </c>
      <c r="H67" s="28" t="s">
        <v>12</v>
      </c>
    </row>
    <row r="69" ht="26" customHeight="1" spans="1:8" x14ac:dyDescent="0.25">
      <c r="A69" s="20" t="s">
        <v>1576</v>
      </c>
      <c r="B69" s="20"/>
      <c r="C69" s="20"/>
      <c r="D69" s="20"/>
      <c r="E69" s="20"/>
      <c r="F69" s="20"/>
      <c r="G69" s="20"/>
      <c r="H69" s="20"/>
    </row>
    <row r="70" ht="22" customHeight="1" spans="1:8" x14ac:dyDescent="0.25">
      <c r="A70" s="21" t="s">
        <v>22</v>
      </c>
      <c r="B70" s="21" t="s">
        <v>23</v>
      </c>
      <c r="C70" s="21" t="s">
        <v>24</v>
      </c>
      <c r="D70" s="21" t="s">
        <v>25</v>
      </c>
      <c r="E70" s="21" t="s">
        <v>26</v>
      </c>
      <c r="F70" s="21" t="s">
        <v>27</v>
      </c>
      <c r="G70" s="21" t="s">
        <v>28</v>
      </c>
      <c r="H70" s="21" t="s">
        <v>29</v>
      </c>
    </row>
    <row r="71" ht="20" customHeight="1" spans="1:8" x14ac:dyDescent="0.25">
      <c r="A71" s="22" t="s">
        <v>30</v>
      </c>
      <c r="B71" s="22" t="s">
        <v>31</v>
      </c>
      <c r="C71" s="23" t="s">
        <v>71</v>
      </c>
      <c r="D71" s="6" t="s">
        <v>4</v>
      </c>
      <c r="E71" s="22" t="s">
        <v>199</v>
      </c>
      <c r="F71" s="22" t="s">
        <v>560</v>
      </c>
      <c r="G71" s="22" t="s">
        <v>259</v>
      </c>
      <c r="H71" s="29" t="s">
        <v>200</v>
      </c>
    </row>
    <row r="72" ht="20" customHeight="1" spans="1:8" x14ac:dyDescent="0.25">
      <c r="A72" s="24" t="s">
        <v>33</v>
      </c>
      <c r="B72" s="24" t="s">
        <v>34</v>
      </c>
      <c r="C72" s="25" t="s">
        <v>71</v>
      </c>
      <c r="D72" s="6" t="s">
        <v>4</v>
      </c>
      <c r="E72" s="24" t="s">
        <v>1516</v>
      </c>
      <c r="F72" s="24" t="s">
        <v>641</v>
      </c>
      <c r="G72" s="24" t="s">
        <v>1391</v>
      </c>
      <c r="H72" s="34" t="s">
        <v>1517</v>
      </c>
    </row>
    <row r="73" ht="20" customHeight="1" spans="1:8" x14ac:dyDescent="0.25">
      <c r="A73" s="22" t="s">
        <v>35</v>
      </c>
      <c r="B73" s="22" t="s">
        <v>36</v>
      </c>
      <c r="C73" s="23" t="s">
        <v>71</v>
      </c>
      <c r="D73" s="6" t="s">
        <v>4</v>
      </c>
      <c r="E73" s="22" t="s">
        <v>208</v>
      </c>
      <c r="F73" s="22" t="s">
        <v>1577</v>
      </c>
      <c r="G73" s="22" t="s">
        <v>1578</v>
      </c>
      <c r="H73" s="29" t="s">
        <v>1579</v>
      </c>
    </row>
    <row r="74" ht="20" customHeight="1" spans="1:8" x14ac:dyDescent="0.25">
      <c r="A74" s="24" t="s">
        <v>37</v>
      </c>
      <c r="B74" s="24" t="s">
        <v>38</v>
      </c>
      <c r="C74" s="25" t="s">
        <v>71</v>
      </c>
      <c r="D74" s="31" t="s">
        <v>11</v>
      </c>
      <c r="E74" s="24" t="s">
        <v>12</v>
      </c>
      <c r="F74" s="24" t="s">
        <v>12</v>
      </c>
      <c r="G74" s="24" t="s">
        <v>12</v>
      </c>
      <c r="H74" s="24" t="s">
        <v>32</v>
      </c>
    </row>
    <row r="75" ht="20" customHeight="1" spans="1:8" x14ac:dyDescent="0.25">
      <c r="A75" s="22" t="s">
        <v>39</v>
      </c>
      <c r="B75" s="22" t="s">
        <v>40</v>
      </c>
      <c r="C75" s="23" t="s">
        <v>71</v>
      </c>
      <c r="D75" s="6" t="s">
        <v>4</v>
      </c>
      <c r="E75" s="22" t="s">
        <v>361</v>
      </c>
      <c r="F75" s="22" t="s">
        <v>376</v>
      </c>
      <c r="G75" s="22" t="s">
        <v>329</v>
      </c>
      <c r="H75" s="32" t="s">
        <v>79</v>
      </c>
    </row>
    <row r="76" ht="20" customHeight="1" spans="1:8" x14ac:dyDescent="0.25">
      <c r="A76" s="24" t="s">
        <v>41</v>
      </c>
      <c r="B76" s="24" t="s">
        <v>42</v>
      </c>
      <c r="C76" s="25" t="s">
        <v>71</v>
      </c>
      <c r="D76" s="33" t="s">
        <v>86</v>
      </c>
      <c r="E76" s="24" t="s">
        <v>12</v>
      </c>
      <c r="F76" s="24" t="s">
        <v>12</v>
      </c>
      <c r="G76" s="24" t="s">
        <v>12</v>
      </c>
      <c r="H76" s="24" t="s">
        <v>32</v>
      </c>
    </row>
    <row r="77" ht="20" customHeight="1" spans="1:8" x14ac:dyDescent="0.25">
      <c r="A77" s="22" t="s">
        <v>44</v>
      </c>
      <c r="B77" s="22" t="s">
        <v>45</v>
      </c>
      <c r="C77" s="23" t="s">
        <v>71</v>
      </c>
      <c r="D77" s="6" t="s">
        <v>4</v>
      </c>
      <c r="E77" s="22" t="s">
        <v>639</v>
      </c>
      <c r="F77" s="22" t="s">
        <v>225</v>
      </c>
      <c r="G77" s="22" t="s">
        <v>285</v>
      </c>
      <c r="H77" s="32" t="s">
        <v>79</v>
      </c>
    </row>
    <row r="78" ht="20" customHeight="1" spans="1:8" x14ac:dyDescent="0.25">
      <c r="A78" s="24" t="s">
        <v>46</v>
      </c>
      <c r="B78" s="24" t="s">
        <v>31</v>
      </c>
      <c r="C78" s="25" t="s">
        <v>71</v>
      </c>
      <c r="D78" s="6" t="s">
        <v>4</v>
      </c>
      <c r="E78" s="24" t="s">
        <v>408</v>
      </c>
      <c r="F78" s="24" t="s">
        <v>555</v>
      </c>
      <c r="G78" s="24" t="s">
        <v>414</v>
      </c>
      <c r="H78" s="34" t="s">
        <v>556</v>
      </c>
    </row>
    <row r="79" ht="20" customHeight="1" spans="1:8" x14ac:dyDescent="0.25">
      <c r="A79" s="22" t="s">
        <v>47</v>
      </c>
      <c r="B79" s="22" t="s">
        <v>34</v>
      </c>
      <c r="C79" s="23" t="s">
        <v>71</v>
      </c>
      <c r="D79" s="6" t="s">
        <v>4</v>
      </c>
      <c r="E79" s="22" t="s">
        <v>518</v>
      </c>
      <c r="F79" s="22" t="s">
        <v>153</v>
      </c>
      <c r="G79" s="22" t="s">
        <v>281</v>
      </c>
      <c r="H79" s="32" t="s">
        <v>79</v>
      </c>
    </row>
    <row r="80" ht="20" customHeight="1" spans="1:8" x14ac:dyDescent="0.25">
      <c r="A80" s="24" t="s">
        <v>48</v>
      </c>
      <c r="B80" s="24" t="s">
        <v>36</v>
      </c>
      <c r="C80" s="25" t="s">
        <v>71</v>
      </c>
      <c r="D80" s="6" t="s">
        <v>4</v>
      </c>
      <c r="E80" s="24" t="s">
        <v>576</v>
      </c>
      <c r="F80" s="24" t="s">
        <v>182</v>
      </c>
      <c r="G80" s="24" t="s">
        <v>279</v>
      </c>
      <c r="H80" s="30" t="s">
        <v>79</v>
      </c>
    </row>
    <row r="81" ht="20" customHeight="1" spans="1:8" x14ac:dyDescent="0.25">
      <c r="A81" s="22" t="s">
        <v>49</v>
      </c>
      <c r="B81" s="22" t="s">
        <v>38</v>
      </c>
      <c r="C81" s="23" t="s">
        <v>71</v>
      </c>
      <c r="D81" s="6" t="s">
        <v>4</v>
      </c>
      <c r="E81" s="22" t="s">
        <v>576</v>
      </c>
      <c r="F81" s="22" t="s">
        <v>560</v>
      </c>
      <c r="G81" s="22" t="s">
        <v>119</v>
      </c>
      <c r="H81" s="32" t="s">
        <v>79</v>
      </c>
    </row>
    <row r="82" ht="20" customHeight="1" spans="1:8" x14ac:dyDescent="0.25">
      <c r="A82" s="24" t="s">
        <v>50</v>
      </c>
      <c r="B82" s="24" t="s">
        <v>40</v>
      </c>
      <c r="C82" s="25" t="s">
        <v>71</v>
      </c>
      <c r="D82" s="33" t="s">
        <v>86</v>
      </c>
      <c r="E82" s="24" t="s">
        <v>12</v>
      </c>
      <c r="F82" s="24" t="s">
        <v>12</v>
      </c>
      <c r="G82" s="24" t="s">
        <v>12</v>
      </c>
      <c r="H82" s="24" t="s">
        <v>32</v>
      </c>
    </row>
    <row r="83" ht="20" customHeight="1" spans="1:8" x14ac:dyDescent="0.25">
      <c r="A83" s="22" t="s">
        <v>51</v>
      </c>
      <c r="B83" s="22" t="s">
        <v>42</v>
      </c>
      <c r="C83" s="23" t="s">
        <v>71</v>
      </c>
      <c r="D83" s="35" t="s">
        <v>86</v>
      </c>
      <c r="E83" s="22" t="s">
        <v>12</v>
      </c>
      <c r="F83" s="22" t="s">
        <v>12</v>
      </c>
      <c r="G83" s="22" t="s">
        <v>12</v>
      </c>
      <c r="H83" s="22" t="s">
        <v>32</v>
      </c>
    </row>
    <row r="84" ht="20" customHeight="1" spans="1:8" x14ac:dyDescent="0.25">
      <c r="A84" s="24" t="s">
        <v>52</v>
      </c>
      <c r="B84" s="24" t="s">
        <v>45</v>
      </c>
      <c r="C84" s="25" t="s">
        <v>71</v>
      </c>
      <c r="D84" s="6" t="s">
        <v>4</v>
      </c>
      <c r="E84" s="24" t="s">
        <v>1286</v>
      </c>
      <c r="F84" s="24" t="s">
        <v>182</v>
      </c>
      <c r="G84" s="24" t="s">
        <v>1580</v>
      </c>
      <c r="H84" s="34" t="s">
        <v>1287</v>
      </c>
    </row>
    <row r="85" ht="20" customHeight="1" spans="1:8" x14ac:dyDescent="0.25">
      <c r="A85" s="22" t="s">
        <v>53</v>
      </c>
      <c r="B85" s="22" t="s">
        <v>31</v>
      </c>
      <c r="C85" s="23" t="s">
        <v>71</v>
      </c>
      <c r="D85" s="6" t="s">
        <v>4</v>
      </c>
      <c r="E85" s="22" t="s">
        <v>379</v>
      </c>
      <c r="F85" s="22" t="s">
        <v>519</v>
      </c>
      <c r="G85" s="22" t="s">
        <v>180</v>
      </c>
      <c r="H85" s="29" t="s">
        <v>380</v>
      </c>
    </row>
    <row r="86" ht="20" customHeight="1" spans="1:8" x14ac:dyDescent="0.25">
      <c r="A86" s="24" t="s">
        <v>54</v>
      </c>
      <c r="B86" s="24" t="s">
        <v>34</v>
      </c>
      <c r="C86" s="25" t="s">
        <v>71</v>
      </c>
      <c r="D86" s="6" t="s">
        <v>4</v>
      </c>
      <c r="E86" s="24" t="s">
        <v>176</v>
      </c>
      <c r="F86" s="24" t="s">
        <v>157</v>
      </c>
      <c r="G86" s="24" t="s">
        <v>407</v>
      </c>
      <c r="H86" s="34" t="s">
        <v>178</v>
      </c>
    </row>
    <row r="87" ht="20" customHeight="1" spans="1:8" x14ac:dyDescent="0.25">
      <c r="A87" s="22" t="s">
        <v>55</v>
      </c>
      <c r="B87" s="22" t="s">
        <v>36</v>
      </c>
      <c r="C87" s="23" t="s">
        <v>71</v>
      </c>
      <c r="D87" s="6" t="s">
        <v>4</v>
      </c>
      <c r="E87" s="22" t="s">
        <v>228</v>
      </c>
      <c r="F87" s="22" t="s">
        <v>115</v>
      </c>
      <c r="G87" s="22" t="s">
        <v>762</v>
      </c>
      <c r="H87" s="29" t="s">
        <v>229</v>
      </c>
    </row>
    <row r="88" ht="20" customHeight="1" spans="1:8" x14ac:dyDescent="0.25">
      <c r="A88" s="24" t="s">
        <v>56</v>
      </c>
      <c r="B88" s="24" t="s">
        <v>38</v>
      </c>
      <c r="C88" s="25" t="s">
        <v>71</v>
      </c>
      <c r="D88" s="6" t="s">
        <v>4</v>
      </c>
      <c r="E88" s="24" t="s">
        <v>334</v>
      </c>
      <c r="F88" s="24" t="s">
        <v>562</v>
      </c>
      <c r="G88" s="24" t="s">
        <v>240</v>
      </c>
      <c r="H88" s="34" t="s">
        <v>337</v>
      </c>
    </row>
    <row r="89" ht="20" customHeight="1" spans="1:8" x14ac:dyDescent="0.25">
      <c r="A89" s="22" t="s">
        <v>57</v>
      </c>
      <c r="B89" s="22" t="s">
        <v>40</v>
      </c>
      <c r="C89" s="23" t="s">
        <v>71</v>
      </c>
      <c r="D89" s="6" t="s">
        <v>4</v>
      </c>
      <c r="E89" s="22" t="s">
        <v>257</v>
      </c>
      <c r="F89" s="22" t="s">
        <v>197</v>
      </c>
      <c r="G89" s="22" t="s">
        <v>137</v>
      </c>
      <c r="H89" s="29" t="s">
        <v>260</v>
      </c>
    </row>
    <row r="90" ht="20" customHeight="1" spans="1:8" x14ac:dyDescent="0.25">
      <c r="A90" s="24" t="s">
        <v>58</v>
      </c>
      <c r="B90" s="24" t="s">
        <v>42</v>
      </c>
      <c r="C90" s="25" t="s">
        <v>71</v>
      </c>
      <c r="D90" s="33" t="s">
        <v>86</v>
      </c>
      <c r="E90" s="24" t="s">
        <v>12</v>
      </c>
      <c r="F90" s="24" t="s">
        <v>12</v>
      </c>
      <c r="G90" s="24" t="s">
        <v>12</v>
      </c>
      <c r="H90" s="24" t="s">
        <v>32</v>
      </c>
    </row>
    <row r="91" ht="20" customHeight="1" spans="1:8" x14ac:dyDescent="0.25">
      <c r="A91" s="22" t="s">
        <v>59</v>
      </c>
      <c r="B91" s="22" t="s">
        <v>45</v>
      </c>
      <c r="C91" s="23" t="s">
        <v>71</v>
      </c>
      <c r="D91" s="6" t="s">
        <v>4</v>
      </c>
      <c r="E91" s="22" t="s">
        <v>359</v>
      </c>
      <c r="F91" s="22" t="s">
        <v>749</v>
      </c>
      <c r="G91" s="22" t="s">
        <v>81</v>
      </c>
      <c r="H91" s="29" t="s">
        <v>360</v>
      </c>
    </row>
    <row r="92" ht="20" customHeight="1" spans="1:8" x14ac:dyDescent="0.25">
      <c r="A92" s="24" t="s">
        <v>60</v>
      </c>
      <c r="B92" s="24" t="s">
        <v>31</v>
      </c>
      <c r="C92" s="25" t="s">
        <v>71</v>
      </c>
      <c r="D92" s="6" t="s">
        <v>4</v>
      </c>
      <c r="E92" s="24" t="s">
        <v>176</v>
      </c>
      <c r="F92" s="24" t="s">
        <v>104</v>
      </c>
      <c r="G92" s="24" t="s">
        <v>659</v>
      </c>
      <c r="H92" s="34" t="s">
        <v>178</v>
      </c>
    </row>
    <row r="93" ht="20" customHeight="1" spans="1:8" x14ac:dyDescent="0.25">
      <c r="A93" s="22" t="s">
        <v>61</v>
      </c>
      <c r="B93" s="22" t="s">
        <v>34</v>
      </c>
      <c r="C93" s="23" t="s">
        <v>71</v>
      </c>
      <c r="D93" s="6" t="s">
        <v>4</v>
      </c>
      <c r="E93" s="22" t="s">
        <v>208</v>
      </c>
      <c r="F93" s="22" t="s">
        <v>209</v>
      </c>
      <c r="G93" s="22" t="s">
        <v>290</v>
      </c>
      <c r="H93" s="29" t="s">
        <v>210</v>
      </c>
    </row>
    <row r="94" ht="20" customHeight="1" spans="1:8" x14ac:dyDescent="0.25">
      <c r="A94" s="24" t="s">
        <v>62</v>
      </c>
      <c r="B94" s="24" t="s">
        <v>36</v>
      </c>
      <c r="C94" s="25" t="s">
        <v>71</v>
      </c>
      <c r="D94" s="6" t="s">
        <v>4</v>
      </c>
      <c r="E94" s="24" t="s">
        <v>169</v>
      </c>
      <c r="F94" s="24" t="s">
        <v>412</v>
      </c>
      <c r="G94" s="24" t="s">
        <v>475</v>
      </c>
      <c r="H94" s="34" t="s">
        <v>172</v>
      </c>
    </row>
    <row r="95" ht="20" customHeight="1" spans="1:8" x14ac:dyDescent="0.25">
      <c r="A95" s="22" t="s">
        <v>63</v>
      </c>
      <c r="B95" s="22" t="s">
        <v>38</v>
      </c>
      <c r="C95" s="23" t="s">
        <v>71</v>
      </c>
      <c r="D95" s="6" t="s">
        <v>4</v>
      </c>
      <c r="E95" s="22" t="s">
        <v>547</v>
      </c>
      <c r="F95" s="22" t="s">
        <v>115</v>
      </c>
      <c r="G95" s="22" t="s">
        <v>726</v>
      </c>
      <c r="H95" s="29" t="s">
        <v>548</v>
      </c>
    </row>
    <row r="96" ht="20" customHeight="1" spans="1:8" x14ac:dyDescent="0.25">
      <c r="A96" s="24" t="s">
        <v>64</v>
      </c>
      <c r="B96" s="24" t="s">
        <v>40</v>
      </c>
      <c r="C96" s="25" t="s">
        <v>71</v>
      </c>
      <c r="D96" s="6" t="s">
        <v>4</v>
      </c>
      <c r="E96" s="24" t="s">
        <v>878</v>
      </c>
      <c r="F96" s="24" t="s">
        <v>345</v>
      </c>
      <c r="G96" s="24" t="s">
        <v>99</v>
      </c>
      <c r="H96" s="34" t="s">
        <v>879</v>
      </c>
    </row>
    <row r="97" ht="20" customHeight="1" spans="1:8" x14ac:dyDescent="0.25">
      <c r="A97" s="22" t="s">
        <v>65</v>
      </c>
      <c r="B97" s="22" t="s">
        <v>42</v>
      </c>
      <c r="C97" s="23" t="s">
        <v>71</v>
      </c>
      <c r="D97" s="35" t="s">
        <v>86</v>
      </c>
      <c r="E97" s="22" t="s">
        <v>12</v>
      </c>
      <c r="F97" s="22" t="s">
        <v>12</v>
      </c>
      <c r="G97" s="22" t="s">
        <v>12</v>
      </c>
      <c r="H97" s="22" t="s">
        <v>32</v>
      </c>
    </row>
    <row r="98" ht="20" customHeight="1" spans="1:8" x14ac:dyDescent="0.25">
      <c r="A98" s="24" t="s">
        <v>66</v>
      </c>
      <c r="B98" s="24" t="s">
        <v>45</v>
      </c>
      <c r="C98" s="25" t="s">
        <v>71</v>
      </c>
      <c r="D98" s="6" t="s">
        <v>4</v>
      </c>
      <c r="E98" s="24" t="s">
        <v>228</v>
      </c>
      <c r="F98" s="24" t="s">
        <v>193</v>
      </c>
      <c r="G98" s="24" t="s">
        <v>563</v>
      </c>
      <c r="H98" s="34" t="s">
        <v>229</v>
      </c>
    </row>
    <row r="99" ht="20" customHeight="1" spans="1:8" x14ac:dyDescent="0.25">
      <c r="A99" s="22" t="s">
        <v>67</v>
      </c>
      <c r="B99" s="22" t="s">
        <v>31</v>
      </c>
      <c r="C99" s="23" t="s">
        <v>71</v>
      </c>
      <c r="D99" s="6" t="s">
        <v>4</v>
      </c>
      <c r="E99" s="22" t="s">
        <v>199</v>
      </c>
      <c r="F99" s="22" t="s">
        <v>160</v>
      </c>
      <c r="G99" s="22" t="s">
        <v>290</v>
      </c>
      <c r="H99" s="29" t="s">
        <v>200</v>
      </c>
    </row>
    <row r="100" ht="20" customHeight="1" spans="1:8" x14ac:dyDescent="0.25">
      <c r="A100" s="24" t="s">
        <v>68</v>
      </c>
      <c r="B100" s="24" t="s">
        <v>34</v>
      </c>
      <c r="C100" s="25" t="s">
        <v>71</v>
      </c>
      <c r="D100" s="6" t="s">
        <v>4</v>
      </c>
      <c r="E100" s="24" t="s">
        <v>192</v>
      </c>
      <c r="F100" s="24" t="s">
        <v>761</v>
      </c>
      <c r="G100" s="24" t="s">
        <v>614</v>
      </c>
      <c r="H100" s="34" t="s">
        <v>195</v>
      </c>
    </row>
    <row r="101" ht="22" customHeight="1" spans="1:8" x14ac:dyDescent="0.25">
      <c r="A101" s="26" t="s">
        <v>69</v>
      </c>
      <c r="B101" s="26"/>
      <c r="C101" s="26"/>
      <c r="D101" s="26"/>
      <c r="E101" s="26"/>
      <c r="F101" s="26"/>
      <c r="G101" s="27" t="s">
        <v>1581</v>
      </c>
      <c r="H101" s="28" t="s">
        <v>12</v>
      </c>
    </row>
    <row r="103" ht="26" customHeight="1" spans="1:8" x14ac:dyDescent="0.25">
      <c r="A103" s="20" t="s">
        <v>1582</v>
      </c>
      <c r="B103" s="20"/>
      <c r="C103" s="20"/>
      <c r="D103" s="20"/>
      <c r="E103" s="20"/>
      <c r="F103" s="20"/>
      <c r="G103" s="20"/>
      <c r="H103" s="20"/>
    </row>
    <row r="104" ht="22" customHeight="1" spans="1:8" x14ac:dyDescent="0.25">
      <c r="A104" s="21" t="s">
        <v>22</v>
      </c>
      <c r="B104" s="21" t="s">
        <v>23</v>
      </c>
      <c r="C104" s="21" t="s">
        <v>24</v>
      </c>
      <c r="D104" s="21" t="s">
        <v>25</v>
      </c>
      <c r="E104" s="21" t="s">
        <v>26</v>
      </c>
      <c r="F104" s="21" t="s">
        <v>27</v>
      </c>
      <c r="G104" s="21" t="s">
        <v>28</v>
      </c>
      <c r="H104" s="21" t="s">
        <v>29</v>
      </c>
    </row>
    <row r="105" ht="20" customHeight="1" spans="1:8" x14ac:dyDescent="0.25">
      <c r="A105" s="22" t="s">
        <v>30</v>
      </c>
      <c r="B105" s="22" t="s">
        <v>31</v>
      </c>
      <c r="C105" s="23" t="s">
        <v>71</v>
      </c>
      <c r="D105" s="6" t="s">
        <v>4</v>
      </c>
      <c r="E105" s="22" t="s">
        <v>434</v>
      </c>
      <c r="F105" s="22" t="s">
        <v>384</v>
      </c>
      <c r="G105" s="22" t="s">
        <v>285</v>
      </c>
      <c r="H105" s="32" t="s">
        <v>79</v>
      </c>
    </row>
    <row r="106" ht="20" customHeight="1" spans="1:8" x14ac:dyDescent="0.25">
      <c r="A106" s="24" t="s">
        <v>33</v>
      </c>
      <c r="B106" s="24" t="s">
        <v>34</v>
      </c>
      <c r="C106" s="25" t="s">
        <v>71</v>
      </c>
      <c r="D106" s="6" t="s">
        <v>4</v>
      </c>
      <c r="E106" s="24" t="s">
        <v>356</v>
      </c>
      <c r="F106" s="24" t="s">
        <v>231</v>
      </c>
      <c r="G106" s="24" t="s">
        <v>99</v>
      </c>
      <c r="H106" s="34" t="s">
        <v>357</v>
      </c>
    </row>
    <row r="107" ht="20" customHeight="1" spans="1:8" x14ac:dyDescent="0.25">
      <c r="A107" s="22" t="s">
        <v>35</v>
      </c>
      <c r="B107" s="22" t="s">
        <v>36</v>
      </c>
      <c r="C107" s="23" t="s">
        <v>71</v>
      </c>
      <c r="D107" s="6" t="s">
        <v>4</v>
      </c>
      <c r="E107" s="22" t="s">
        <v>377</v>
      </c>
      <c r="F107" s="22" t="s">
        <v>338</v>
      </c>
      <c r="G107" s="22" t="s">
        <v>329</v>
      </c>
      <c r="H107" s="29" t="s">
        <v>378</v>
      </c>
    </row>
    <row r="108" ht="20" customHeight="1" spans="1:8" x14ac:dyDescent="0.25">
      <c r="A108" s="24" t="s">
        <v>37</v>
      </c>
      <c r="B108" s="24" t="s">
        <v>38</v>
      </c>
      <c r="C108" s="25" t="s">
        <v>71</v>
      </c>
      <c r="D108" s="31" t="s">
        <v>11</v>
      </c>
      <c r="E108" s="24" t="s">
        <v>12</v>
      </c>
      <c r="F108" s="24" t="s">
        <v>12</v>
      </c>
      <c r="G108" s="24" t="s">
        <v>12</v>
      </c>
      <c r="H108" s="24" t="s">
        <v>32</v>
      </c>
    </row>
    <row r="109" ht="20" customHeight="1" spans="1:8" x14ac:dyDescent="0.25">
      <c r="A109" s="22" t="s">
        <v>39</v>
      </c>
      <c r="B109" s="22" t="s">
        <v>40</v>
      </c>
      <c r="C109" s="23" t="s">
        <v>71</v>
      </c>
      <c r="D109" s="10" t="s">
        <v>87</v>
      </c>
      <c r="E109" s="22" t="s">
        <v>12</v>
      </c>
      <c r="F109" s="22" t="s">
        <v>12</v>
      </c>
      <c r="G109" s="22" t="s">
        <v>12</v>
      </c>
      <c r="H109" s="22" t="s">
        <v>32</v>
      </c>
    </row>
    <row r="110" ht="20" customHeight="1" spans="1:8" x14ac:dyDescent="0.25">
      <c r="A110" s="24" t="s">
        <v>41</v>
      </c>
      <c r="B110" s="24" t="s">
        <v>42</v>
      </c>
      <c r="C110" s="25" t="s">
        <v>71</v>
      </c>
      <c r="D110" s="33" t="s">
        <v>86</v>
      </c>
      <c r="E110" s="24" t="s">
        <v>12</v>
      </c>
      <c r="F110" s="24" t="s">
        <v>12</v>
      </c>
      <c r="G110" s="24" t="s">
        <v>12</v>
      </c>
      <c r="H110" s="24" t="s">
        <v>32</v>
      </c>
    </row>
    <row r="111" ht="20" customHeight="1" spans="1:8" x14ac:dyDescent="0.25">
      <c r="A111" s="22" t="s">
        <v>44</v>
      </c>
      <c r="B111" s="22" t="s">
        <v>45</v>
      </c>
      <c r="C111" s="23" t="s">
        <v>71</v>
      </c>
      <c r="D111" s="6" t="s">
        <v>4</v>
      </c>
      <c r="E111" s="22" t="s">
        <v>379</v>
      </c>
      <c r="F111" s="22" t="s">
        <v>258</v>
      </c>
      <c r="G111" s="22" t="s">
        <v>177</v>
      </c>
      <c r="H111" s="29" t="s">
        <v>380</v>
      </c>
    </row>
    <row r="112" ht="20" customHeight="1" spans="1:8" x14ac:dyDescent="0.25">
      <c r="A112" s="24" t="s">
        <v>46</v>
      </c>
      <c r="B112" s="24" t="s">
        <v>31</v>
      </c>
      <c r="C112" s="25" t="s">
        <v>71</v>
      </c>
      <c r="D112" s="6" t="s">
        <v>4</v>
      </c>
      <c r="E112" s="24" t="s">
        <v>208</v>
      </c>
      <c r="F112" s="24" t="s">
        <v>245</v>
      </c>
      <c r="G112" s="24" t="s">
        <v>165</v>
      </c>
      <c r="H112" s="34" t="s">
        <v>210</v>
      </c>
    </row>
    <row r="113" ht="20" customHeight="1" spans="1:8" x14ac:dyDescent="0.25">
      <c r="A113" s="22" t="s">
        <v>47</v>
      </c>
      <c r="B113" s="22" t="s">
        <v>34</v>
      </c>
      <c r="C113" s="23" t="s">
        <v>71</v>
      </c>
      <c r="D113" s="6" t="s">
        <v>4</v>
      </c>
      <c r="E113" s="22" t="s">
        <v>251</v>
      </c>
      <c r="F113" s="22" t="s">
        <v>153</v>
      </c>
      <c r="G113" s="22" t="s">
        <v>180</v>
      </c>
      <c r="H113" s="29" t="s">
        <v>253</v>
      </c>
    </row>
    <row r="114" ht="20" customHeight="1" spans="1:8" x14ac:dyDescent="0.25">
      <c r="A114" s="24" t="s">
        <v>48</v>
      </c>
      <c r="B114" s="24" t="s">
        <v>36</v>
      </c>
      <c r="C114" s="25" t="s">
        <v>71</v>
      </c>
      <c r="D114" s="6" t="s">
        <v>4</v>
      </c>
      <c r="E114" s="24" t="s">
        <v>242</v>
      </c>
      <c r="F114" s="24" t="s">
        <v>636</v>
      </c>
      <c r="G114" s="24" t="s">
        <v>147</v>
      </c>
      <c r="H114" s="34" t="s">
        <v>244</v>
      </c>
    </row>
    <row r="115" ht="20" customHeight="1" spans="1:8" x14ac:dyDescent="0.25">
      <c r="A115" s="22" t="s">
        <v>49</v>
      </c>
      <c r="B115" s="22" t="s">
        <v>38</v>
      </c>
      <c r="C115" s="23" t="s">
        <v>71</v>
      </c>
      <c r="D115" s="6" t="s">
        <v>4</v>
      </c>
      <c r="E115" s="22" t="s">
        <v>979</v>
      </c>
      <c r="F115" s="22" t="s">
        <v>213</v>
      </c>
      <c r="G115" s="22" t="s">
        <v>579</v>
      </c>
      <c r="H115" s="29" t="s">
        <v>982</v>
      </c>
    </row>
    <row r="116" ht="20" customHeight="1" spans="1:8" x14ac:dyDescent="0.25">
      <c r="A116" s="24" t="s">
        <v>50</v>
      </c>
      <c r="B116" s="24" t="s">
        <v>40</v>
      </c>
      <c r="C116" s="25" t="s">
        <v>71</v>
      </c>
      <c r="D116" s="33" t="s">
        <v>86</v>
      </c>
      <c r="E116" s="24" t="s">
        <v>12</v>
      </c>
      <c r="F116" s="24" t="s">
        <v>12</v>
      </c>
      <c r="G116" s="24" t="s">
        <v>12</v>
      </c>
      <c r="H116" s="24" t="s">
        <v>32</v>
      </c>
    </row>
    <row r="117" ht="20" customHeight="1" spans="1:8" x14ac:dyDescent="0.25">
      <c r="A117" s="22" t="s">
        <v>51</v>
      </c>
      <c r="B117" s="22" t="s">
        <v>42</v>
      </c>
      <c r="C117" s="23" t="s">
        <v>71</v>
      </c>
      <c r="D117" s="35" t="s">
        <v>86</v>
      </c>
      <c r="E117" s="22" t="s">
        <v>12</v>
      </c>
      <c r="F117" s="22" t="s">
        <v>12</v>
      </c>
      <c r="G117" s="22" t="s">
        <v>12</v>
      </c>
      <c r="H117" s="22" t="s">
        <v>32</v>
      </c>
    </row>
    <row r="118" ht="20" customHeight="1" spans="1:8" x14ac:dyDescent="0.25">
      <c r="A118" s="24" t="s">
        <v>52</v>
      </c>
      <c r="B118" s="24" t="s">
        <v>45</v>
      </c>
      <c r="C118" s="25" t="s">
        <v>71</v>
      </c>
      <c r="D118" s="10" t="s">
        <v>87</v>
      </c>
      <c r="E118" s="24" t="s">
        <v>12</v>
      </c>
      <c r="F118" s="24" t="s">
        <v>12</v>
      </c>
      <c r="G118" s="24" t="s">
        <v>12</v>
      </c>
      <c r="H118" s="24" t="s">
        <v>32</v>
      </c>
    </row>
    <row r="119" ht="20" customHeight="1" spans="1:8" x14ac:dyDescent="0.25">
      <c r="A119" s="22" t="s">
        <v>53</v>
      </c>
      <c r="B119" s="22" t="s">
        <v>31</v>
      </c>
      <c r="C119" s="23" t="s">
        <v>71</v>
      </c>
      <c r="D119" s="6" t="s">
        <v>4</v>
      </c>
      <c r="E119" s="22" t="s">
        <v>738</v>
      </c>
      <c r="F119" s="22" t="s">
        <v>186</v>
      </c>
      <c r="G119" s="22" t="s">
        <v>1583</v>
      </c>
      <c r="H119" s="29" t="s">
        <v>739</v>
      </c>
    </row>
    <row r="120" ht="20" customHeight="1" spans="1:8" x14ac:dyDescent="0.25">
      <c r="A120" s="24" t="s">
        <v>54</v>
      </c>
      <c r="B120" s="24" t="s">
        <v>34</v>
      </c>
      <c r="C120" s="25" t="s">
        <v>71</v>
      </c>
      <c r="D120" s="6" t="s">
        <v>4</v>
      </c>
      <c r="E120" s="24" t="s">
        <v>356</v>
      </c>
      <c r="F120" s="24" t="s">
        <v>231</v>
      </c>
      <c r="G120" s="24" t="s">
        <v>99</v>
      </c>
      <c r="H120" s="34" t="s">
        <v>357</v>
      </c>
    </row>
    <row r="121" ht="20" customHeight="1" spans="1:8" x14ac:dyDescent="0.25">
      <c r="A121" s="22" t="s">
        <v>55</v>
      </c>
      <c r="B121" s="22" t="s">
        <v>36</v>
      </c>
      <c r="C121" s="23" t="s">
        <v>71</v>
      </c>
      <c r="D121" s="6" t="s">
        <v>4</v>
      </c>
      <c r="E121" s="22" t="s">
        <v>392</v>
      </c>
      <c r="F121" s="22" t="s">
        <v>258</v>
      </c>
      <c r="G121" s="22" t="s">
        <v>285</v>
      </c>
      <c r="H121" s="29" t="s">
        <v>394</v>
      </c>
    </row>
    <row r="122" ht="20" customHeight="1" spans="1:8" x14ac:dyDescent="0.25">
      <c r="A122" s="24" t="s">
        <v>56</v>
      </c>
      <c r="B122" s="24" t="s">
        <v>38</v>
      </c>
      <c r="C122" s="25" t="s">
        <v>71</v>
      </c>
      <c r="D122" s="6" t="s">
        <v>4</v>
      </c>
      <c r="E122" s="24" t="s">
        <v>208</v>
      </c>
      <c r="F122" s="24" t="s">
        <v>12</v>
      </c>
      <c r="G122" s="24" t="s">
        <v>1584</v>
      </c>
      <c r="H122" s="34" t="s">
        <v>1283</v>
      </c>
    </row>
    <row r="123" ht="20" customHeight="1" spans="1:8" x14ac:dyDescent="0.25">
      <c r="A123" s="22" t="s">
        <v>57</v>
      </c>
      <c r="B123" s="22" t="s">
        <v>40</v>
      </c>
      <c r="C123" s="23" t="s">
        <v>71</v>
      </c>
      <c r="D123" s="6" t="s">
        <v>4</v>
      </c>
      <c r="E123" s="22" t="s">
        <v>518</v>
      </c>
      <c r="F123" s="22" t="s">
        <v>519</v>
      </c>
      <c r="G123" s="22" t="s">
        <v>130</v>
      </c>
      <c r="H123" s="32" t="s">
        <v>79</v>
      </c>
    </row>
    <row r="124" ht="20" customHeight="1" spans="1:8" x14ac:dyDescent="0.25">
      <c r="A124" s="24" t="s">
        <v>58</v>
      </c>
      <c r="B124" s="24" t="s">
        <v>42</v>
      </c>
      <c r="C124" s="25" t="s">
        <v>71</v>
      </c>
      <c r="D124" s="33" t="s">
        <v>86</v>
      </c>
      <c r="E124" s="24" t="s">
        <v>12</v>
      </c>
      <c r="F124" s="24" t="s">
        <v>12</v>
      </c>
      <c r="G124" s="24" t="s">
        <v>12</v>
      </c>
      <c r="H124" s="24" t="s">
        <v>32</v>
      </c>
    </row>
    <row r="125" ht="20" customHeight="1" spans="1:8" x14ac:dyDescent="0.25">
      <c r="A125" s="22" t="s">
        <v>59</v>
      </c>
      <c r="B125" s="22" t="s">
        <v>45</v>
      </c>
      <c r="C125" s="23" t="s">
        <v>71</v>
      </c>
      <c r="D125" s="10" t="s">
        <v>87</v>
      </c>
      <c r="E125" s="22" t="s">
        <v>12</v>
      </c>
      <c r="F125" s="22" t="s">
        <v>12</v>
      </c>
      <c r="G125" s="22" t="s">
        <v>12</v>
      </c>
      <c r="H125" s="22" t="s">
        <v>32</v>
      </c>
    </row>
    <row r="126" ht="20" customHeight="1" spans="1:8" x14ac:dyDescent="0.25">
      <c r="A126" s="24" t="s">
        <v>60</v>
      </c>
      <c r="B126" s="24" t="s">
        <v>31</v>
      </c>
      <c r="C126" s="25" t="s">
        <v>71</v>
      </c>
      <c r="D126" s="6" t="s">
        <v>4</v>
      </c>
      <c r="E126" s="24" t="s">
        <v>644</v>
      </c>
      <c r="F126" s="24" t="s">
        <v>186</v>
      </c>
      <c r="G126" s="24" t="s">
        <v>396</v>
      </c>
      <c r="H126" s="34" t="s">
        <v>645</v>
      </c>
    </row>
    <row r="127" ht="20" customHeight="1" spans="1:8" x14ac:dyDescent="0.25">
      <c r="A127" s="22" t="s">
        <v>61</v>
      </c>
      <c r="B127" s="22" t="s">
        <v>34</v>
      </c>
      <c r="C127" s="23" t="s">
        <v>71</v>
      </c>
      <c r="D127" s="6" t="s">
        <v>4</v>
      </c>
      <c r="E127" s="22" t="s">
        <v>167</v>
      </c>
      <c r="F127" s="22" t="s">
        <v>170</v>
      </c>
      <c r="G127" s="22" t="s">
        <v>646</v>
      </c>
      <c r="H127" s="29" t="s">
        <v>168</v>
      </c>
    </row>
    <row r="128" ht="20" customHeight="1" spans="1:8" x14ac:dyDescent="0.25">
      <c r="A128" s="24" t="s">
        <v>62</v>
      </c>
      <c r="B128" s="24" t="s">
        <v>36</v>
      </c>
      <c r="C128" s="25" t="s">
        <v>71</v>
      </c>
      <c r="D128" s="6" t="s">
        <v>4</v>
      </c>
      <c r="E128" s="24" t="s">
        <v>224</v>
      </c>
      <c r="F128" s="24" t="s">
        <v>170</v>
      </c>
      <c r="G128" s="24" t="s">
        <v>194</v>
      </c>
      <c r="H128" s="34" t="s">
        <v>227</v>
      </c>
    </row>
    <row r="129" ht="20" customHeight="1" spans="1:8" x14ac:dyDescent="0.25">
      <c r="A129" s="22" t="s">
        <v>63</v>
      </c>
      <c r="B129" s="22" t="s">
        <v>38</v>
      </c>
      <c r="C129" s="23" t="s">
        <v>71</v>
      </c>
      <c r="D129" s="6" t="s">
        <v>4</v>
      </c>
      <c r="E129" s="22" t="s">
        <v>348</v>
      </c>
      <c r="F129" s="22" t="s">
        <v>112</v>
      </c>
      <c r="G129" s="22" t="s">
        <v>329</v>
      </c>
      <c r="H129" s="29" t="s">
        <v>351</v>
      </c>
    </row>
    <row r="130" ht="20" customHeight="1" spans="1:8" x14ac:dyDescent="0.25">
      <c r="A130" s="24" t="s">
        <v>64</v>
      </c>
      <c r="B130" s="24" t="s">
        <v>40</v>
      </c>
      <c r="C130" s="25" t="s">
        <v>71</v>
      </c>
      <c r="D130" s="6" t="s">
        <v>4</v>
      </c>
      <c r="E130" s="24" t="s">
        <v>392</v>
      </c>
      <c r="F130" s="24" t="s">
        <v>623</v>
      </c>
      <c r="G130" s="24" t="s">
        <v>1585</v>
      </c>
      <c r="H130" s="34" t="s">
        <v>1586</v>
      </c>
    </row>
    <row r="131" ht="20" customHeight="1" spans="1:8" x14ac:dyDescent="0.25">
      <c r="A131" s="22" t="s">
        <v>65</v>
      </c>
      <c r="B131" s="22" t="s">
        <v>42</v>
      </c>
      <c r="C131" s="23" t="s">
        <v>71</v>
      </c>
      <c r="D131" s="35" t="s">
        <v>86</v>
      </c>
      <c r="E131" s="22" t="s">
        <v>12</v>
      </c>
      <c r="F131" s="22" t="s">
        <v>12</v>
      </c>
      <c r="G131" s="22" t="s">
        <v>12</v>
      </c>
      <c r="H131" s="22" t="s">
        <v>32</v>
      </c>
    </row>
    <row r="132" ht="20" customHeight="1" spans="1:8" x14ac:dyDescent="0.25">
      <c r="A132" s="24" t="s">
        <v>66</v>
      </c>
      <c r="B132" s="24" t="s">
        <v>45</v>
      </c>
      <c r="C132" s="25" t="s">
        <v>71</v>
      </c>
      <c r="D132" s="10" t="s">
        <v>87</v>
      </c>
      <c r="E132" s="24" t="s">
        <v>12</v>
      </c>
      <c r="F132" s="24" t="s">
        <v>12</v>
      </c>
      <c r="G132" s="24" t="s">
        <v>12</v>
      </c>
      <c r="H132" s="24" t="s">
        <v>32</v>
      </c>
    </row>
    <row r="133" ht="20" customHeight="1" spans="1:8" x14ac:dyDescent="0.25">
      <c r="A133" s="22" t="s">
        <v>67</v>
      </c>
      <c r="B133" s="22" t="s">
        <v>31</v>
      </c>
      <c r="C133" s="23" t="s">
        <v>71</v>
      </c>
      <c r="D133" s="10" t="s">
        <v>87</v>
      </c>
      <c r="E133" s="22" t="s">
        <v>12</v>
      </c>
      <c r="F133" s="22" t="s">
        <v>12</v>
      </c>
      <c r="G133" s="22" t="s">
        <v>12</v>
      </c>
      <c r="H133" s="22" t="s">
        <v>32</v>
      </c>
    </row>
    <row r="134" ht="20" customHeight="1" spans="1:8" x14ac:dyDescent="0.25">
      <c r="A134" s="24" t="s">
        <v>68</v>
      </c>
      <c r="B134" s="24" t="s">
        <v>34</v>
      </c>
      <c r="C134" s="25" t="s">
        <v>71</v>
      </c>
      <c r="D134" s="10" t="s">
        <v>87</v>
      </c>
      <c r="E134" s="24" t="s">
        <v>12</v>
      </c>
      <c r="F134" s="24" t="s">
        <v>12</v>
      </c>
      <c r="G134" s="24" t="s">
        <v>12</v>
      </c>
      <c r="H134" s="24" t="s">
        <v>32</v>
      </c>
    </row>
    <row r="135" ht="22" customHeight="1" spans="1:8" x14ac:dyDescent="0.25">
      <c r="A135" s="26" t="s">
        <v>69</v>
      </c>
      <c r="B135" s="26"/>
      <c r="C135" s="26"/>
      <c r="D135" s="26"/>
      <c r="E135" s="26"/>
      <c r="F135" s="26"/>
      <c r="G135" s="27" t="s">
        <v>1587</v>
      </c>
      <c r="H135" s="28" t="s">
        <v>12</v>
      </c>
    </row>
    <row r="137" ht="26" customHeight="1" spans="1:8" x14ac:dyDescent="0.25">
      <c r="A137" s="20" t="s">
        <v>1588</v>
      </c>
      <c r="B137" s="20"/>
      <c r="C137" s="20"/>
      <c r="D137" s="20"/>
      <c r="E137" s="20"/>
      <c r="F137" s="20"/>
      <c r="G137" s="20"/>
      <c r="H137" s="20"/>
    </row>
    <row r="138" ht="22" customHeight="1" spans="1:8" x14ac:dyDescent="0.25">
      <c r="A138" s="21" t="s">
        <v>22</v>
      </c>
      <c r="B138" s="21" t="s">
        <v>23</v>
      </c>
      <c r="C138" s="21" t="s">
        <v>24</v>
      </c>
      <c r="D138" s="21" t="s">
        <v>25</v>
      </c>
      <c r="E138" s="21" t="s">
        <v>26</v>
      </c>
      <c r="F138" s="21" t="s">
        <v>27</v>
      </c>
      <c r="G138" s="21" t="s">
        <v>28</v>
      </c>
      <c r="H138" s="21" t="s">
        <v>29</v>
      </c>
    </row>
    <row r="139" ht="20" customHeight="1" spans="1:8" x14ac:dyDescent="0.25">
      <c r="A139" s="22" t="s">
        <v>30</v>
      </c>
      <c r="B139" s="22" t="s">
        <v>31</v>
      </c>
      <c r="C139" s="23" t="s">
        <v>71</v>
      </c>
      <c r="D139" s="6" t="s">
        <v>4</v>
      </c>
      <c r="E139" s="22" t="s">
        <v>181</v>
      </c>
      <c r="F139" s="22" t="s">
        <v>1589</v>
      </c>
      <c r="G139" s="22" t="s">
        <v>1387</v>
      </c>
      <c r="H139" s="29" t="s">
        <v>184</v>
      </c>
    </row>
    <row r="140" ht="20" customHeight="1" spans="1:8" x14ac:dyDescent="0.25">
      <c r="A140" s="24" t="s">
        <v>33</v>
      </c>
      <c r="B140" s="24" t="s">
        <v>34</v>
      </c>
      <c r="C140" s="25" t="s">
        <v>71</v>
      </c>
      <c r="D140" s="6" t="s">
        <v>4</v>
      </c>
      <c r="E140" s="24" t="s">
        <v>334</v>
      </c>
      <c r="F140" s="24" t="s">
        <v>648</v>
      </c>
      <c r="G140" s="24" t="s">
        <v>285</v>
      </c>
      <c r="H140" s="34" t="s">
        <v>337</v>
      </c>
    </row>
    <row r="141" ht="20" customHeight="1" spans="1:8" x14ac:dyDescent="0.25">
      <c r="A141" s="22" t="s">
        <v>35</v>
      </c>
      <c r="B141" s="22" t="s">
        <v>36</v>
      </c>
      <c r="C141" s="23" t="s">
        <v>71</v>
      </c>
      <c r="D141" s="6" t="s">
        <v>4</v>
      </c>
      <c r="E141" s="22" t="s">
        <v>334</v>
      </c>
      <c r="F141" s="22" t="s">
        <v>872</v>
      </c>
      <c r="G141" s="22" t="s">
        <v>1227</v>
      </c>
      <c r="H141" s="29" t="s">
        <v>337</v>
      </c>
    </row>
    <row r="142" ht="20" customHeight="1" spans="1:8" x14ac:dyDescent="0.25">
      <c r="A142" s="24" t="s">
        <v>37</v>
      </c>
      <c r="B142" s="24" t="s">
        <v>38</v>
      </c>
      <c r="C142" s="25" t="s">
        <v>71</v>
      </c>
      <c r="D142" s="31" t="s">
        <v>11</v>
      </c>
      <c r="E142" s="24" t="s">
        <v>12</v>
      </c>
      <c r="F142" s="24" t="s">
        <v>12</v>
      </c>
      <c r="G142" s="24" t="s">
        <v>12</v>
      </c>
      <c r="H142" s="24" t="s">
        <v>32</v>
      </c>
    </row>
    <row r="143" ht="20" customHeight="1" spans="1:8" x14ac:dyDescent="0.25">
      <c r="A143" s="22" t="s">
        <v>39</v>
      </c>
      <c r="B143" s="22" t="s">
        <v>40</v>
      </c>
      <c r="C143" s="23" t="s">
        <v>71</v>
      </c>
      <c r="D143" s="6" t="s">
        <v>4</v>
      </c>
      <c r="E143" s="22" t="s">
        <v>979</v>
      </c>
      <c r="F143" s="22" t="s">
        <v>1101</v>
      </c>
      <c r="G143" s="22" t="s">
        <v>794</v>
      </c>
      <c r="H143" s="29" t="s">
        <v>982</v>
      </c>
    </row>
    <row r="144" ht="20" customHeight="1" spans="1:8" x14ac:dyDescent="0.25">
      <c r="A144" s="24" t="s">
        <v>41</v>
      </c>
      <c r="B144" s="24" t="s">
        <v>42</v>
      </c>
      <c r="C144" s="25" t="s">
        <v>71</v>
      </c>
      <c r="D144" s="33" t="s">
        <v>86</v>
      </c>
      <c r="E144" s="24" t="s">
        <v>12</v>
      </c>
      <c r="F144" s="24" t="s">
        <v>12</v>
      </c>
      <c r="G144" s="24" t="s">
        <v>12</v>
      </c>
      <c r="H144" s="24" t="s">
        <v>32</v>
      </c>
    </row>
    <row r="145" ht="20" customHeight="1" spans="1:8" x14ac:dyDescent="0.25">
      <c r="A145" s="22" t="s">
        <v>44</v>
      </c>
      <c r="B145" s="22" t="s">
        <v>45</v>
      </c>
      <c r="C145" s="23" t="s">
        <v>71</v>
      </c>
      <c r="D145" s="6" t="s">
        <v>4</v>
      </c>
      <c r="E145" s="22" t="s">
        <v>340</v>
      </c>
      <c r="F145" s="22" t="s">
        <v>1288</v>
      </c>
      <c r="G145" s="22" t="s">
        <v>281</v>
      </c>
      <c r="H145" s="29" t="s">
        <v>342</v>
      </c>
    </row>
    <row r="146" ht="20" customHeight="1" spans="1:8" x14ac:dyDescent="0.25">
      <c r="A146" s="24" t="s">
        <v>46</v>
      </c>
      <c r="B146" s="24" t="s">
        <v>31</v>
      </c>
      <c r="C146" s="25" t="s">
        <v>71</v>
      </c>
      <c r="D146" s="6" t="s">
        <v>4</v>
      </c>
      <c r="E146" s="24" t="s">
        <v>576</v>
      </c>
      <c r="F146" s="24" t="s">
        <v>648</v>
      </c>
      <c r="G146" s="24" t="s">
        <v>1590</v>
      </c>
      <c r="H146" s="30" t="s">
        <v>79</v>
      </c>
    </row>
    <row r="147" ht="20" customHeight="1" spans="1:8" x14ac:dyDescent="0.25">
      <c r="A147" s="22" t="s">
        <v>47</v>
      </c>
      <c r="B147" s="22" t="s">
        <v>34</v>
      </c>
      <c r="C147" s="23" t="s">
        <v>71</v>
      </c>
      <c r="D147" s="6" t="s">
        <v>4</v>
      </c>
      <c r="E147" s="22" t="s">
        <v>359</v>
      </c>
      <c r="F147" s="22" t="s">
        <v>759</v>
      </c>
      <c r="G147" s="22" t="s">
        <v>659</v>
      </c>
      <c r="H147" s="29" t="s">
        <v>360</v>
      </c>
    </row>
    <row r="148" ht="20" customHeight="1" spans="1:8" x14ac:dyDescent="0.25">
      <c r="A148" s="24" t="s">
        <v>48</v>
      </c>
      <c r="B148" s="24" t="s">
        <v>36</v>
      </c>
      <c r="C148" s="25" t="s">
        <v>71</v>
      </c>
      <c r="D148" s="6" t="s">
        <v>4</v>
      </c>
      <c r="E148" s="24" t="s">
        <v>939</v>
      </c>
      <c r="F148" s="24" t="s">
        <v>1228</v>
      </c>
      <c r="G148" s="24" t="s">
        <v>752</v>
      </c>
      <c r="H148" s="34" t="s">
        <v>941</v>
      </c>
    </row>
    <row r="149" ht="20" customHeight="1" spans="1:8" x14ac:dyDescent="0.25">
      <c r="A149" s="22" t="s">
        <v>49</v>
      </c>
      <c r="B149" s="22" t="s">
        <v>38</v>
      </c>
      <c r="C149" s="23" t="s">
        <v>71</v>
      </c>
      <c r="D149" s="6" t="s">
        <v>4</v>
      </c>
      <c r="E149" s="22" t="s">
        <v>199</v>
      </c>
      <c r="F149" s="22" t="s">
        <v>186</v>
      </c>
      <c r="G149" s="22" t="s">
        <v>410</v>
      </c>
      <c r="H149" s="29" t="s">
        <v>200</v>
      </c>
    </row>
    <row r="150" ht="20" customHeight="1" spans="1:8" x14ac:dyDescent="0.25">
      <c r="A150" s="24" t="s">
        <v>50</v>
      </c>
      <c r="B150" s="24" t="s">
        <v>40</v>
      </c>
      <c r="C150" s="25" t="s">
        <v>71</v>
      </c>
      <c r="D150" s="33" t="s">
        <v>86</v>
      </c>
      <c r="E150" s="24" t="s">
        <v>12</v>
      </c>
      <c r="F150" s="24" t="s">
        <v>12</v>
      </c>
      <c r="G150" s="24" t="s">
        <v>12</v>
      </c>
      <c r="H150" s="24" t="s">
        <v>32</v>
      </c>
    </row>
    <row r="151" ht="20" customHeight="1" spans="1:8" x14ac:dyDescent="0.25">
      <c r="A151" s="22" t="s">
        <v>51</v>
      </c>
      <c r="B151" s="22" t="s">
        <v>42</v>
      </c>
      <c r="C151" s="23" t="s">
        <v>71</v>
      </c>
      <c r="D151" s="35" t="s">
        <v>86</v>
      </c>
      <c r="E151" s="22" t="s">
        <v>12</v>
      </c>
      <c r="F151" s="22" t="s">
        <v>12</v>
      </c>
      <c r="G151" s="22" t="s">
        <v>12</v>
      </c>
      <c r="H151" s="22" t="s">
        <v>32</v>
      </c>
    </row>
    <row r="152" ht="20" customHeight="1" spans="1:8" x14ac:dyDescent="0.25">
      <c r="A152" s="24" t="s">
        <v>52</v>
      </c>
      <c r="B152" s="24" t="s">
        <v>45</v>
      </c>
      <c r="C152" s="25" t="s">
        <v>71</v>
      </c>
      <c r="D152" s="10" t="s">
        <v>87</v>
      </c>
      <c r="E152" s="24" t="s">
        <v>12</v>
      </c>
      <c r="F152" s="24" t="s">
        <v>12</v>
      </c>
      <c r="G152" s="24" t="s">
        <v>12</v>
      </c>
      <c r="H152" s="24" t="s">
        <v>32</v>
      </c>
    </row>
    <row r="153" ht="20" customHeight="1" spans="1:8" x14ac:dyDescent="0.25">
      <c r="A153" s="22" t="s">
        <v>53</v>
      </c>
      <c r="B153" s="22" t="s">
        <v>31</v>
      </c>
      <c r="C153" s="23" t="s">
        <v>71</v>
      </c>
      <c r="D153" s="6" t="s">
        <v>4</v>
      </c>
      <c r="E153" s="22" t="s">
        <v>1052</v>
      </c>
      <c r="F153" s="22" t="s">
        <v>1591</v>
      </c>
      <c r="G153" s="22" t="s">
        <v>279</v>
      </c>
      <c r="H153" s="29" t="s">
        <v>1592</v>
      </c>
    </row>
    <row r="154" ht="20" customHeight="1" spans="1:8" x14ac:dyDescent="0.25">
      <c r="A154" s="24" t="s">
        <v>54</v>
      </c>
      <c r="B154" s="24" t="s">
        <v>34</v>
      </c>
      <c r="C154" s="25" t="s">
        <v>71</v>
      </c>
      <c r="D154" s="6" t="s">
        <v>4</v>
      </c>
      <c r="E154" s="24" t="s">
        <v>503</v>
      </c>
      <c r="F154" s="24" t="s">
        <v>761</v>
      </c>
      <c r="G154" s="24" t="s">
        <v>572</v>
      </c>
      <c r="H154" s="30" t="s">
        <v>79</v>
      </c>
    </row>
    <row r="155" ht="20" customHeight="1" spans="1:8" x14ac:dyDescent="0.25">
      <c r="A155" s="22" t="s">
        <v>55</v>
      </c>
      <c r="B155" s="22" t="s">
        <v>36</v>
      </c>
      <c r="C155" s="23" t="s">
        <v>71</v>
      </c>
      <c r="D155" s="6" t="s">
        <v>4</v>
      </c>
      <c r="E155" s="22" t="s">
        <v>239</v>
      </c>
      <c r="F155" s="22" t="s">
        <v>641</v>
      </c>
      <c r="G155" s="22" t="s">
        <v>563</v>
      </c>
      <c r="H155" s="29" t="s">
        <v>241</v>
      </c>
    </row>
    <row r="156" ht="20" customHeight="1" spans="1:8" x14ac:dyDescent="0.25">
      <c r="A156" s="24" t="s">
        <v>56</v>
      </c>
      <c r="B156" s="24" t="s">
        <v>38</v>
      </c>
      <c r="C156" s="25" t="s">
        <v>71</v>
      </c>
      <c r="D156" s="6" t="s">
        <v>4</v>
      </c>
      <c r="E156" s="24" t="s">
        <v>958</v>
      </c>
      <c r="F156" s="24" t="s">
        <v>1098</v>
      </c>
      <c r="G156" s="24" t="s">
        <v>147</v>
      </c>
      <c r="H156" s="34" t="s">
        <v>960</v>
      </c>
    </row>
    <row r="157" ht="20" customHeight="1" spans="1:8" x14ac:dyDescent="0.25">
      <c r="A157" s="22" t="s">
        <v>57</v>
      </c>
      <c r="B157" s="22" t="s">
        <v>40</v>
      </c>
      <c r="C157" s="23" t="s">
        <v>71</v>
      </c>
      <c r="D157" s="6" t="s">
        <v>4</v>
      </c>
      <c r="E157" s="22" t="s">
        <v>1206</v>
      </c>
      <c r="F157" s="22" t="s">
        <v>1593</v>
      </c>
      <c r="G157" s="22" t="s">
        <v>440</v>
      </c>
      <c r="H157" s="29" t="s">
        <v>1207</v>
      </c>
    </row>
    <row r="158" ht="20" customHeight="1" spans="1:8" x14ac:dyDescent="0.25">
      <c r="A158" s="24" t="s">
        <v>58</v>
      </c>
      <c r="B158" s="24" t="s">
        <v>42</v>
      </c>
      <c r="C158" s="25" t="s">
        <v>71</v>
      </c>
      <c r="D158" s="33" t="s">
        <v>86</v>
      </c>
      <c r="E158" s="24" t="s">
        <v>12</v>
      </c>
      <c r="F158" s="24" t="s">
        <v>12</v>
      </c>
      <c r="G158" s="24" t="s">
        <v>12</v>
      </c>
      <c r="H158" s="24" t="s">
        <v>32</v>
      </c>
    </row>
    <row r="159" ht="20" customHeight="1" spans="1:8" x14ac:dyDescent="0.25">
      <c r="A159" s="22" t="s">
        <v>59</v>
      </c>
      <c r="B159" s="22" t="s">
        <v>45</v>
      </c>
      <c r="C159" s="23" t="s">
        <v>71</v>
      </c>
      <c r="D159" s="6" t="s">
        <v>4</v>
      </c>
      <c r="E159" s="22" t="s">
        <v>1215</v>
      </c>
      <c r="F159" s="22" t="s">
        <v>499</v>
      </c>
      <c r="G159" s="22" t="s">
        <v>194</v>
      </c>
      <c r="H159" s="29" t="s">
        <v>1217</v>
      </c>
    </row>
    <row r="160" ht="20" customHeight="1" spans="1:8" x14ac:dyDescent="0.25">
      <c r="A160" s="24" t="s">
        <v>60</v>
      </c>
      <c r="B160" s="24" t="s">
        <v>31</v>
      </c>
      <c r="C160" s="25" t="s">
        <v>71</v>
      </c>
      <c r="D160" s="36" t="s">
        <v>218</v>
      </c>
      <c r="E160" s="24" t="s">
        <v>1594</v>
      </c>
      <c r="F160" s="24" t="s">
        <v>1595</v>
      </c>
      <c r="G160" s="24" t="s">
        <v>1596</v>
      </c>
      <c r="H160" s="34" t="s">
        <v>1597</v>
      </c>
    </row>
    <row r="161" ht="20" customHeight="1" spans="1:8" x14ac:dyDescent="0.25">
      <c r="A161" s="22" t="s">
        <v>61</v>
      </c>
      <c r="B161" s="22" t="s">
        <v>34</v>
      </c>
      <c r="C161" s="23" t="s">
        <v>71</v>
      </c>
      <c r="D161" s="6" t="s">
        <v>4</v>
      </c>
      <c r="E161" s="22" t="s">
        <v>485</v>
      </c>
      <c r="F161" s="22" t="s">
        <v>1228</v>
      </c>
      <c r="G161" s="22" t="s">
        <v>281</v>
      </c>
      <c r="H161" s="29" t="s">
        <v>488</v>
      </c>
    </row>
    <row r="162" ht="20" customHeight="1" spans="1:8" x14ac:dyDescent="0.25">
      <c r="A162" s="24" t="s">
        <v>62</v>
      </c>
      <c r="B162" s="24" t="s">
        <v>36</v>
      </c>
      <c r="C162" s="25" t="s">
        <v>71</v>
      </c>
      <c r="D162" s="6" t="s">
        <v>4</v>
      </c>
      <c r="E162" s="24" t="s">
        <v>1240</v>
      </c>
      <c r="F162" s="24" t="s">
        <v>933</v>
      </c>
      <c r="G162" s="24" t="s">
        <v>740</v>
      </c>
      <c r="H162" s="34" t="s">
        <v>1241</v>
      </c>
    </row>
    <row r="163" ht="20" customHeight="1" spans="1:8" x14ac:dyDescent="0.25">
      <c r="A163" s="22" t="s">
        <v>63</v>
      </c>
      <c r="B163" s="22" t="s">
        <v>38</v>
      </c>
      <c r="C163" s="23" t="s">
        <v>71</v>
      </c>
      <c r="D163" s="6" t="s">
        <v>4</v>
      </c>
      <c r="E163" s="22" t="s">
        <v>189</v>
      </c>
      <c r="F163" s="22" t="s">
        <v>1204</v>
      </c>
      <c r="G163" s="22" t="s">
        <v>638</v>
      </c>
      <c r="H163" s="29" t="s">
        <v>191</v>
      </c>
    </row>
    <row r="164" ht="20" customHeight="1" spans="1:8" x14ac:dyDescent="0.25">
      <c r="A164" s="24" t="s">
        <v>64</v>
      </c>
      <c r="B164" s="24" t="s">
        <v>40</v>
      </c>
      <c r="C164" s="25" t="s">
        <v>71</v>
      </c>
      <c r="D164" s="6" t="s">
        <v>4</v>
      </c>
      <c r="E164" s="24" t="s">
        <v>1057</v>
      </c>
      <c r="F164" s="24" t="s">
        <v>1598</v>
      </c>
      <c r="G164" s="24" t="s">
        <v>396</v>
      </c>
      <c r="H164" s="34" t="s">
        <v>1058</v>
      </c>
    </row>
    <row r="165" ht="20" customHeight="1" spans="1:8" x14ac:dyDescent="0.25">
      <c r="A165" s="22" t="s">
        <v>65</v>
      </c>
      <c r="B165" s="22" t="s">
        <v>42</v>
      </c>
      <c r="C165" s="23" t="s">
        <v>71</v>
      </c>
      <c r="D165" s="35" t="s">
        <v>86</v>
      </c>
      <c r="E165" s="22" t="s">
        <v>12</v>
      </c>
      <c r="F165" s="22" t="s">
        <v>12</v>
      </c>
      <c r="G165" s="22" t="s">
        <v>12</v>
      </c>
      <c r="H165" s="22" t="s">
        <v>32</v>
      </c>
    </row>
    <row r="166" ht="20" customHeight="1" spans="1:8" x14ac:dyDescent="0.25">
      <c r="A166" s="24" t="s">
        <v>66</v>
      </c>
      <c r="B166" s="24" t="s">
        <v>45</v>
      </c>
      <c r="C166" s="25" t="s">
        <v>71</v>
      </c>
      <c r="D166" s="6" t="s">
        <v>4</v>
      </c>
      <c r="E166" s="24" t="s">
        <v>239</v>
      </c>
      <c r="F166" s="24" t="s">
        <v>1599</v>
      </c>
      <c r="G166" s="24" t="s">
        <v>116</v>
      </c>
      <c r="H166" s="34" t="s">
        <v>241</v>
      </c>
    </row>
    <row r="167" ht="20" customHeight="1" spans="1:8" x14ac:dyDescent="0.25">
      <c r="A167" s="22" t="s">
        <v>67</v>
      </c>
      <c r="B167" s="22" t="s">
        <v>31</v>
      </c>
      <c r="C167" s="23" t="s">
        <v>71</v>
      </c>
      <c r="D167" s="6" t="s">
        <v>4</v>
      </c>
      <c r="E167" s="22" t="s">
        <v>128</v>
      </c>
      <c r="F167" s="22" t="s">
        <v>1184</v>
      </c>
      <c r="G167" s="22" t="s">
        <v>1600</v>
      </c>
      <c r="H167" s="32" t="s">
        <v>79</v>
      </c>
    </row>
    <row r="168" ht="20" customHeight="1" spans="1:8" x14ac:dyDescent="0.25">
      <c r="A168" s="24" t="s">
        <v>68</v>
      </c>
      <c r="B168" s="24" t="s">
        <v>34</v>
      </c>
      <c r="C168" s="25" t="s">
        <v>71</v>
      </c>
      <c r="D168" s="6" t="s">
        <v>4</v>
      </c>
      <c r="E168" s="24" t="s">
        <v>1526</v>
      </c>
      <c r="F168" s="24" t="s">
        <v>741</v>
      </c>
      <c r="G168" s="24" t="s">
        <v>283</v>
      </c>
      <c r="H168" s="34" t="s">
        <v>1452</v>
      </c>
    </row>
    <row r="169" ht="22" customHeight="1" spans="1:8" x14ac:dyDescent="0.25">
      <c r="A169" s="26" t="s">
        <v>69</v>
      </c>
      <c r="B169" s="26"/>
      <c r="C169" s="26"/>
      <c r="D169" s="26"/>
      <c r="E169" s="26"/>
      <c r="F169" s="26"/>
      <c r="G169" s="27" t="s">
        <v>1601</v>
      </c>
      <c r="H169" s="28" t="s">
        <v>12</v>
      </c>
    </row>
    <row r="171" ht="26" customHeight="1" spans="1:8" x14ac:dyDescent="0.25">
      <c r="A171" s="20" t="s">
        <v>1602</v>
      </c>
      <c r="B171" s="20"/>
      <c r="C171" s="20"/>
      <c r="D171" s="20"/>
      <c r="E171" s="20"/>
      <c r="F171" s="20"/>
      <c r="G171" s="20"/>
      <c r="H171" s="20"/>
    </row>
    <row r="172" ht="22" customHeight="1" spans="1:8" x14ac:dyDescent="0.25">
      <c r="A172" s="21" t="s">
        <v>22</v>
      </c>
      <c r="B172" s="21" t="s">
        <v>23</v>
      </c>
      <c r="C172" s="21" t="s">
        <v>24</v>
      </c>
      <c r="D172" s="21" t="s">
        <v>25</v>
      </c>
      <c r="E172" s="21" t="s">
        <v>26</v>
      </c>
      <c r="F172" s="21" t="s">
        <v>27</v>
      </c>
      <c r="G172" s="21" t="s">
        <v>28</v>
      </c>
      <c r="H172" s="21" t="s">
        <v>29</v>
      </c>
    </row>
    <row r="173" ht="20" customHeight="1" spans="1:8" x14ac:dyDescent="0.25">
      <c r="A173" s="22" t="s">
        <v>30</v>
      </c>
      <c r="B173" s="22" t="s">
        <v>31</v>
      </c>
      <c r="C173" s="23" t="s">
        <v>71</v>
      </c>
      <c r="D173" s="6" t="s">
        <v>4</v>
      </c>
      <c r="E173" s="22" t="s">
        <v>515</v>
      </c>
      <c r="F173" s="22" t="s">
        <v>1472</v>
      </c>
      <c r="G173" s="22" t="s">
        <v>108</v>
      </c>
      <c r="H173" s="29" t="s">
        <v>517</v>
      </c>
    </row>
    <row r="174" ht="20" customHeight="1" spans="1:8" x14ac:dyDescent="0.25">
      <c r="A174" s="24" t="s">
        <v>33</v>
      </c>
      <c r="B174" s="24" t="s">
        <v>34</v>
      </c>
      <c r="C174" s="25" t="s">
        <v>71</v>
      </c>
      <c r="D174" s="6" t="s">
        <v>4</v>
      </c>
      <c r="E174" s="24" t="s">
        <v>257</v>
      </c>
      <c r="F174" s="24" t="s">
        <v>970</v>
      </c>
      <c r="G174" s="24" t="s">
        <v>1249</v>
      </c>
      <c r="H174" s="34" t="s">
        <v>260</v>
      </c>
    </row>
    <row r="175" ht="20" customHeight="1" spans="1:8" x14ac:dyDescent="0.25">
      <c r="A175" s="22" t="s">
        <v>35</v>
      </c>
      <c r="B175" s="22" t="s">
        <v>36</v>
      </c>
      <c r="C175" s="23" t="s">
        <v>71</v>
      </c>
      <c r="D175" s="6" t="s">
        <v>4</v>
      </c>
      <c r="E175" s="22" t="s">
        <v>361</v>
      </c>
      <c r="F175" s="22" t="s">
        <v>992</v>
      </c>
      <c r="G175" s="22" t="s">
        <v>1603</v>
      </c>
      <c r="H175" s="32" t="s">
        <v>79</v>
      </c>
    </row>
    <row r="176" ht="20" customHeight="1" spans="1:8" x14ac:dyDescent="0.25">
      <c r="A176" s="24" t="s">
        <v>37</v>
      </c>
      <c r="B176" s="24" t="s">
        <v>38</v>
      </c>
      <c r="C176" s="25" t="s">
        <v>71</v>
      </c>
      <c r="D176" s="6" t="s">
        <v>4</v>
      </c>
      <c r="E176" s="24" t="s">
        <v>169</v>
      </c>
      <c r="F176" s="24" t="s">
        <v>1438</v>
      </c>
      <c r="G176" s="24" t="s">
        <v>747</v>
      </c>
      <c r="H176" s="34" t="s">
        <v>172</v>
      </c>
    </row>
    <row r="177" ht="20" customHeight="1" spans="1:8" x14ac:dyDescent="0.25">
      <c r="A177" s="22" t="s">
        <v>39</v>
      </c>
      <c r="B177" s="22" t="s">
        <v>40</v>
      </c>
      <c r="C177" s="23" t="s">
        <v>71</v>
      </c>
      <c r="D177" s="6" t="s">
        <v>4</v>
      </c>
      <c r="E177" s="22" t="s">
        <v>1210</v>
      </c>
      <c r="F177" s="22" t="s">
        <v>1604</v>
      </c>
      <c r="G177" s="22" t="s">
        <v>1605</v>
      </c>
      <c r="H177" s="29" t="s">
        <v>1212</v>
      </c>
    </row>
    <row r="178" ht="20" customHeight="1" spans="1:8" x14ac:dyDescent="0.25">
      <c r="A178" s="24" t="s">
        <v>41</v>
      </c>
      <c r="B178" s="24" t="s">
        <v>42</v>
      </c>
      <c r="C178" s="25" t="s">
        <v>71</v>
      </c>
      <c r="D178" s="33" t="s">
        <v>86</v>
      </c>
      <c r="E178" s="24" t="s">
        <v>12</v>
      </c>
      <c r="F178" s="24" t="s">
        <v>12</v>
      </c>
      <c r="G178" s="24" t="s">
        <v>12</v>
      </c>
      <c r="H178" s="24" t="s">
        <v>32</v>
      </c>
    </row>
    <row r="179" ht="20" customHeight="1" spans="1:8" x14ac:dyDescent="0.25">
      <c r="A179" s="22" t="s">
        <v>44</v>
      </c>
      <c r="B179" s="22" t="s">
        <v>45</v>
      </c>
      <c r="C179" s="23" t="s">
        <v>71</v>
      </c>
      <c r="D179" s="6" t="s">
        <v>4</v>
      </c>
      <c r="E179" s="22" t="s">
        <v>564</v>
      </c>
      <c r="F179" s="22" t="s">
        <v>931</v>
      </c>
      <c r="G179" s="22" t="s">
        <v>1165</v>
      </c>
      <c r="H179" s="32" t="s">
        <v>79</v>
      </c>
    </row>
    <row r="180" ht="20" customHeight="1" spans="1:8" x14ac:dyDescent="0.25">
      <c r="A180" s="24" t="s">
        <v>46</v>
      </c>
      <c r="B180" s="24" t="s">
        <v>31</v>
      </c>
      <c r="C180" s="25" t="s">
        <v>71</v>
      </c>
      <c r="D180" s="6" t="s">
        <v>4</v>
      </c>
      <c r="E180" s="24" t="s">
        <v>205</v>
      </c>
      <c r="F180" s="24" t="s">
        <v>1074</v>
      </c>
      <c r="G180" s="24" t="s">
        <v>313</v>
      </c>
      <c r="H180" s="34" t="s">
        <v>207</v>
      </c>
    </row>
    <row r="181" ht="20" customHeight="1" spans="1:8" x14ac:dyDescent="0.25">
      <c r="A181" s="22" t="s">
        <v>47</v>
      </c>
      <c r="B181" s="22" t="s">
        <v>34</v>
      </c>
      <c r="C181" s="23" t="s">
        <v>71</v>
      </c>
      <c r="D181" s="6" t="s">
        <v>4</v>
      </c>
      <c r="E181" s="22" t="s">
        <v>377</v>
      </c>
      <c r="F181" s="22" t="s">
        <v>1239</v>
      </c>
      <c r="G181" s="22" t="s">
        <v>1056</v>
      </c>
      <c r="H181" s="29" t="s">
        <v>378</v>
      </c>
    </row>
    <row r="182" ht="20" customHeight="1" spans="1:8" x14ac:dyDescent="0.25">
      <c r="A182" s="24" t="s">
        <v>48</v>
      </c>
      <c r="B182" s="24" t="s">
        <v>36</v>
      </c>
      <c r="C182" s="25" t="s">
        <v>71</v>
      </c>
      <c r="D182" s="10" t="s">
        <v>87</v>
      </c>
      <c r="E182" s="24" t="s">
        <v>12</v>
      </c>
      <c r="F182" s="24" t="s">
        <v>12</v>
      </c>
      <c r="G182" s="24" t="s">
        <v>12</v>
      </c>
      <c r="H182" s="24" t="s">
        <v>32</v>
      </c>
    </row>
    <row r="183" ht="20" customHeight="1" spans="1:8" x14ac:dyDescent="0.25">
      <c r="A183" s="22" t="s">
        <v>49</v>
      </c>
      <c r="B183" s="22" t="s">
        <v>38</v>
      </c>
      <c r="C183" s="23" t="s">
        <v>71</v>
      </c>
      <c r="D183" s="10" t="s">
        <v>87</v>
      </c>
      <c r="E183" s="22" t="s">
        <v>12</v>
      </c>
      <c r="F183" s="22" t="s">
        <v>12</v>
      </c>
      <c r="G183" s="22" t="s">
        <v>12</v>
      </c>
      <c r="H183" s="22" t="s">
        <v>32</v>
      </c>
    </row>
    <row r="184" ht="20" customHeight="1" spans="1:8" x14ac:dyDescent="0.25">
      <c r="A184" s="24" t="s">
        <v>50</v>
      </c>
      <c r="B184" s="24" t="s">
        <v>40</v>
      </c>
      <c r="C184" s="25" t="s">
        <v>71</v>
      </c>
      <c r="D184" s="6" t="s">
        <v>4</v>
      </c>
      <c r="E184" s="24" t="s">
        <v>397</v>
      </c>
      <c r="F184" s="24" t="s">
        <v>1351</v>
      </c>
      <c r="G184" s="24" t="s">
        <v>1606</v>
      </c>
      <c r="H184" s="30" t="s">
        <v>79</v>
      </c>
    </row>
    <row r="185" ht="20" customHeight="1" spans="1:8" x14ac:dyDescent="0.25">
      <c r="A185" s="22" t="s">
        <v>51</v>
      </c>
      <c r="B185" s="22" t="s">
        <v>42</v>
      </c>
      <c r="C185" s="23" t="s">
        <v>71</v>
      </c>
      <c r="D185" s="35" t="s">
        <v>86</v>
      </c>
      <c r="E185" s="22" t="s">
        <v>12</v>
      </c>
      <c r="F185" s="22" t="s">
        <v>12</v>
      </c>
      <c r="G185" s="22" t="s">
        <v>12</v>
      </c>
      <c r="H185" s="22" t="s">
        <v>32</v>
      </c>
    </row>
    <row r="186" ht="20" customHeight="1" spans="1:8" x14ac:dyDescent="0.25">
      <c r="A186" s="24" t="s">
        <v>52</v>
      </c>
      <c r="B186" s="24" t="s">
        <v>45</v>
      </c>
      <c r="C186" s="25" t="s">
        <v>71</v>
      </c>
      <c r="D186" s="6" t="s">
        <v>4</v>
      </c>
      <c r="E186" s="24" t="s">
        <v>234</v>
      </c>
      <c r="F186" s="24" t="s">
        <v>486</v>
      </c>
      <c r="G186" s="24" t="s">
        <v>1081</v>
      </c>
      <c r="H186" s="34" t="s">
        <v>236</v>
      </c>
    </row>
    <row r="187" ht="20" customHeight="1" spans="1:8" x14ac:dyDescent="0.25">
      <c r="A187" s="22" t="s">
        <v>53</v>
      </c>
      <c r="B187" s="22" t="s">
        <v>31</v>
      </c>
      <c r="C187" s="23" t="s">
        <v>71</v>
      </c>
      <c r="D187" s="6" t="s">
        <v>4</v>
      </c>
      <c r="E187" s="22" t="s">
        <v>564</v>
      </c>
      <c r="F187" s="22" t="s">
        <v>1599</v>
      </c>
      <c r="G187" s="22" t="s">
        <v>780</v>
      </c>
      <c r="H187" s="32" t="s">
        <v>79</v>
      </c>
    </row>
    <row r="188" ht="20" customHeight="1" spans="1:8" x14ac:dyDescent="0.25">
      <c r="A188" s="24" t="s">
        <v>54</v>
      </c>
      <c r="B188" s="24" t="s">
        <v>34</v>
      </c>
      <c r="C188" s="25" t="s">
        <v>71</v>
      </c>
      <c r="D188" s="6" t="s">
        <v>4</v>
      </c>
      <c r="E188" s="24" t="s">
        <v>515</v>
      </c>
      <c r="F188" s="24" t="s">
        <v>872</v>
      </c>
      <c r="G188" s="24" t="s">
        <v>1607</v>
      </c>
      <c r="H188" s="34" t="s">
        <v>517</v>
      </c>
    </row>
    <row r="189" ht="20" customHeight="1" spans="1:8" x14ac:dyDescent="0.25">
      <c r="A189" s="22" t="s">
        <v>55</v>
      </c>
      <c r="B189" s="22" t="s">
        <v>36</v>
      </c>
      <c r="C189" s="23" t="s">
        <v>71</v>
      </c>
      <c r="D189" s="6" t="s">
        <v>4</v>
      </c>
      <c r="E189" s="22" t="s">
        <v>322</v>
      </c>
      <c r="F189" s="22" t="s">
        <v>783</v>
      </c>
      <c r="G189" s="22" t="s">
        <v>1103</v>
      </c>
      <c r="H189" s="29" t="s">
        <v>323</v>
      </c>
    </row>
    <row r="190" ht="20" customHeight="1" spans="1:8" x14ac:dyDescent="0.25">
      <c r="A190" s="24" t="s">
        <v>56</v>
      </c>
      <c r="B190" s="24" t="s">
        <v>38</v>
      </c>
      <c r="C190" s="25" t="s">
        <v>71</v>
      </c>
      <c r="D190" s="6" t="s">
        <v>4</v>
      </c>
      <c r="E190" s="24" t="s">
        <v>405</v>
      </c>
      <c r="F190" s="24" t="s">
        <v>1293</v>
      </c>
      <c r="G190" s="24" t="s">
        <v>858</v>
      </c>
      <c r="H190" s="30" t="s">
        <v>79</v>
      </c>
    </row>
    <row r="191" ht="20" customHeight="1" spans="1:8" x14ac:dyDescent="0.25">
      <c r="A191" s="22" t="s">
        <v>57</v>
      </c>
      <c r="B191" s="22" t="s">
        <v>40</v>
      </c>
      <c r="C191" s="23" t="s">
        <v>71</v>
      </c>
      <c r="D191" s="6" t="s">
        <v>4</v>
      </c>
      <c r="E191" s="22" t="s">
        <v>163</v>
      </c>
      <c r="F191" s="22" t="s">
        <v>1428</v>
      </c>
      <c r="G191" s="22" t="s">
        <v>1081</v>
      </c>
      <c r="H191" s="29" t="s">
        <v>166</v>
      </c>
    </row>
    <row r="192" ht="20" customHeight="1" spans="1:8" x14ac:dyDescent="0.25">
      <c r="A192" s="24" t="s">
        <v>58</v>
      </c>
      <c r="B192" s="24" t="s">
        <v>42</v>
      </c>
      <c r="C192" s="25" t="s">
        <v>71</v>
      </c>
      <c r="D192" s="33" t="s">
        <v>86</v>
      </c>
      <c r="E192" s="24" t="s">
        <v>12</v>
      </c>
      <c r="F192" s="24" t="s">
        <v>12</v>
      </c>
      <c r="G192" s="24" t="s">
        <v>12</v>
      </c>
      <c r="H192" s="24" t="s">
        <v>32</v>
      </c>
    </row>
    <row r="193" ht="20" customHeight="1" spans="1:8" x14ac:dyDescent="0.25">
      <c r="A193" s="22" t="s">
        <v>59</v>
      </c>
      <c r="B193" s="22" t="s">
        <v>45</v>
      </c>
      <c r="C193" s="23" t="s">
        <v>71</v>
      </c>
      <c r="D193" s="6" t="s">
        <v>4</v>
      </c>
      <c r="E193" s="22" t="s">
        <v>832</v>
      </c>
      <c r="F193" s="22" t="s">
        <v>1304</v>
      </c>
      <c r="G193" s="22" t="s">
        <v>94</v>
      </c>
      <c r="H193" s="32" t="s">
        <v>79</v>
      </c>
    </row>
    <row r="194" ht="20" customHeight="1" spans="1:8" x14ac:dyDescent="0.25">
      <c r="A194" s="24" t="s">
        <v>60</v>
      </c>
      <c r="B194" s="24" t="s">
        <v>31</v>
      </c>
      <c r="C194" s="25" t="s">
        <v>71</v>
      </c>
      <c r="D194" s="6" t="s">
        <v>4</v>
      </c>
      <c r="E194" s="24" t="s">
        <v>387</v>
      </c>
      <c r="F194" s="24" t="s">
        <v>944</v>
      </c>
      <c r="G194" s="24" t="s">
        <v>1608</v>
      </c>
      <c r="H194" s="30" t="s">
        <v>79</v>
      </c>
    </row>
    <row r="195" ht="20" customHeight="1" spans="1:8" x14ac:dyDescent="0.25">
      <c r="A195" s="22" t="s">
        <v>61</v>
      </c>
      <c r="B195" s="22" t="s">
        <v>34</v>
      </c>
      <c r="C195" s="23" t="s">
        <v>71</v>
      </c>
      <c r="D195" s="6" t="s">
        <v>4</v>
      </c>
      <c r="E195" s="22" t="s">
        <v>411</v>
      </c>
      <c r="F195" s="22" t="s">
        <v>1599</v>
      </c>
      <c r="G195" s="22" t="s">
        <v>810</v>
      </c>
      <c r="H195" s="32" t="s">
        <v>79</v>
      </c>
    </row>
    <row r="196" ht="20" customHeight="1" spans="1:8" x14ac:dyDescent="0.25">
      <c r="A196" s="24" t="s">
        <v>62</v>
      </c>
      <c r="B196" s="24" t="s">
        <v>36</v>
      </c>
      <c r="C196" s="25" t="s">
        <v>71</v>
      </c>
      <c r="D196" s="6" t="s">
        <v>4</v>
      </c>
      <c r="E196" s="24" t="s">
        <v>372</v>
      </c>
      <c r="F196" s="24" t="s">
        <v>520</v>
      </c>
      <c r="G196" s="24" t="s">
        <v>105</v>
      </c>
      <c r="H196" s="30" t="s">
        <v>79</v>
      </c>
    </row>
    <row r="197" ht="20" customHeight="1" spans="1:8" x14ac:dyDescent="0.25">
      <c r="A197" s="22" t="s">
        <v>63</v>
      </c>
      <c r="B197" s="22" t="s">
        <v>38</v>
      </c>
      <c r="C197" s="23" t="s">
        <v>71</v>
      </c>
      <c r="D197" s="6" t="s">
        <v>4</v>
      </c>
      <c r="E197" s="22" t="s">
        <v>125</v>
      </c>
      <c r="F197" s="22" t="s">
        <v>1224</v>
      </c>
      <c r="G197" s="22" t="s">
        <v>1247</v>
      </c>
      <c r="H197" s="32" t="s">
        <v>79</v>
      </c>
    </row>
    <row r="198" ht="20" customHeight="1" spans="1:8" x14ac:dyDescent="0.25">
      <c r="A198" s="24" t="s">
        <v>64</v>
      </c>
      <c r="B198" s="24" t="s">
        <v>40</v>
      </c>
      <c r="C198" s="25" t="s">
        <v>71</v>
      </c>
      <c r="D198" s="6" t="s">
        <v>4</v>
      </c>
      <c r="E198" s="24" t="s">
        <v>397</v>
      </c>
      <c r="F198" s="24" t="s">
        <v>921</v>
      </c>
      <c r="G198" s="24" t="s">
        <v>1183</v>
      </c>
      <c r="H198" s="30" t="s">
        <v>79</v>
      </c>
    </row>
    <row r="199" ht="20" customHeight="1" spans="1:8" x14ac:dyDescent="0.25">
      <c r="A199" s="22" t="s">
        <v>65</v>
      </c>
      <c r="B199" s="22" t="s">
        <v>42</v>
      </c>
      <c r="C199" s="23" t="s">
        <v>71</v>
      </c>
      <c r="D199" s="35" t="s">
        <v>86</v>
      </c>
      <c r="E199" s="22" t="s">
        <v>12</v>
      </c>
      <c r="F199" s="22" t="s">
        <v>12</v>
      </c>
      <c r="G199" s="22" t="s">
        <v>12</v>
      </c>
      <c r="H199" s="22" t="s">
        <v>32</v>
      </c>
    </row>
    <row r="200" ht="20" customHeight="1" spans="1:8" x14ac:dyDescent="0.25">
      <c r="A200" s="24" t="s">
        <v>66</v>
      </c>
      <c r="B200" s="24" t="s">
        <v>45</v>
      </c>
      <c r="C200" s="25" t="s">
        <v>71</v>
      </c>
      <c r="D200" s="6" t="s">
        <v>4</v>
      </c>
      <c r="E200" s="24" t="s">
        <v>564</v>
      </c>
      <c r="F200" s="24" t="s">
        <v>12</v>
      </c>
      <c r="G200" s="24" t="s">
        <v>12</v>
      </c>
      <c r="H200" s="30" t="s">
        <v>79</v>
      </c>
    </row>
    <row r="201" ht="20" customHeight="1" spans="1:8" x14ac:dyDescent="0.25">
      <c r="A201" s="22" t="s">
        <v>67</v>
      </c>
      <c r="B201" s="22" t="s">
        <v>31</v>
      </c>
      <c r="C201" s="23" t="s">
        <v>71</v>
      </c>
      <c r="D201" s="6" t="s">
        <v>4</v>
      </c>
      <c r="E201" s="22" t="s">
        <v>375</v>
      </c>
      <c r="F201" s="22" t="s">
        <v>1609</v>
      </c>
      <c r="G201" s="22" t="s">
        <v>1183</v>
      </c>
      <c r="H201" s="32" t="s">
        <v>79</v>
      </c>
    </row>
    <row r="202" ht="20" customHeight="1" spans="1:8" x14ac:dyDescent="0.25">
      <c r="A202" s="24" t="s">
        <v>68</v>
      </c>
      <c r="B202" s="24" t="s">
        <v>34</v>
      </c>
      <c r="C202" s="25" t="s">
        <v>71</v>
      </c>
      <c r="D202" s="6" t="s">
        <v>4</v>
      </c>
      <c r="E202" s="24" t="s">
        <v>564</v>
      </c>
      <c r="F202" s="24" t="s">
        <v>1342</v>
      </c>
      <c r="G202" s="24" t="s">
        <v>1407</v>
      </c>
      <c r="H202" s="30" t="s">
        <v>79</v>
      </c>
    </row>
    <row r="203" ht="22" customHeight="1" spans="1:8" x14ac:dyDescent="0.25">
      <c r="A203" s="26" t="s">
        <v>69</v>
      </c>
      <c r="B203" s="26"/>
      <c r="C203" s="26"/>
      <c r="D203" s="26"/>
      <c r="E203" s="26"/>
      <c r="F203" s="26"/>
      <c r="G203" s="27" t="s">
        <v>1610</v>
      </c>
      <c r="H203" s="28" t="s">
        <v>12</v>
      </c>
    </row>
    <row r="205" ht="26" customHeight="1" spans="1:8" x14ac:dyDescent="0.25">
      <c r="A205" s="20" t="s">
        <v>1611</v>
      </c>
      <c r="B205" s="20"/>
      <c r="C205" s="20"/>
      <c r="D205" s="20"/>
      <c r="E205" s="20"/>
      <c r="F205" s="20"/>
      <c r="G205" s="20"/>
      <c r="H205" s="20"/>
    </row>
    <row r="206" ht="22" customHeight="1" spans="1:8" x14ac:dyDescent="0.25">
      <c r="A206" s="21" t="s">
        <v>22</v>
      </c>
      <c r="B206" s="21" t="s">
        <v>23</v>
      </c>
      <c r="C206" s="21" t="s">
        <v>24</v>
      </c>
      <c r="D206" s="21" t="s">
        <v>25</v>
      </c>
      <c r="E206" s="21" t="s">
        <v>26</v>
      </c>
      <c r="F206" s="21" t="s">
        <v>27</v>
      </c>
      <c r="G206" s="21" t="s">
        <v>28</v>
      </c>
      <c r="H206" s="21" t="s">
        <v>29</v>
      </c>
    </row>
    <row r="207" ht="20" customHeight="1" spans="1:8" x14ac:dyDescent="0.25">
      <c r="A207" s="22" t="s">
        <v>30</v>
      </c>
      <c r="B207" s="22" t="s">
        <v>31</v>
      </c>
      <c r="C207" s="23" t="s">
        <v>71</v>
      </c>
      <c r="D207" s="6" t="s">
        <v>4</v>
      </c>
      <c r="E207" s="22" t="s">
        <v>361</v>
      </c>
      <c r="F207" s="22" t="s">
        <v>549</v>
      </c>
      <c r="G207" s="22" t="s">
        <v>1612</v>
      </c>
      <c r="H207" s="29" t="s">
        <v>550</v>
      </c>
    </row>
    <row r="208" ht="20" customHeight="1" spans="1:8" x14ac:dyDescent="0.25">
      <c r="A208" s="24" t="s">
        <v>33</v>
      </c>
      <c r="B208" s="24" t="s">
        <v>34</v>
      </c>
      <c r="C208" s="25" t="s">
        <v>71</v>
      </c>
      <c r="D208" s="6" t="s">
        <v>4</v>
      </c>
      <c r="E208" s="24" t="s">
        <v>576</v>
      </c>
      <c r="F208" s="24" t="s">
        <v>252</v>
      </c>
      <c r="G208" s="24" t="s">
        <v>283</v>
      </c>
      <c r="H208" s="30" t="s">
        <v>79</v>
      </c>
    </row>
    <row r="209" ht="20" customHeight="1" spans="1:8" x14ac:dyDescent="0.25">
      <c r="A209" s="22" t="s">
        <v>35</v>
      </c>
      <c r="B209" s="22" t="s">
        <v>36</v>
      </c>
      <c r="C209" s="23" t="s">
        <v>71</v>
      </c>
      <c r="D209" s="6" t="s">
        <v>4</v>
      </c>
      <c r="E209" s="22" t="s">
        <v>348</v>
      </c>
      <c r="F209" s="22" t="s">
        <v>585</v>
      </c>
      <c r="G209" s="22" t="s">
        <v>545</v>
      </c>
      <c r="H209" s="29" t="s">
        <v>1613</v>
      </c>
    </row>
    <row r="210" ht="20" customHeight="1" spans="1:8" x14ac:dyDescent="0.25">
      <c r="A210" s="24" t="s">
        <v>37</v>
      </c>
      <c r="B210" s="24" t="s">
        <v>38</v>
      </c>
      <c r="C210" s="25" t="s">
        <v>71</v>
      </c>
      <c r="D210" s="31" t="s">
        <v>11</v>
      </c>
      <c r="E210" s="24" t="s">
        <v>12</v>
      </c>
      <c r="F210" s="24" t="s">
        <v>12</v>
      </c>
      <c r="G210" s="24" t="s">
        <v>12</v>
      </c>
      <c r="H210" s="24" t="s">
        <v>32</v>
      </c>
    </row>
    <row r="211" ht="20" customHeight="1" spans="1:8" x14ac:dyDescent="0.25">
      <c r="A211" s="22" t="s">
        <v>39</v>
      </c>
      <c r="B211" s="22" t="s">
        <v>40</v>
      </c>
      <c r="C211" s="23" t="s">
        <v>71</v>
      </c>
      <c r="D211" s="6" t="s">
        <v>4</v>
      </c>
      <c r="E211" s="22" t="s">
        <v>239</v>
      </c>
      <c r="F211" s="22" t="s">
        <v>1614</v>
      </c>
      <c r="G211" s="22" t="s">
        <v>1615</v>
      </c>
      <c r="H211" s="29" t="s">
        <v>1616</v>
      </c>
    </row>
    <row r="212" ht="20" customHeight="1" spans="1:8" x14ac:dyDescent="0.25">
      <c r="A212" s="24" t="s">
        <v>41</v>
      </c>
      <c r="B212" s="24" t="s">
        <v>42</v>
      </c>
      <c r="C212" s="25" t="s">
        <v>71</v>
      </c>
      <c r="D212" s="33" t="s">
        <v>86</v>
      </c>
      <c r="E212" s="24" t="s">
        <v>12</v>
      </c>
      <c r="F212" s="24" t="s">
        <v>12</v>
      </c>
      <c r="G212" s="24" t="s">
        <v>12</v>
      </c>
      <c r="H212" s="24" t="s">
        <v>32</v>
      </c>
    </row>
    <row r="213" ht="20" customHeight="1" spans="1:8" x14ac:dyDescent="0.25">
      <c r="A213" s="22" t="s">
        <v>44</v>
      </c>
      <c r="B213" s="22" t="s">
        <v>45</v>
      </c>
      <c r="C213" s="23" t="s">
        <v>71</v>
      </c>
      <c r="D213" s="6" t="s">
        <v>4</v>
      </c>
      <c r="E213" s="22" t="s">
        <v>576</v>
      </c>
      <c r="F213" s="22" t="s">
        <v>1617</v>
      </c>
      <c r="G213" s="22" t="s">
        <v>1340</v>
      </c>
      <c r="H213" s="29" t="s">
        <v>1618</v>
      </c>
    </row>
    <row r="214" ht="20" customHeight="1" spans="1:8" x14ac:dyDescent="0.25">
      <c r="A214" s="24" t="s">
        <v>46</v>
      </c>
      <c r="B214" s="24" t="s">
        <v>31</v>
      </c>
      <c r="C214" s="25" t="s">
        <v>71</v>
      </c>
      <c r="D214" s="6" t="s">
        <v>4</v>
      </c>
      <c r="E214" s="24" t="s">
        <v>392</v>
      </c>
      <c r="F214" s="24" t="s">
        <v>1619</v>
      </c>
      <c r="G214" s="24" t="s">
        <v>1620</v>
      </c>
      <c r="H214" s="34" t="s">
        <v>1621</v>
      </c>
    </row>
    <row r="215" ht="20" customHeight="1" spans="1:8" x14ac:dyDescent="0.25">
      <c r="A215" s="22" t="s">
        <v>47</v>
      </c>
      <c r="B215" s="22" t="s">
        <v>34</v>
      </c>
      <c r="C215" s="23" t="s">
        <v>71</v>
      </c>
      <c r="D215" s="6" t="s">
        <v>4</v>
      </c>
      <c r="E215" s="22" t="s">
        <v>230</v>
      </c>
      <c r="F215" s="22" t="s">
        <v>1622</v>
      </c>
      <c r="G215" s="22" t="s">
        <v>1340</v>
      </c>
      <c r="H215" s="29" t="s">
        <v>1623</v>
      </c>
    </row>
    <row r="216" ht="20" customHeight="1" spans="1:8" x14ac:dyDescent="0.25">
      <c r="A216" s="24" t="s">
        <v>48</v>
      </c>
      <c r="B216" s="24" t="s">
        <v>36</v>
      </c>
      <c r="C216" s="25" t="s">
        <v>71</v>
      </c>
      <c r="D216" s="6" t="s">
        <v>4</v>
      </c>
      <c r="E216" s="24" t="s">
        <v>644</v>
      </c>
      <c r="F216" s="24" t="s">
        <v>692</v>
      </c>
      <c r="G216" s="24" t="s">
        <v>1624</v>
      </c>
      <c r="H216" s="34" t="s">
        <v>1625</v>
      </c>
    </row>
    <row r="217" ht="20" customHeight="1" spans="1:8" x14ac:dyDescent="0.25">
      <c r="A217" s="22" t="s">
        <v>49</v>
      </c>
      <c r="B217" s="22" t="s">
        <v>38</v>
      </c>
      <c r="C217" s="23" t="s">
        <v>71</v>
      </c>
      <c r="D217" s="6" t="s">
        <v>4</v>
      </c>
      <c r="E217" s="22" t="s">
        <v>547</v>
      </c>
      <c r="F217" s="22" t="s">
        <v>599</v>
      </c>
      <c r="G217" s="22" t="s">
        <v>1626</v>
      </c>
      <c r="H217" s="29" t="s">
        <v>1627</v>
      </c>
    </row>
    <row r="218" ht="20" customHeight="1" spans="1:8" x14ac:dyDescent="0.25">
      <c r="A218" s="24" t="s">
        <v>50</v>
      </c>
      <c r="B218" s="24" t="s">
        <v>40</v>
      </c>
      <c r="C218" s="25" t="s">
        <v>71</v>
      </c>
      <c r="D218" s="33" t="s">
        <v>86</v>
      </c>
      <c r="E218" s="24" t="s">
        <v>12</v>
      </c>
      <c r="F218" s="24" t="s">
        <v>12</v>
      </c>
      <c r="G218" s="24" t="s">
        <v>12</v>
      </c>
      <c r="H218" s="24" t="s">
        <v>32</v>
      </c>
    </row>
    <row r="219" ht="20" customHeight="1" spans="1:8" x14ac:dyDescent="0.25">
      <c r="A219" s="22" t="s">
        <v>51</v>
      </c>
      <c r="B219" s="22" t="s">
        <v>42</v>
      </c>
      <c r="C219" s="23" t="s">
        <v>71</v>
      </c>
      <c r="D219" s="35" t="s">
        <v>86</v>
      </c>
      <c r="E219" s="22" t="s">
        <v>12</v>
      </c>
      <c r="F219" s="22" t="s">
        <v>12</v>
      </c>
      <c r="G219" s="22" t="s">
        <v>12</v>
      </c>
      <c r="H219" s="22" t="s">
        <v>32</v>
      </c>
    </row>
    <row r="220" ht="20" customHeight="1" spans="1:8" x14ac:dyDescent="0.25">
      <c r="A220" s="24" t="s">
        <v>52</v>
      </c>
      <c r="B220" s="24" t="s">
        <v>45</v>
      </c>
      <c r="C220" s="25" t="s">
        <v>71</v>
      </c>
      <c r="D220" s="6" t="s">
        <v>4</v>
      </c>
      <c r="E220" s="24" t="s">
        <v>774</v>
      </c>
      <c r="F220" s="24" t="s">
        <v>530</v>
      </c>
      <c r="G220" s="24" t="s">
        <v>1492</v>
      </c>
      <c r="H220" s="34" t="s">
        <v>1628</v>
      </c>
    </row>
    <row r="221" ht="20" customHeight="1" spans="1:8" x14ac:dyDescent="0.25">
      <c r="A221" s="22" t="s">
        <v>53</v>
      </c>
      <c r="B221" s="22" t="s">
        <v>31</v>
      </c>
      <c r="C221" s="23" t="s">
        <v>71</v>
      </c>
      <c r="D221" s="10" t="s">
        <v>87</v>
      </c>
      <c r="E221" s="22" t="s">
        <v>12</v>
      </c>
      <c r="F221" s="22" t="s">
        <v>12</v>
      </c>
      <c r="G221" s="22" t="s">
        <v>12</v>
      </c>
      <c r="H221" s="22" t="s">
        <v>32</v>
      </c>
    </row>
    <row r="222" ht="20" customHeight="1" spans="1:8" x14ac:dyDescent="0.25">
      <c r="A222" s="24" t="s">
        <v>54</v>
      </c>
      <c r="B222" s="24" t="s">
        <v>34</v>
      </c>
      <c r="C222" s="25" t="s">
        <v>71</v>
      </c>
      <c r="D222" s="6" t="s">
        <v>4</v>
      </c>
      <c r="E222" s="24" t="s">
        <v>1436</v>
      </c>
      <c r="F222" s="24" t="s">
        <v>751</v>
      </c>
      <c r="G222" s="24" t="s">
        <v>659</v>
      </c>
      <c r="H222" s="34" t="s">
        <v>1437</v>
      </c>
    </row>
    <row r="223" ht="20" customHeight="1" spans="1:8" x14ac:dyDescent="0.25">
      <c r="A223" s="22" t="s">
        <v>55</v>
      </c>
      <c r="B223" s="22" t="s">
        <v>36</v>
      </c>
      <c r="C223" s="23" t="s">
        <v>71</v>
      </c>
      <c r="D223" s="6" t="s">
        <v>4</v>
      </c>
      <c r="E223" s="22" t="s">
        <v>322</v>
      </c>
      <c r="F223" s="22" t="s">
        <v>12</v>
      </c>
      <c r="G223" s="22" t="s">
        <v>12</v>
      </c>
      <c r="H223" s="29" t="s">
        <v>323</v>
      </c>
    </row>
    <row r="224" ht="20" customHeight="1" spans="1:8" x14ac:dyDescent="0.25">
      <c r="A224" s="24" t="s">
        <v>56</v>
      </c>
      <c r="B224" s="24" t="s">
        <v>38</v>
      </c>
      <c r="C224" s="25" t="s">
        <v>71</v>
      </c>
      <c r="D224" s="6" t="s">
        <v>4</v>
      </c>
      <c r="E224" s="24" t="s">
        <v>377</v>
      </c>
      <c r="F224" s="24" t="s">
        <v>255</v>
      </c>
      <c r="G224" s="24" t="s">
        <v>119</v>
      </c>
      <c r="H224" s="34" t="s">
        <v>378</v>
      </c>
    </row>
    <row r="225" ht="20" customHeight="1" spans="1:8" x14ac:dyDescent="0.25">
      <c r="A225" s="22" t="s">
        <v>57</v>
      </c>
      <c r="B225" s="22" t="s">
        <v>40</v>
      </c>
      <c r="C225" s="23" t="s">
        <v>71</v>
      </c>
      <c r="D225" s="6" t="s">
        <v>4</v>
      </c>
      <c r="E225" s="22" t="s">
        <v>242</v>
      </c>
      <c r="F225" s="22" t="s">
        <v>986</v>
      </c>
      <c r="G225" s="22" t="s">
        <v>858</v>
      </c>
      <c r="H225" s="29" t="s">
        <v>244</v>
      </c>
    </row>
    <row r="226" ht="20" customHeight="1" spans="1:8" x14ac:dyDescent="0.25">
      <c r="A226" s="24" t="s">
        <v>58</v>
      </c>
      <c r="B226" s="24" t="s">
        <v>42</v>
      </c>
      <c r="C226" s="25" t="s">
        <v>71</v>
      </c>
      <c r="D226" s="33" t="s">
        <v>86</v>
      </c>
      <c r="E226" s="24" t="s">
        <v>12</v>
      </c>
      <c r="F226" s="24" t="s">
        <v>12</v>
      </c>
      <c r="G226" s="24" t="s">
        <v>12</v>
      </c>
      <c r="H226" s="24" t="s">
        <v>32</v>
      </c>
    </row>
    <row r="227" ht="20" customHeight="1" spans="1:8" x14ac:dyDescent="0.25">
      <c r="A227" s="22" t="s">
        <v>59</v>
      </c>
      <c r="B227" s="22" t="s">
        <v>45</v>
      </c>
      <c r="C227" s="23" t="s">
        <v>71</v>
      </c>
      <c r="D227" s="6" t="s">
        <v>4</v>
      </c>
      <c r="E227" s="22" t="s">
        <v>362</v>
      </c>
      <c r="F227" s="22" t="s">
        <v>1393</v>
      </c>
      <c r="G227" s="22" t="s">
        <v>1102</v>
      </c>
      <c r="H227" s="32" t="s">
        <v>79</v>
      </c>
    </row>
    <row r="228" ht="20" customHeight="1" spans="1:8" x14ac:dyDescent="0.25">
      <c r="A228" s="24" t="s">
        <v>60</v>
      </c>
      <c r="B228" s="24" t="s">
        <v>31</v>
      </c>
      <c r="C228" s="25" t="s">
        <v>71</v>
      </c>
      <c r="D228" s="6" t="s">
        <v>4</v>
      </c>
      <c r="E228" s="24" t="s">
        <v>320</v>
      </c>
      <c r="F228" s="24" t="s">
        <v>115</v>
      </c>
      <c r="G228" s="24" t="s">
        <v>805</v>
      </c>
      <c r="H228" s="30" t="s">
        <v>79</v>
      </c>
    </row>
    <row r="229" ht="20" customHeight="1" spans="1:8" x14ac:dyDescent="0.25">
      <c r="A229" s="22" t="s">
        <v>61</v>
      </c>
      <c r="B229" s="22" t="s">
        <v>34</v>
      </c>
      <c r="C229" s="23" t="s">
        <v>71</v>
      </c>
      <c r="D229" s="36" t="s">
        <v>218</v>
      </c>
      <c r="E229" s="22" t="s">
        <v>842</v>
      </c>
      <c r="F229" s="22" t="s">
        <v>12</v>
      </c>
      <c r="G229" s="22" t="s">
        <v>12</v>
      </c>
      <c r="H229" s="29" t="s">
        <v>1629</v>
      </c>
    </row>
    <row r="230" ht="20" customHeight="1" spans="1:8" x14ac:dyDescent="0.25">
      <c r="A230" s="24" t="s">
        <v>62</v>
      </c>
      <c r="B230" s="24" t="s">
        <v>36</v>
      </c>
      <c r="C230" s="25" t="s">
        <v>71</v>
      </c>
      <c r="D230" s="6" t="s">
        <v>4</v>
      </c>
      <c r="E230" s="24" t="s">
        <v>322</v>
      </c>
      <c r="F230" s="24" t="s">
        <v>1443</v>
      </c>
      <c r="G230" s="24" t="s">
        <v>1152</v>
      </c>
      <c r="H230" s="34" t="s">
        <v>323</v>
      </c>
    </row>
    <row r="231" ht="20" customHeight="1" spans="1:8" x14ac:dyDescent="0.25">
      <c r="A231" s="22" t="s">
        <v>63</v>
      </c>
      <c r="B231" s="22" t="s">
        <v>38</v>
      </c>
      <c r="C231" s="23" t="s">
        <v>71</v>
      </c>
      <c r="D231" s="6" t="s">
        <v>4</v>
      </c>
      <c r="E231" s="22" t="s">
        <v>576</v>
      </c>
      <c r="F231" s="22" t="s">
        <v>576</v>
      </c>
      <c r="G231" s="22" t="s">
        <v>12</v>
      </c>
      <c r="H231" s="29" t="s">
        <v>1630</v>
      </c>
    </row>
    <row r="232" ht="20" customHeight="1" spans="1:8" x14ac:dyDescent="0.25">
      <c r="A232" s="24" t="s">
        <v>64</v>
      </c>
      <c r="B232" s="24" t="s">
        <v>40</v>
      </c>
      <c r="C232" s="25" t="s">
        <v>71</v>
      </c>
      <c r="D232" s="6" t="s">
        <v>4</v>
      </c>
      <c r="E232" s="24" t="s">
        <v>644</v>
      </c>
      <c r="F232" s="24" t="s">
        <v>1472</v>
      </c>
      <c r="G232" s="24" t="s">
        <v>1227</v>
      </c>
      <c r="H232" s="34" t="s">
        <v>645</v>
      </c>
    </row>
    <row r="233" ht="20" customHeight="1" spans="1:8" x14ac:dyDescent="0.25">
      <c r="A233" s="22" t="s">
        <v>65</v>
      </c>
      <c r="B233" s="22" t="s">
        <v>42</v>
      </c>
      <c r="C233" s="23" t="s">
        <v>71</v>
      </c>
      <c r="D233" s="35" t="s">
        <v>86</v>
      </c>
      <c r="E233" s="22" t="s">
        <v>12</v>
      </c>
      <c r="F233" s="22" t="s">
        <v>12</v>
      </c>
      <c r="G233" s="22" t="s">
        <v>12</v>
      </c>
      <c r="H233" s="22" t="s">
        <v>32</v>
      </c>
    </row>
    <row r="234" ht="20" customHeight="1" spans="1:8" x14ac:dyDescent="0.25">
      <c r="A234" s="24" t="s">
        <v>66</v>
      </c>
      <c r="B234" s="24" t="s">
        <v>45</v>
      </c>
      <c r="C234" s="25" t="s">
        <v>71</v>
      </c>
      <c r="D234" s="6" t="s">
        <v>4</v>
      </c>
      <c r="E234" s="24" t="s">
        <v>639</v>
      </c>
      <c r="F234" s="24" t="s">
        <v>957</v>
      </c>
      <c r="G234" s="24" t="s">
        <v>1590</v>
      </c>
      <c r="H234" s="30" t="s">
        <v>79</v>
      </c>
    </row>
    <row r="235" ht="20" customHeight="1" spans="1:8" x14ac:dyDescent="0.25">
      <c r="A235" s="22" t="s">
        <v>67</v>
      </c>
      <c r="B235" s="22" t="s">
        <v>31</v>
      </c>
      <c r="C235" s="23" t="s">
        <v>71</v>
      </c>
      <c r="D235" s="6" t="s">
        <v>4</v>
      </c>
      <c r="E235" s="22" t="s">
        <v>364</v>
      </c>
      <c r="F235" s="22" t="s">
        <v>998</v>
      </c>
      <c r="G235" s="22" t="s">
        <v>1079</v>
      </c>
      <c r="H235" s="32" t="s">
        <v>79</v>
      </c>
    </row>
    <row r="236" ht="20" customHeight="1" spans="1:8" x14ac:dyDescent="0.25">
      <c r="A236" s="24" t="s">
        <v>68</v>
      </c>
      <c r="B236" s="24" t="s">
        <v>34</v>
      </c>
      <c r="C236" s="25" t="s">
        <v>71</v>
      </c>
      <c r="D236" s="6" t="s">
        <v>4</v>
      </c>
      <c r="E236" s="24" t="s">
        <v>375</v>
      </c>
      <c r="F236" s="24" t="s">
        <v>629</v>
      </c>
      <c r="G236" s="24" t="s">
        <v>571</v>
      </c>
      <c r="H236" s="34" t="s">
        <v>630</v>
      </c>
    </row>
    <row r="237" ht="22" customHeight="1" spans="1:8" x14ac:dyDescent="0.25">
      <c r="A237" s="26" t="s">
        <v>69</v>
      </c>
      <c r="B237" s="26"/>
      <c r="C237" s="26"/>
      <c r="D237" s="26"/>
      <c r="E237" s="26"/>
      <c r="F237" s="26"/>
      <c r="G237" s="27" t="s">
        <v>1631</v>
      </c>
      <c r="H237" s="28" t="s">
        <v>12</v>
      </c>
    </row>
    <row r="239" ht="26" customHeight="1" spans="1:8" x14ac:dyDescent="0.25">
      <c r="A239" s="20" t="s">
        <v>1632</v>
      </c>
      <c r="B239" s="20"/>
      <c r="C239" s="20"/>
      <c r="D239" s="20"/>
      <c r="E239" s="20"/>
      <c r="F239" s="20"/>
      <c r="G239" s="20"/>
      <c r="H239" s="20"/>
    </row>
    <row r="240" ht="22" customHeight="1" spans="1:8" x14ac:dyDescent="0.25">
      <c r="A240" s="21" t="s">
        <v>22</v>
      </c>
      <c r="B240" s="21" t="s">
        <v>23</v>
      </c>
      <c r="C240" s="21" t="s">
        <v>24</v>
      </c>
      <c r="D240" s="21" t="s">
        <v>25</v>
      </c>
      <c r="E240" s="21" t="s">
        <v>26</v>
      </c>
      <c r="F240" s="21" t="s">
        <v>27</v>
      </c>
      <c r="G240" s="21" t="s">
        <v>28</v>
      </c>
      <c r="H240" s="21" t="s">
        <v>29</v>
      </c>
    </row>
    <row r="241" ht="20" customHeight="1" spans="1:8" x14ac:dyDescent="0.25">
      <c r="A241" s="22" t="s">
        <v>30</v>
      </c>
      <c r="B241" s="22" t="s">
        <v>31</v>
      </c>
      <c r="C241" s="23" t="s">
        <v>71</v>
      </c>
      <c r="D241" s="6" t="s">
        <v>4</v>
      </c>
      <c r="E241" s="22" t="s">
        <v>76</v>
      </c>
      <c r="F241" s="22" t="s">
        <v>317</v>
      </c>
      <c r="G241" s="22" t="s">
        <v>563</v>
      </c>
      <c r="H241" s="32" t="s">
        <v>79</v>
      </c>
    </row>
    <row r="242" ht="20" customHeight="1" spans="1:8" x14ac:dyDescent="0.25">
      <c r="A242" s="24" t="s">
        <v>33</v>
      </c>
      <c r="B242" s="24" t="s">
        <v>34</v>
      </c>
      <c r="C242" s="25" t="s">
        <v>71</v>
      </c>
      <c r="D242" s="6" t="s">
        <v>4</v>
      </c>
      <c r="E242" s="24" t="s">
        <v>620</v>
      </c>
      <c r="F242" s="24" t="s">
        <v>504</v>
      </c>
      <c r="G242" s="24" t="s">
        <v>259</v>
      </c>
      <c r="H242" s="34" t="s">
        <v>506</v>
      </c>
    </row>
    <row r="243" ht="20" customHeight="1" spans="1:8" x14ac:dyDescent="0.25">
      <c r="A243" s="22" t="s">
        <v>35</v>
      </c>
      <c r="B243" s="22" t="s">
        <v>36</v>
      </c>
      <c r="C243" s="23" t="s">
        <v>71</v>
      </c>
      <c r="D243" s="6" t="s">
        <v>4</v>
      </c>
      <c r="E243" s="22" t="s">
        <v>774</v>
      </c>
      <c r="F243" s="22" t="s">
        <v>549</v>
      </c>
      <c r="G243" s="22" t="s">
        <v>959</v>
      </c>
      <c r="H243" s="29" t="s">
        <v>550</v>
      </c>
    </row>
    <row r="244" ht="20" customHeight="1" spans="1:8" x14ac:dyDescent="0.25">
      <c r="A244" s="24" t="s">
        <v>37</v>
      </c>
      <c r="B244" s="24" t="s">
        <v>38</v>
      </c>
      <c r="C244" s="25" t="s">
        <v>71</v>
      </c>
      <c r="D244" s="31" t="s">
        <v>11</v>
      </c>
      <c r="E244" s="24" t="s">
        <v>12</v>
      </c>
      <c r="F244" s="24" t="s">
        <v>12</v>
      </c>
      <c r="G244" s="24" t="s">
        <v>12</v>
      </c>
      <c r="H244" s="24" t="s">
        <v>32</v>
      </c>
    </row>
    <row r="245" ht="20" customHeight="1" spans="1:8" x14ac:dyDescent="0.25">
      <c r="A245" s="22" t="s">
        <v>39</v>
      </c>
      <c r="B245" s="22" t="s">
        <v>40</v>
      </c>
      <c r="C245" s="23" t="s">
        <v>71</v>
      </c>
      <c r="D245" s="10" t="s">
        <v>87</v>
      </c>
      <c r="E245" s="22" t="s">
        <v>12</v>
      </c>
      <c r="F245" s="22" t="s">
        <v>12</v>
      </c>
      <c r="G245" s="22" t="s">
        <v>12</v>
      </c>
      <c r="H245" s="22" t="s">
        <v>32</v>
      </c>
    </row>
    <row r="246" ht="20" customHeight="1" spans="1:8" x14ac:dyDescent="0.25">
      <c r="A246" s="24" t="s">
        <v>41</v>
      </c>
      <c r="B246" s="24" t="s">
        <v>42</v>
      </c>
      <c r="C246" s="25" t="s">
        <v>71</v>
      </c>
      <c r="D246" s="10" t="s">
        <v>87</v>
      </c>
      <c r="E246" s="24" t="s">
        <v>12</v>
      </c>
      <c r="F246" s="24" t="s">
        <v>12</v>
      </c>
      <c r="G246" s="24" t="s">
        <v>12</v>
      </c>
      <c r="H246" s="24" t="s">
        <v>32</v>
      </c>
    </row>
    <row r="247" ht="20" customHeight="1" spans="1:8" x14ac:dyDescent="0.25">
      <c r="A247" s="22" t="s">
        <v>44</v>
      </c>
      <c r="B247" s="22" t="s">
        <v>45</v>
      </c>
      <c r="C247" s="23" t="s">
        <v>71</v>
      </c>
      <c r="D247" s="10" t="s">
        <v>87</v>
      </c>
      <c r="E247" s="22" t="s">
        <v>12</v>
      </c>
      <c r="F247" s="22" t="s">
        <v>12</v>
      </c>
      <c r="G247" s="22" t="s">
        <v>12</v>
      </c>
      <c r="H247" s="22" t="s">
        <v>32</v>
      </c>
    </row>
    <row r="248" ht="20" customHeight="1" spans="1:8" x14ac:dyDescent="0.25">
      <c r="A248" s="24" t="s">
        <v>46</v>
      </c>
      <c r="B248" s="24" t="s">
        <v>31</v>
      </c>
      <c r="C248" s="25" t="s">
        <v>71</v>
      </c>
      <c r="D248" s="10" t="s">
        <v>87</v>
      </c>
      <c r="E248" s="24" t="s">
        <v>12</v>
      </c>
      <c r="F248" s="24" t="s">
        <v>12</v>
      </c>
      <c r="G248" s="24" t="s">
        <v>12</v>
      </c>
      <c r="H248" s="24" t="s">
        <v>32</v>
      </c>
    </row>
    <row r="249" ht="20" customHeight="1" spans="1:8" x14ac:dyDescent="0.25">
      <c r="A249" s="22" t="s">
        <v>47</v>
      </c>
      <c r="B249" s="22" t="s">
        <v>34</v>
      </c>
      <c r="C249" s="23" t="s">
        <v>71</v>
      </c>
      <c r="D249" s="10" t="s">
        <v>87</v>
      </c>
      <c r="E249" s="22" t="s">
        <v>12</v>
      </c>
      <c r="F249" s="22" t="s">
        <v>12</v>
      </c>
      <c r="G249" s="22" t="s">
        <v>12</v>
      </c>
      <c r="H249" s="22" t="s">
        <v>32</v>
      </c>
    </row>
    <row r="250" ht="20" customHeight="1" spans="1:8" x14ac:dyDescent="0.25">
      <c r="A250" s="24" t="s">
        <v>48</v>
      </c>
      <c r="B250" s="24" t="s">
        <v>36</v>
      </c>
      <c r="C250" s="25" t="s">
        <v>71</v>
      </c>
      <c r="D250" s="10" t="s">
        <v>87</v>
      </c>
      <c r="E250" s="24" t="s">
        <v>12</v>
      </c>
      <c r="F250" s="24" t="s">
        <v>12</v>
      </c>
      <c r="G250" s="24" t="s">
        <v>12</v>
      </c>
      <c r="H250" s="24" t="s">
        <v>32</v>
      </c>
    </row>
    <row r="251" ht="20" customHeight="1" spans="1:8" x14ac:dyDescent="0.25">
      <c r="A251" s="22" t="s">
        <v>49</v>
      </c>
      <c r="B251" s="22" t="s">
        <v>38</v>
      </c>
      <c r="C251" s="23" t="s">
        <v>71</v>
      </c>
      <c r="D251" s="10" t="s">
        <v>87</v>
      </c>
      <c r="E251" s="22" t="s">
        <v>12</v>
      </c>
      <c r="F251" s="22" t="s">
        <v>12</v>
      </c>
      <c r="G251" s="22" t="s">
        <v>12</v>
      </c>
      <c r="H251" s="22" t="s">
        <v>32</v>
      </c>
    </row>
    <row r="252" ht="20" customHeight="1" spans="1:8" x14ac:dyDescent="0.25">
      <c r="A252" s="24" t="s">
        <v>50</v>
      </c>
      <c r="B252" s="24" t="s">
        <v>40</v>
      </c>
      <c r="C252" s="25" t="s">
        <v>71</v>
      </c>
      <c r="D252" s="33" t="s">
        <v>86</v>
      </c>
      <c r="E252" s="24" t="s">
        <v>12</v>
      </c>
      <c r="F252" s="24" t="s">
        <v>12</v>
      </c>
      <c r="G252" s="24" t="s">
        <v>12</v>
      </c>
      <c r="H252" s="24" t="s">
        <v>32</v>
      </c>
    </row>
    <row r="253" ht="20" customHeight="1" spans="1:8" x14ac:dyDescent="0.25">
      <c r="A253" s="22" t="s">
        <v>51</v>
      </c>
      <c r="B253" s="22" t="s">
        <v>42</v>
      </c>
      <c r="C253" s="23" t="s">
        <v>71</v>
      </c>
      <c r="D253" s="35" t="s">
        <v>86</v>
      </c>
      <c r="E253" s="22" t="s">
        <v>12</v>
      </c>
      <c r="F253" s="22" t="s">
        <v>12</v>
      </c>
      <c r="G253" s="22" t="s">
        <v>12</v>
      </c>
      <c r="H253" s="22" t="s">
        <v>32</v>
      </c>
    </row>
    <row r="254" ht="20" customHeight="1" spans="1:8" x14ac:dyDescent="0.25">
      <c r="A254" s="24" t="s">
        <v>52</v>
      </c>
      <c r="B254" s="24" t="s">
        <v>45</v>
      </c>
      <c r="C254" s="25" t="s">
        <v>71</v>
      </c>
      <c r="D254" s="6" t="s">
        <v>4</v>
      </c>
      <c r="E254" s="24" t="s">
        <v>125</v>
      </c>
      <c r="F254" s="24" t="s">
        <v>1633</v>
      </c>
      <c r="G254" s="24" t="s">
        <v>1634</v>
      </c>
      <c r="H254" s="34" t="s">
        <v>1635</v>
      </c>
    </row>
    <row r="255" ht="20" customHeight="1" spans="1:8" x14ac:dyDescent="0.25">
      <c r="A255" s="22" t="s">
        <v>53</v>
      </c>
      <c r="B255" s="22" t="s">
        <v>31</v>
      </c>
      <c r="C255" s="23" t="s">
        <v>71</v>
      </c>
      <c r="D255" s="10" t="s">
        <v>87</v>
      </c>
      <c r="E255" s="22" t="s">
        <v>12</v>
      </c>
      <c r="F255" s="22" t="s">
        <v>12</v>
      </c>
      <c r="G255" s="22" t="s">
        <v>12</v>
      </c>
      <c r="H255" s="22" t="s">
        <v>32</v>
      </c>
    </row>
    <row r="256" ht="20" customHeight="1" spans="1:8" x14ac:dyDescent="0.25">
      <c r="A256" s="24" t="s">
        <v>54</v>
      </c>
      <c r="B256" s="24" t="s">
        <v>34</v>
      </c>
      <c r="C256" s="25" t="s">
        <v>71</v>
      </c>
      <c r="D256" s="6" t="s">
        <v>4</v>
      </c>
      <c r="E256" s="24" t="s">
        <v>408</v>
      </c>
      <c r="F256" s="24" t="s">
        <v>1636</v>
      </c>
      <c r="G256" s="24" t="s">
        <v>531</v>
      </c>
      <c r="H256" s="34" t="s">
        <v>1637</v>
      </c>
    </row>
    <row r="257" ht="20" customHeight="1" spans="1:8" x14ac:dyDescent="0.25">
      <c r="A257" s="22" t="s">
        <v>55</v>
      </c>
      <c r="B257" s="22" t="s">
        <v>36</v>
      </c>
      <c r="C257" s="23" t="s">
        <v>71</v>
      </c>
      <c r="D257" s="6" t="s">
        <v>4</v>
      </c>
      <c r="E257" s="22" t="s">
        <v>80</v>
      </c>
      <c r="F257" s="22" t="s">
        <v>508</v>
      </c>
      <c r="G257" s="22" t="s">
        <v>475</v>
      </c>
      <c r="H257" s="29" t="s">
        <v>131</v>
      </c>
    </row>
    <row r="258" ht="20" customHeight="1" spans="1:8" x14ac:dyDescent="0.25">
      <c r="A258" s="24" t="s">
        <v>56</v>
      </c>
      <c r="B258" s="24" t="s">
        <v>38</v>
      </c>
      <c r="C258" s="25" t="s">
        <v>71</v>
      </c>
      <c r="D258" s="6" t="s">
        <v>4</v>
      </c>
      <c r="E258" s="24" t="s">
        <v>1433</v>
      </c>
      <c r="F258" s="24" t="s">
        <v>444</v>
      </c>
      <c r="G258" s="24" t="s">
        <v>410</v>
      </c>
      <c r="H258" s="34" t="s">
        <v>445</v>
      </c>
    </row>
    <row r="259" ht="20" customHeight="1" spans="1:8" x14ac:dyDescent="0.25">
      <c r="A259" s="22" t="s">
        <v>57</v>
      </c>
      <c r="B259" s="22" t="s">
        <v>40</v>
      </c>
      <c r="C259" s="23" t="s">
        <v>71</v>
      </c>
      <c r="D259" s="6" t="s">
        <v>4</v>
      </c>
      <c r="E259" s="22" t="s">
        <v>434</v>
      </c>
      <c r="F259" s="22" t="s">
        <v>447</v>
      </c>
      <c r="G259" s="22" t="s">
        <v>99</v>
      </c>
      <c r="H259" s="32" t="s">
        <v>79</v>
      </c>
    </row>
    <row r="260" ht="20" customHeight="1" spans="1:8" x14ac:dyDescent="0.25">
      <c r="A260" s="24" t="s">
        <v>58</v>
      </c>
      <c r="B260" s="24" t="s">
        <v>42</v>
      </c>
      <c r="C260" s="25" t="s">
        <v>71</v>
      </c>
      <c r="D260" s="33" t="s">
        <v>86</v>
      </c>
      <c r="E260" s="24" t="s">
        <v>12</v>
      </c>
      <c r="F260" s="24" t="s">
        <v>12</v>
      </c>
      <c r="G260" s="24" t="s">
        <v>12</v>
      </c>
      <c r="H260" s="24" t="s">
        <v>32</v>
      </c>
    </row>
    <row r="261" ht="20" customHeight="1" spans="1:8" x14ac:dyDescent="0.25">
      <c r="A261" s="22" t="s">
        <v>59</v>
      </c>
      <c r="B261" s="22" t="s">
        <v>45</v>
      </c>
      <c r="C261" s="23" t="s">
        <v>71</v>
      </c>
      <c r="D261" s="6" t="s">
        <v>4</v>
      </c>
      <c r="E261" s="22" t="s">
        <v>673</v>
      </c>
      <c r="F261" s="22" t="s">
        <v>1638</v>
      </c>
      <c r="G261" s="22" t="s">
        <v>154</v>
      </c>
      <c r="H261" s="29" t="s">
        <v>1639</v>
      </c>
    </row>
    <row r="262" ht="20" customHeight="1" spans="1:8" x14ac:dyDescent="0.25">
      <c r="A262" s="24" t="s">
        <v>60</v>
      </c>
      <c r="B262" s="24" t="s">
        <v>31</v>
      </c>
      <c r="C262" s="25" t="s">
        <v>71</v>
      </c>
      <c r="D262" s="6" t="s">
        <v>4</v>
      </c>
      <c r="E262" s="24" t="s">
        <v>408</v>
      </c>
      <c r="F262" s="24" t="s">
        <v>529</v>
      </c>
      <c r="G262" s="24" t="s">
        <v>396</v>
      </c>
      <c r="H262" s="30" t="s">
        <v>79</v>
      </c>
    </row>
    <row r="263" ht="20" customHeight="1" spans="1:8" x14ac:dyDescent="0.25">
      <c r="A263" s="22" t="s">
        <v>61</v>
      </c>
      <c r="B263" s="22" t="s">
        <v>34</v>
      </c>
      <c r="C263" s="23" t="s">
        <v>71</v>
      </c>
      <c r="D263" s="6" t="s">
        <v>4</v>
      </c>
      <c r="E263" s="22" t="s">
        <v>533</v>
      </c>
      <c r="F263" s="22" t="s">
        <v>73</v>
      </c>
      <c r="G263" s="22" t="s">
        <v>206</v>
      </c>
      <c r="H263" s="29" t="s">
        <v>75</v>
      </c>
    </row>
    <row r="264" ht="20" customHeight="1" spans="1:8" x14ac:dyDescent="0.25">
      <c r="A264" s="24" t="s">
        <v>62</v>
      </c>
      <c r="B264" s="24" t="s">
        <v>36</v>
      </c>
      <c r="C264" s="25" t="s">
        <v>71</v>
      </c>
      <c r="D264" s="6" t="s">
        <v>4</v>
      </c>
      <c r="E264" s="24" t="s">
        <v>284</v>
      </c>
      <c r="F264" s="24" t="s">
        <v>110</v>
      </c>
      <c r="G264" s="24" t="s">
        <v>147</v>
      </c>
      <c r="H264" s="30" t="s">
        <v>79</v>
      </c>
    </row>
    <row r="265" ht="20" customHeight="1" spans="1:8" x14ac:dyDescent="0.25">
      <c r="A265" s="22" t="s">
        <v>63</v>
      </c>
      <c r="B265" s="22" t="s">
        <v>38</v>
      </c>
      <c r="C265" s="23" t="s">
        <v>71</v>
      </c>
      <c r="D265" s="6" t="s">
        <v>4</v>
      </c>
      <c r="E265" s="22" t="s">
        <v>132</v>
      </c>
      <c r="F265" s="22" t="s">
        <v>626</v>
      </c>
      <c r="G265" s="22" t="s">
        <v>261</v>
      </c>
      <c r="H265" s="29" t="s">
        <v>627</v>
      </c>
    </row>
    <row r="266" ht="20" customHeight="1" spans="1:8" x14ac:dyDescent="0.25">
      <c r="A266" s="24" t="s">
        <v>64</v>
      </c>
      <c r="B266" s="24" t="s">
        <v>40</v>
      </c>
      <c r="C266" s="25" t="s">
        <v>71</v>
      </c>
      <c r="D266" s="33" t="s">
        <v>86</v>
      </c>
      <c r="E266" s="24" t="s">
        <v>12</v>
      </c>
      <c r="F266" s="24" t="s">
        <v>12</v>
      </c>
      <c r="G266" s="24" t="s">
        <v>12</v>
      </c>
      <c r="H266" s="24" t="s">
        <v>32</v>
      </c>
    </row>
    <row r="267" ht="20" customHeight="1" spans="1:8" x14ac:dyDescent="0.25">
      <c r="A267" s="22" t="s">
        <v>65</v>
      </c>
      <c r="B267" s="22" t="s">
        <v>42</v>
      </c>
      <c r="C267" s="23" t="s">
        <v>71</v>
      </c>
      <c r="D267" s="35" t="s">
        <v>86</v>
      </c>
      <c r="E267" s="22" t="s">
        <v>12</v>
      </c>
      <c r="F267" s="22" t="s">
        <v>12</v>
      </c>
      <c r="G267" s="22" t="s">
        <v>12</v>
      </c>
      <c r="H267" s="22" t="s">
        <v>32</v>
      </c>
    </row>
    <row r="268" ht="20" customHeight="1" spans="1:8" x14ac:dyDescent="0.25">
      <c r="A268" s="24" t="s">
        <v>66</v>
      </c>
      <c r="B268" s="24" t="s">
        <v>45</v>
      </c>
      <c r="C268" s="25" t="s">
        <v>71</v>
      </c>
      <c r="D268" s="6" t="s">
        <v>4</v>
      </c>
      <c r="E268" s="24" t="s">
        <v>114</v>
      </c>
      <c r="F268" s="24" t="s">
        <v>623</v>
      </c>
      <c r="G268" s="24" t="s">
        <v>414</v>
      </c>
      <c r="H268" s="34" t="s">
        <v>624</v>
      </c>
    </row>
    <row r="269" ht="20" customHeight="1" spans="1:8" x14ac:dyDescent="0.25">
      <c r="A269" s="22" t="s">
        <v>67</v>
      </c>
      <c r="B269" s="22" t="s">
        <v>31</v>
      </c>
      <c r="C269" s="23" t="s">
        <v>71</v>
      </c>
      <c r="D269" s="6" t="s">
        <v>4</v>
      </c>
      <c r="E269" s="22" t="s">
        <v>832</v>
      </c>
      <c r="F269" s="22" t="s">
        <v>629</v>
      </c>
      <c r="G269" s="22" t="s">
        <v>81</v>
      </c>
      <c r="H269" s="29" t="s">
        <v>630</v>
      </c>
    </row>
    <row r="270" ht="20" customHeight="1" spans="1:8" x14ac:dyDescent="0.25">
      <c r="A270" s="24" t="s">
        <v>68</v>
      </c>
      <c r="B270" s="24" t="s">
        <v>34</v>
      </c>
      <c r="C270" s="25" t="s">
        <v>71</v>
      </c>
      <c r="D270" s="6" t="s">
        <v>4</v>
      </c>
      <c r="E270" s="24" t="s">
        <v>128</v>
      </c>
      <c r="F270" s="24" t="s">
        <v>629</v>
      </c>
      <c r="G270" s="24" t="s">
        <v>165</v>
      </c>
      <c r="H270" s="34" t="s">
        <v>630</v>
      </c>
    </row>
    <row r="271" ht="22" customHeight="1" spans="1:8" x14ac:dyDescent="0.25">
      <c r="A271" s="26" t="s">
        <v>69</v>
      </c>
      <c r="B271" s="26"/>
      <c r="C271" s="26"/>
      <c r="D271" s="26"/>
      <c r="E271" s="26"/>
      <c r="F271" s="26"/>
      <c r="G271" s="27" t="s">
        <v>1640</v>
      </c>
      <c r="H271" s="28" t="s">
        <v>12</v>
      </c>
    </row>
    <row r="273" ht="26" customHeight="1" spans="1:8" x14ac:dyDescent="0.25">
      <c r="A273" s="20" t="s">
        <v>1641</v>
      </c>
      <c r="B273" s="20"/>
      <c r="C273" s="20"/>
      <c r="D273" s="20"/>
      <c r="E273" s="20"/>
      <c r="F273" s="20"/>
      <c r="G273" s="20"/>
      <c r="H273" s="20"/>
    </row>
    <row r="274" ht="22" customHeight="1" spans="1:8" x14ac:dyDescent="0.25">
      <c r="A274" s="21" t="s">
        <v>22</v>
      </c>
      <c r="B274" s="21" t="s">
        <v>23</v>
      </c>
      <c r="C274" s="21" t="s">
        <v>24</v>
      </c>
      <c r="D274" s="21" t="s">
        <v>25</v>
      </c>
      <c r="E274" s="21" t="s">
        <v>26</v>
      </c>
      <c r="F274" s="21" t="s">
        <v>27</v>
      </c>
      <c r="G274" s="21" t="s">
        <v>28</v>
      </c>
      <c r="H274" s="21" t="s">
        <v>29</v>
      </c>
    </row>
    <row r="275" ht="20" customHeight="1" spans="1:8" x14ac:dyDescent="0.25">
      <c r="A275" s="22" t="s">
        <v>30</v>
      </c>
      <c r="B275" s="22" t="s">
        <v>31</v>
      </c>
      <c r="C275" s="23" t="s">
        <v>605</v>
      </c>
      <c r="D275" s="6" t="s">
        <v>4</v>
      </c>
      <c r="E275" s="22" t="s">
        <v>1360</v>
      </c>
      <c r="F275" s="22" t="s">
        <v>536</v>
      </c>
      <c r="G275" s="22" t="s">
        <v>147</v>
      </c>
      <c r="H275" s="29" t="s">
        <v>795</v>
      </c>
    </row>
    <row r="276" ht="20" customHeight="1" spans="1:8" x14ac:dyDescent="0.25">
      <c r="A276" s="24" t="s">
        <v>33</v>
      </c>
      <c r="B276" s="24" t="s">
        <v>34</v>
      </c>
      <c r="C276" s="25" t="s">
        <v>605</v>
      </c>
      <c r="D276" s="6" t="s">
        <v>4</v>
      </c>
      <c r="E276" s="24" t="s">
        <v>443</v>
      </c>
      <c r="F276" s="24" t="s">
        <v>529</v>
      </c>
      <c r="G276" s="24" t="s">
        <v>130</v>
      </c>
      <c r="H276" s="30" t="s">
        <v>79</v>
      </c>
    </row>
    <row r="277" ht="20" customHeight="1" spans="1:8" x14ac:dyDescent="0.25">
      <c r="A277" s="22" t="s">
        <v>35</v>
      </c>
      <c r="B277" s="22" t="s">
        <v>36</v>
      </c>
      <c r="C277" s="23" t="s">
        <v>605</v>
      </c>
      <c r="D277" s="6" t="s">
        <v>4</v>
      </c>
      <c r="E277" s="22" t="s">
        <v>132</v>
      </c>
      <c r="F277" s="22" t="s">
        <v>628</v>
      </c>
      <c r="G277" s="22" t="s">
        <v>285</v>
      </c>
      <c r="H277" s="29" t="s">
        <v>535</v>
      </c>
    </row>
    <row r="278" ht="20" customHeight="1" spans="1:8" x14ac:dyDescent="0.25">
      <c r="A278" s="24" t="s">
        <v>37</v>
      </c>
      <c r="B278" s="24" t="s">
        <v>38</v>
      </c>
      <c r="C278" s="25" t="s">
        <v>605</v>
      </c>
      <c r="D278" s="31" t="s">
        <v>11</v>
      </c>
      <c r="E278" s="24" t="s">
        <v>12</v>
      </c>
      <c r="F278" s="24" t="s">
        <v>12</v>
      </c>
      <c r="G278" s="24" t="s">
        <v>12</v>
      </c>
      <c r="H278" s="24" t="s">
        <v>32</v>
      </c>
    </row>
    <row r="279" ht="20" customHeight="1" spans="1:8" x14ac:dyDescent="0.25">
      <c r="A279" s="22" t="s">
        <v>39</v>
      </c>
      <c r="B279" s="22" t="s">
        <v>40</v>
      </c>
      <c r="C279" s="23" t="s">
        <v>605</v>
      </c>
      <c r="D279" s="6" t="s">
        <v>4</v>
      </c>
      <c r="E279" s="22" t="s">
        <v>297</v>
      </c>
      <c r="F279" s="22" t="s">
        <v>170</v>
      </c>
      <c r="G279" s="22" t="s">
        <v>991</v>
      </c>
      <c r="H279" s="32" t="s">
        <v>79</v>
      </c>
    </row>
    <row r="280" ht="20" customHeight="1" spans="1:8" x14ac:dyDescent="0.25">
      <c r="A280" s="24" t="s">
        <v>41</v>
      </c>
      <c r="B280" s="24" t="s">
        <v>42</v>
      </c>
      <c r="C280" s="25" t="s">
        <v>605</v>
      </c>
      <c r="D280" s="33" t="s">
        <v>86</v>
      </c>
      <c r="E280" s="24" t="s">
        <v>12</v>
      </c>
      <c r="F280" s="24" t="s">
        <v>12</v>
      </c>
      <c r="G280" s="24" t="s">
        <v>12</v>
      </c>
      <c r="H280" s="24" t="s">
        <v>32</v>
      </c>
    </row>
    <row r="281" ht="20" customHeight="1" spans="1:8" x14ac:dyDescent="0.25">
      <c r="A281" s="22" t="s">
        <v>44</v>
      </c>
      <c r="B281" s="22" t="s">
        <v>45</v>
      </c>
      <c r="C281" s="23" t="s">
        <v>605</v>
      </c>
      <c r="D281" s="6" t="s">
        <v>4</v>
      </c>
      <c r="E281" s="22" t="s">
        <v>297</v>
      </c>
      <c r="F281" s="22" t="s">
        <v>136</v>
      </c>
      <c r="G281" s="22" t="s">
        <v>478</v>
      </c>
      <c r="H281" s="32" t="s">
        <v>79</v>
      </c>
    </row>
    <row r="282" ht="20" customHeight="1" spans="1:8" x14ac:dyDescent="0.25">
      <c r="A282" s="24" t="s">
        <v>46</v>
      </c>
      <c r="B282" s="24" t="s">
        <v>31</v>
      </c>
      <c r="C282" s="25" t="s">
        <v>605</v>
      </c>
      <c r="D282" s="6" t="s">
        <v>4</v>
      </c>
      <c r="E282" s="24" t="s">
        <v>561</v>
      </c>
      <c r="F282" s="24" t="s">
        <v>447</v>
      </c>
      <c r="G282" s="24" t="s">
        <v>563</v>
      </c>
      <c r="H282" s="30" t="s">
        <v>79</v>
      </c>
    </row>
    <row r="283" ht="20" customHeight="1" spans="1:8" x14ac:dyDescent="0.25">
      <c r="A283" s="22" t="s">
        <v>47</v>
      </c>
      <c r="B283" s="22" t="s">
        <v>34</v>
      </c>
      <c r="C283" s="23" t="s">
        <v>605</v>
      </c>
      <c r="D283" s="6" t="s">
        <v>4</v>
      </c>
      <c r="E283" s="22" t="s">
        <v>106</v>
      </c>
      <c r="F283" s="22" t="s">
        <v>629</v>
      </c>
      <c r="G283" s="22" t="s">
        <v>180</v>
      </c>
      <c r="H283" s="29" t="s">
        <v>630</v>
      </c>
    </row>
    <row r="284" ht="20" customHeight="1" spans="1:8" x14ac:dyDescent="0.25">
      <c r="A284" s="24" t="s">
        <v>48</v>
      </c>
      <c r="B284" s="24" t="s">
        <v>36</v>
      </c>
      <c r="C284" s="25" t="s">
        <v>605</v>
      </c>
      <c r="D284" s="6" t="s">
        <v>4</v>
      </c>
      <c r="E284" s="24" t="s">
        <v>561</v>
      </c>
      <c r="F284" s="24" t="s">
        <v>1497</v>
      </c>
      <c r="G284" s="24" t="s">
        <v>410</v>
      </c>
      <c r="H284" s="34" t="s">
        <v>537</v>
      </c>
    </row>
    <row r="285" ht="20" customHeight="1" spans="1:8" x14ac:dyDescent="0.25">
      <c r="A285" s="22" t="s">
        <v>49</v>
      </c>
      <c r="B285" s="22" t="s">
        <v>38</v>
      </c>
      <c r="C285" s="23" t="s">
        <v>605</v>
      </c>
      <c r="D285" s="6" t="s">
        <v>4</v>
      </c>
      <c r="E285" s="22" t="s">
        <v>620</v>
      </c>
      <c r="F285" s="22" t="s">
        <v>534</v>
      </c>
      <c r="G285" s="22" t="s">
        <v>250</v>
      </c>
      <c r="H285" s="29" t="s">
        <v>1499</v>
      </c>
    </row>
    <row r="286" ht="20" customHeight="1" spans="1:8" x14ac:dyDescent="0.25">
      <c r="A286" s="24" t="s">
        <v>50</v>
      </c>
      <c r="B286" s="24" t="s">
        <v>40</v>
      </c>
      <c r="C286" s="25" t="s">
        <v>605</v>
      </c>
      <c r="D286" s="6" t="s">
        <v>4</v>
      </c>
      <c r="E286" s="24" t="s">
        <v>303</v>
      </c>
      <c r="F286" s="24" t="s">
        <v>523</v>
      </c>
      <c r="G286" s="24" t="s">
        <v>130</v>
      </c>
      <c r="H286" s="34" t="s">
        <v>632</v>
      </c>
    </row>
    <row r="287" ht="20" customHeight="1" spans="1:8" x14ac:dyDescent="0.25">
      <c r="A287" s="22" t="s">
        <v>51</v>
      </c>
      <c r="B287" s="22" t="s">
        <v>42</v>
      </c>
      <c r="C287" s="23" t="s">
        <v>605</v>
      </c>
      <c r="D287" s="35" t="s">
        <v>86</v>
      </c>
      <c r="E287" s="22" t="s">
        <v>12</v>
      </c>
      <c r="F287" s="22" t="s">
        <v>12</v>
      </c>
      <c r="G287" s="22" t="s">
        <v>12</v>
      </c>
      <c r="H287" s="22" t="s">
        <v>32</v>
      </c>
    </row>
    <row r="288" ht="20" customHeight="1" spans="1:8" x14ac:dyDescent="0.25">
      <c r="A288" s="24" t="s">
        <v>52</v>
      </c>
      <c r="B288" s="24" t="s">
        <v>45</v>
      </c>
      <c r="C288" s="25" t="s">
        <v>605</v>
      </c>
      <c r="D288" s="6" t="s">
        <v>4</v>
      </c>
      <c r="E288" s="24" t="s">
        <v>1357</v>
      </c>
      <c r="F288" s="24" t="s">
        <v>529</v>
      </c>
      <c r="G288" s="24" t="s">
        <v>250</v>
      </c>
      <c r="H288" s="30" t="s">
        <v>79</v>
      </c>
    </row>
    <row r="289" ht="20" customHeight="1" spans="1:8" x14ac:dyDescent="0.25">
      <c r="A289" s="22" t="s">
        <v>53</v>
      </c>
      <c r="B289" s="22" t="s">
        <v>31</v>
      </c>
      <c r="C289" s="23" t="s">
        <v>605</v>
      </c>
      <c r="D289" s="16" t="s">
        <v>43</v>
      </c>
      <c r="E289" s="22" t="s">
        <v>12</v>
      </c>
      <c r="F289" s="22" t="s">
        <v>12</v>
      </c>
      <c r="G289" s="22" t="s">
        <v>12</v>
      </c>
      <c r="H289" s="22" t="s">
        <v>32</v>
      </c>
    </row>
    <row r="290" ht="20" customHeight="1" spans="1:8" x14ac:dyDescent="0.25">
      <c r="A290" s="24" t="s">
        <v>54</v>
      </c>
      <c r="B290" s="24" t="s">
        <v>34</v>
      </c>
      <c r="C290" s="25" t="s">
        <v>605</v>
      </c>
      <c r="D290" s="6" t="s">
        <v>4</v>
      </c>
      <c r="E290" s="24" t="s">
        <v>561</v>
      </c>
      <c r="F290" s="24" t="s">
        <v>448</v>
      </c>
      <c r="G290" s="24" t="s">
        <v>283</v>
      </c>
      <c r="H290" s="30" t="s">
        <v>79</v>
      </c>
    </row>
    <row r="291" ht="20" customHeight="1" spans="1:8" x14ac:dyDescent="0.25">
      <c r="A291" s="22" t="s">
        <v>55</v>
      </c>
      <c r="B291" s="22" t="s">
        <v>36</v>
      </c>
      <c r="C291" s="23" t="s">
        <v>605</v>
      </c>
      <c r="D291" s="6" t="s">
        <v>4</v>
      </c>
      <c r="E291" s="22" t="s">
        <v>135</v>
      </c>
      <c r="F291" s="22" t="s">
        <v>536</v>
      </c>
      <c r="G291" s="22" t="s">
        <v>161</v>
      </c>
      <c r="H291" s="29" t="s">
        <v>795</v>
      </c>
    </row>
    <row r="292" ht="20" customHeight="1" spans="1:8" x14ac:dyDescent="0.25">
      <c r="A292" s="24" t="s">
        <v>56</v>
      </c>
      <c r="B292" s="24" t="s">
        <v>38</v>
      </c>
      <c r="C292" s="25" t="s">
        <v>605</v>
      </c>
      <c r="D292" s="6" t="s">
        <v>4</v>
      </c>
      <c r="E292" s="24" t="s">
        <v>527</v>
      </c>
      <c r="F292" s="24" t="s">
        <v>73</v>
      </c>
      <c r="G292" s="24" t="s">
        <v>285</v>
      </c>
      <c r="H292" s="34" t="s">
        <v>75</v>
      </c>
    </row>
    <row r="293" ht="20" customHeight="1" spans="1:8" x14ac:dyDescent="0.25">
      <c r="A293" s="22" t="s">
        <v>57</v>
      </c>
      <c r="B293" s="22" t="s">
        <v>40</v>
      </c>
      <c r="C293" s="23" t="s">
        <v>605</v>
      </c>
      <c r="D293" s="6" t="s">
        <v>4</v>
      </c>
      <c r="E293" s="22" t="s">
        <v>391</v>
      </c>
      <c r="F293" s="22" t="s">
        <v>448</v>
      </c>
      <c r="G293" s="22" t="s">
        <v>180</v>
      </c>
      <c r="H293" s="32" t="s">
        <v>79</v>
      </c>
    </row>
    <row r="294" ht="20" customHeight="1" spans="1:8" x14ac:dyDescent="0.25">
      <c r="A294" s="24" t="s">
        <v>58</v>
      </c>
      <c r="B294" s="24" t="s">
        <v>42</v>
      </c>
      <c r="C294" s="25" t="s">
        <v>605</v>
      </c>
      <c r="D294" s="33" t="s">
        <v>86</v>
      </c>
      <c r="E294" s="24" t="s">
        <v>12</v>
      </c>
      <c r="F294" s="24" t="s">
        <v>12</v>
      </c>
      <c r="G294" s="24" t="s">
        <v>12</v>
      </c>
      <c r="H294" s="24" t="s">
        <v>32</v>
      </c>
    </row>
    <row r="295" ht="20" customHeight="1" spans="1:8" x14ac:dyDescent="0.25">
      <c r="A295" s="22" t="s">
        <v>59</v>
      </c>
      <c r="B295" s="22" t="s">
        <v>45</v>
      </c>
      <c r="C295" s="23" t="s">
        <v>605</v>
      </c>
      <c r="D295" s="6" t="s">
        <v>4</v>
      </c>
      <c r="E295" s="22" t="s">
        <v>1360</v>
      </c>
      <c r="F295" s="22" t="s">
        <v>623</v>
      </c>
      <c r="G295" s="22" t="s">
        <v>267</v>
      </c>
      <c r="H295" s="29" t="s">
        <v>624</v>
      </c>
    </row>
    <row r="296" ht="20" customHeight="1" spans="1:8" x14ac:dyDescent="0.25">
      <c r="A296" s="24" t="s">
        <v>60</v>
      </c>
      <c r="B296" s="24" t="s">
        <v>31</v>
      </c>
      <c r="C296" s="25" t="s">
        <v>605</v>
      </c>
      <c r="D296" s="16" t="s">
        <v>43</v>
      </c>
      <c r="E296" s="24" t="s">
        <v>12</v>
      </c>
      <c r="F296" s="24" t="s">
        <v>12</v>
      </c>
      <c r="G296" s="24" t="s">
        <v>12</v>
      </c>
      <c r="H296" s="24" t="s">
        <v>32</v>
      </c>
    </row>
    <row r="297" ht="20" customHeight="1" spans="1:8" x14ac:dyDescent="0.25">
      <c r="A297" s="22" t="s">
        <v>61</v>
      </c>
      <c r="B297" s="22" t="s">
        <v>34</v>
      </c>
      <c r="C297" s="23" t="s">
        <v>605</v>
      </c>
      <c r="D297" s="6" t="s">
        <v>4</v>
      </c>
      <c r="E297" s="22" t="s">
        <v>297</v>
      </c>
      <c r="F297" s="22" t="s">
        <v>536</v>
      </c>
      <c r="G297" s="22" t="s">
        <v>290</v>
      </c>
      <c r="H297" s="29" t="s">
        <v>795</v>
      </c>
    </row>
    <row r="298" ht="20" customHeight="1" spans="1:8" x14ac:dyDescent="0.25">
      <c r="A298" s="24" t="s">
        <v>62</v>
      </c>
      <c r="B298" s="24" t="s">
        <v>36</v>
      </c>
      <c r="C298" s="25" t="s">
        <v>605</v>
      </c>
      <c r="D298" s="6" t="s">
        <v>4</v>
      </c>
      <c r="E298" s="24" t="s">
        <v>561</v>
      </c>
      <c r="F298" s="24" t="s">
        <v>623</v>
      </c>
      <c r="G298" s="24" t="s">
        <v>194</v>
      </c>
      <c r="H298" s="34" t="s">
        <v>624</v>
      </c>
    </row>
    <row r="299" ht="20" customHeight="1" spans="1:8" x14ac:dyDescent="0.25">
      <c r="A299" s="22" t="s">
        <v>63</v>
      </c>
      <c r="B299" s="22" t="s">
        <v>38</v>
      </c>
      <c r="C299" s="23" t="s">
        <v>605</v>
      </c>
      <c r="D299" s="6" t="s">
        <v>4</v>
      </c>
      <c r="E299" s="22" t="s">
        <v>128</v>
      </c>
      <c r="F299" s="22" t="s">
        <v>648</v>
      </c>
      <c r="G299" s="22" t="s">
        <v>742</v>
      </c>
      <c r="H299" s="32" t="s">
        <v>79</v>
      </c>
    </row>
    <row r="300" ht="20" customHeight="1" spans="1:8" x14ac:dyDescent="0.25">
      <c r="A300" s="24" t="s">
        <v>64</v>
      </c>
      <c r="B300" s="24" t="s">
        <v>40</v>
      </c>
      <c r="C300" s="25" t="s">
        <v>605</v>
      </c>
      <c r="D300" s="6" t="s">
        <v>4</v>
      </c>
      <c r="E300" s="24" t="s">
        <v>135</v>
      </c>
      <c r="F300" s="24" t="s">
        <v>628</v>
      </c>
      <c r="G300" s="24" t="s">
        <v>329</v>
      </c>
      <c r="H300" s="34" t="s">
        <v>535</v>
      </c>
    </row>
    <row r="301" ht="20" customHeight="1" spans="1:8" x14ac:dyDescent="0.25">
      <c r="A301" s="22" t="s">
        <v>65</v>
      </c>
      <c r="B301" s="22" t="s">
        <v>42</v>
      </c>
      <c r="C301" s="23" t="s">
        <v>605</v>
      </c>
      <c r="D301" s="35" t="s">
        <v>86</v>
      </c>
      <c r="E301" s="22" t="s">
        <v>12</v>
      </c>
      <c r="F301" s="22" t="s">
        <v>12</v>
      </c>
      <c r="G301" s="22" t="s">
        <v>12</v>
      </c>
      <c r="H301" s="22" t="s">
        <v>32</v>
      </c>
    </row>
    <row r="302" ht="20" customHeight="1" spans="1:8" x14ac:dyDescent="0.25">
      <c r="A302" s="24" t="s">
        <v>66</v>
      </c>
      <c r="B302" s="24" t="s">
        <v>45</v>
      </c>
      <c r="C302" s="25" t="s">
        <v>605</v>
      </c>
      <c r="D302" s="6" t="s">
        <v>4</v>
      </c>
      <c r="E302" s="24" t="s">
        <v>76</v>
      </c>
      <c r="F302" s="24" t="s">
        <v>628</v>
      </c>
      <c r="G302" s="24" t="s">
        <v>147</v>
      </c>
      <c r="H302" s="34" t="s">
        <v>535</v>
      </c>
    </row>
    <row r="303" ht="20" customHeight="1" spans="1:8" x14ac:dyDescent="0.25">
      <c r="A303" s="22" t="s">
        <v>67</v>
      </c>
      <c r="B303" s="22" t="s">
        <v>31</v>
      </c>
      <c r="C303" s="23" t="s">
        <v>605</v>
      </c>
      <c r="D303" s="6" t="s">
        <v>4</v>
      </c>
      <c r="E303" s="22" t="s">
        <v>435</v>
      </c>
      <c r="F303" s="22" t="s">
        <v>444</v>
      </c>
      <c r="G303" s="22" t="s">
        <v>329</v>
      </c>
      <c r="H303" s="29" t="s">
        <v>445</v>
      </c>
    </row>
    <row r="304" ht="20" customHeight="1" spans="1:8" x14ac:dyDescent="0.25">
      <c r="A304" s="24" t="s">
        <v>68</v>
      </c>
      <c r="B304" s="24" t="s">
        <v>34</v>
      </c>
      <c r="C304" s="25" t="s">
        <v>605</v>
      </c>
      <c r="D304" s="6" t="s">
        <v>4</v>
      </c>
      <c r="E304" s="24" t="s">
        <v>437</v>
      </c>
      <c r="F304" s="24" t="s">
        <v>129</v>
      </c>
      <c r="G304" s="24" t="s">
        <v>267</v>
      </c>
      <c r="H304" s="34" t="s">
        <v>131</v>
      </c>
    </row>
    <row r="305" ht="22" customHeight="1" spans="1:8" x14ac:dyDescent="0.25">
      <c r="A305" s="26" t="s">
        <v>69</v>
      </c>
      <c r="B305" s="26"/>
      <c r="C305" s="26"/>
      <c r="D305" s="26"/>
      <c r="E305" s="26"/>
      <c r="F305" s="26"/>
      <c r="G305" s="27" t="s">
        <v>1642</v>
      </c>
      <c r="H305" s="28" t="s">
        <v>12</v>
      </c>
    </row>
    <row r="307" ht="26" customHeight="1" spans="1:8" x14ac:dyDescent="0.25">
      <c r="A307" s="20" t="s">
        <v>1643</v>
      </c>
      <c r="B307" s="20"/>
      <c r="C307" s="20"/>
      <c r="D307" s="20"/>
      <c r="E307" s="20"/>
      <c r="F307" s="20"/>
      <c r="G307" s="20"/>
      <c r="H307" s="20"/>
    </row>
    <row r="308" ht="22" customHeight="1" spans="1:8" x14ac:dyDescent="0.25">
      <c r="A308" s="21" t="s">
        <v>22</v>
      </c>
      <c r="B308" s="21" t="s">
        <v>23</v>
      </c>
      <c r="C308" s="21" t="s">
        <v>24</v>
      </c>
      <c r="D308" s="21" t="s">
        <v>25</v>
      </c>
      <c r="E308" s="21" t="s">
        <v>26</v>
      </c>
      <c r="F308" s="21" t="s">
        <v>27</v>
      </c>
      <c r="G308" s="21" t="s">
        <v>28</v>
      </c>
      <c r="H308" s="21" t="s">
        <v>29</v>
      </c>
    </row>
    <row r="309" ht="20" customHeight="1" spans="1:8" x14ac:dyDescent="0.25">
      <c r="A309" s="22" t="s">
        <v>30</v>
      </c>
      <c r="B309" s="22" t="s">
        <v>31</v>
      </c>
      <c r="C309" s="23" t="s">
        <v>71</v>
      </c>
      <c r="D309" s="6" t="s">
        <v>4</v>
      </c>
      <c r="E309" s="22" t="s">
        <v>409</v>
      </c>
      <c r="F309" s="22" t="s">
        <v>231</v>
      </c>
      <c r="G309" s="22" t="s">
        <v>119</v>
      </c>
      <c r="H309" s="32" t="s">
        <v>79</v>
      </c>
    </row>
    <row r="310" ht="20" customHeight="1" spans="1:8" x14ac:dyDescent="0.25">
      <c r="A310" s="24" t="s">
        <v>33</v>
      </c>
      <c r="B310" s="24" t="s">
        <v>34</v>
      </c>
      <c r="C310" s="25" t="s">
        <v>71</v>
      </c>
      <c r="D310" s="6" t="s">
        <v>4</v>
      </c>
      <c r="E310" s="24" t="s">
        <v>383</v>
      </c>
      <c r="F310" s="24" t="s">
        <v>384</v>
      </c>
      <c r="G310" s="24" t="s">
        <v>171</v>
      </c>
      <c r="H310" s="30" t="s">
        <v>79</v>
      </c>
    </row>
    <row r="311" ht="20" customHeight="1" spans="1:8" x14ac:dyDescent="0.25">
      <c r="A311" s="22" t="s">
        <v>35</v>
      </c>
      <c r="B311" s="22" t="s">
        <v>36</v>
      </c>
      <c r="C311" s="23" t="s">
        <v>71</v>
      </c>
      <c r="D311" s="6" t="s">
        <v>4</v>
      </c>
      <c r="E311" s="22" t="s">
        <v>411</v>
      </c>
      <c r="F311" s="22" t="s">
        <v>374</v>
      </c>
      <c r="G311" s="22" t="s">
        <v>267</v>
      </c>
      <c r="H311" s="32" t="s">
        <v>79</v>
      </c>
    </row>
    <row r="312" ht="20" customHeight="1" spans="1:8" x14ac:dyDescent="0.25">
      <c r="A312" s="24" t="s">
        <v>37</v>
      </c>
      <c r="B312" s="24" t="s">
        <v>38</v>
      </c>
      <c r="C312" s="25" t="s">
        <v>71</v>
      </c>
      <c r="D312" s="31" t="s">
        <v>11</v>
      </c>
      <c r="E312" s="24" t="s">
        <v>12</v>
      </c>
      <c r="F312" s="24" t="s">
        <v>12</v>
      </c>
      <c r="G312" s="24" t="s">
        <v>12</v>
      </c>
      <c r="H312" s="24" t="s">
        <v>32</v>
      </c>
    </row>
    <row r="313" ht="20" customHeight="1" spans="1:8" x14ac:dyDescent="0.25">
      <c r="A313" s="22" t="s">
        <v>39</v>
      </c>
      <c r="B313" s="22" t="s">
        <v>40</v>
      </c>
      <c r="C313" s="23" t="s">
        <v>71</v>
      </c>
      <c r="D313" s="6" t="s">
        <v>4</v>
      </c>
      <c r="E313" s="22" t="s">
        <v>403</v>
      </c>
      <c r="F313" s="22" t="s">
        <v>395</v>
      </c>
      <c r="G313" s="22" t="s">
        <v>142</v>
      </c>
      <c r="H313" s="32" t="s">
        <v>79</v>
      </c>
    </row>
    <row r="314" ht="20" customHeight="1" spans="1:8" x14ac:dyDescent="0.25">
      <c r="A314" s="24" t="s">
        <v>41</v>
      </c>
      <c r="B314" s="24" t="s">
        <v>42</v>
      </c>
      <c r="C314" s="25" t="s">
        <v>71</v>
      </c>
      <c r="D314" s="33" t="s">
        <v>86</v>
      </c>
      <c r="E314" s="24" t="s">
        <v>12</v>
      </c>
      <c r="F314" s="24" t="s">
        <v>12</v>
      </c>
      <c r="G314" s="24" t="s">
        <v>12</v>
      </c>
      <c r="H314" s="24" t="s">
        <v>32</v>
      </c>
    </row>
    <row r="315" ht="20" customHeight="1" spans="1:8" x14ac:dyDescent="0.25">
      <c r="A315" s="22" t="s">
        <v>44</v>
      </c>
      <c r="B315" s="22" t="s">
        <v>45</v>
      </c>
      <c r="C315" s="23" t="s">
        <v>71</v>
      </c>
      <c r="D315" s="6" t="s">
        <v>4</v>
      </c>
      <c r="E315" s="22" t="s">
        <v>322</v>
      </c>
      <c r="F315" s="22" t="s">
        <v>376</v>
      </c>
      <c r="G315" s="22" t="s">
        <v>514</v>
      </c>
      <c r="H315" s="29" t="s">
        <v>323</v>
      </c>
    </row>
    <row r="316" ht="20" customHeight="1" spans="1:8" x14ac:dyDescent="0.25">
      <c r="A316" s="24" t="s">
        <v>46</v>
      </c>
      <c r="B316" s="24" t="s">
        <v>31</v>
      </c>
      <c r="C316" s="25" t="s">
        <v>71</v>
      </c>
      <c r="D316" s="6" t="s">
        <v>4</v>
      </c>
      <c r="E316" s="24" t="s">
        <v>390</v>
      </c>
      <c r="F316" s="24" t="s">
        <v>384</v>
      </c>
      <c r="G316" s="24" t="s">
        <v>250</v>
      </c>
      <c r="H316" s="30" t="s">
        <v>79</v>
      </c>
    </row>
    <row r="317" ht="20" customHeight="1" spans="1:8" x14ac:dyDescent="0.25">
      <c r="A317" s="22" t="s">
        <v>47</v>
      </c>
      <c r="B317" s="22" t="s">
        <v>34</v>
      </c>
      <c r="C317" s="23" t="s">
        <v>71</v>
      </c>
      <c r="D317" s="6" t="s">
        <v>4</v>
      </c>
      <c r="E317" s="22" t="s">
        <v>234</v>
      </c>
      <c r="F317" s="22" t="s">
        <v>366</v>
      </c>
      <c r="G317" s="22" t="s">
        <v>285</v>
      </c>
      <c r="H317" s="29" t="s">
        <v>236</v>
      </c>
    </row>
    <row r="318" ht="20" customHeight="1" spans="1:8" x14ac:dyDescent="0.25">
      <c r="A318" s="24" t="s">
        <v>48</v>
      </c>
      <c r="B318" s="24" t="s">
        <v>36</v>
      </c>
      <c r="C318" s="25" t="s">
        <v>71</v>
      </c>
      <c r="D318" s="6" t="s">
        <v>4</v>
      </c>
      <c r="E318" s="24" t="s">
        <v>320</v>
      </c>
      <c r="F318" s="24" t="s">
        <v>376</v>
      </c>
      <c r="G318" s="24" t="s">
        <v>171</v>
      </c>
      <c r="H318" s="30" t="s">
        <v>79</v>
      </c>
    </row>
    <row r="319" ht="20" customHeight="1" spans="1:8" x14ac:dyDescent="0.25">
      <c r="A319" s="22" t="s">
        <v>49</v>
      </c>
      <c r="B319" s="22" t="s">
        <v>38</v>
      </c>
      <c r="C319" s="23" t="s">
        <v>71</v>
      </c>
      <c r="D319" s="6" t="s">
        <v>4</v>
      </c>
      <c r="E319" s="22" t="s">
        <v>434</v>
      </c>
      <c r="F319" s="22" t="s">
        <v>384</v>
      </c>
      <c r="G319" s="22" t="s">
        <v>285</v>
      </c>
      <c r="H319" s="32" t="s">
        <v>79</v>
      </c>
    </row>
    <row r="320" ht="20" customHeight="1" spans="1:8" x14ac:dyDescent="0.25">
      <c r="A320" s="24" t="s">
        <v>50</v>
      </c>
      <c r="B320" s="24" t="s">
        <v>40</v>
      </c>
      <c r="C320" s="25" t="s">
        <v>71</v>
      </c>
      <c r="D320" s="33" t="s">
        <v>86</v>
      </c>
      <c r="E320" s="24" t="s">
        <v>12</v>
      </c>
      <c r="F320" s="24" t="s">
        <v>12</v>
      </c>
      <c r="G320" s="24" t="s">
        <v>12</v>
      </c>
      <c r="H320" s="24" t="s">
        <v>32</v>
      </c>
    </row>
    <row r="321" ht="20" customHeight="1" spans="1:8" x14ac:dyDescent="0.25">
      <c r="A321" s="22" t="s">
        <v>51</v>
      </c>
      <c r="B321" s="22" t="s">
        <v>42</v>
      </c>
      <c r="C321" s="23" t="s">
        <v>71</v>
      </c>
      <c r="D321" s="35" t="s">
        <v>86</v>
      </c>
      <c r="E321" s="22" t="s">
        <v>12</v>
      </c>
      <c r="F321" s="22" t="s">
        <v>12</v>
      </c>
      <c r="G321" s="22" t="s">
        <v>12</v>
      </c>
      <c r="H321" s="22" t="s">
        <v>32</v>
      </c>
    </row>
    <row r="322" ht="20" customHeight="1" spans="1:8" x14ac:dyDescent="0.25">
      <c r="A322" s="24" t="s">
        <v>52</v>
      </c>
      <c r="B322" s="24" t="s">
        <v>45</v>
      </c>
      <c r="C322" s="25" t="s">
        <v>71</v>
      </c>
      <c r="D322" s="6" t="s">
        <v>4</v>
      </c>
      <c r="E322" s="24" t="s">
        <v>1286</v>
      </c>
      <c r="F322" s="24" t="s">
        <v>519</v>
      </c>
      <c r="G322" s="24" t="s">
        <v>594</v>
      </c>
      <c r="H322" s="34" t="s">
        <v>1287</v>
      </c>
    </row>
    <row r="323" ht="20" customHeight="1" spans="1:8" x14ac:dyDescent="0.25">
      <c r="A323" s="22" t="s">
        <v>53</v>
      </c>
      <c r="B323" s="22" t="s">
        <v>31</v>
      </c>
      <c r="C323" s="23" t="s">
        <v>71</v>
      </c>
      <c r="D323" s="6" t="s">
        <v>4</v>
      </c>
      <c r="E323" s="22" t="s">
        <v>383</v>
      </c>
      <c r="F323" s="22" t="s">
        <v>395</v>
      </c>
      <c r="G323" s="22" t="s">
        <v>267</v>
      </c>
      <c r="H323" s="32" t="s">
        <v>79</v>
      </c>
    </row>
    <row r="324" ht="20" customHeight="1" spans="1:8" x14ac:dyDescent="0.25">
      <c r="A324" s="24" t="s">
        <v>54</v>
      </c>
      <c r="B324" s="24" t="s">
        <v>34</v>
      </c>
      <c r="C324" s="25" t="s">
        <v>71</v>
      </c>
      <c r="D324" s="6" t="s">
        <v>4</v>
      </c>
      <c r="E324" s="24" t="s">
        <v>361</v>
      </c>
      <c r="F324" s="24" t="s">
        <v>338</v>
      </c>
      <c r="G324" s="24" t="s">
        <v>290</v>
      </c>
      <c r="H324" s="30" t="s">
        <v>79</v>
      </c>
    </row>
    <row r="325" ht="20" customHeight="1" spans="1:8" x14ac:dyDescent="0.25">
      <c r="A325" s="22" t="s">
        <v>55</v>
      </c>
      <c r="B325" s="22" t="s">
        <v>36</v>
      </c>
      <c r="C325" s="23" t="s">
        <v>71</v>
      </c>
      <c r="D325" s="6" t="s">
        <v>4</v>
      </c>
      <c r="E325" s="22" t="s">
        <v>518</v>
      </c>
      <c r="F325" s="22" t="s">
        <v>402</v>
      </c>
      <c r="G325" s="22" t="s">
        <v>329</v>
      </c>
      <c r="H325" s="32" t="s">
        <v>79</v>
      </c>
    </row>
    <row r="326" ht="20" customHeight="1" spans="1:8" x14ac:dyDescent="0.25">
      <c r="A326" s="24" t="s">
        <v>56</v>
      </c>
      <c r="B326" s="24" t="s">
        <v>38</v>
      </c>
      <c r="C326" s="25" t="s">
        <v>71</v>
      </c>
      <c r="D326" s="6" t="s">
        <v>4</v>
      </c>
      <c r="E326" s="24" t="s">
        <v>212</v>
      </c>
      <c r="F326" s="24" t="s">
        <v>343</v>
      </c>
      <c r="G326" s="24" t="s">
        <v>758</v>
      </c>
      <c r="H326" s="34" t="s">
        <v>215</v>
      </c>
    </row>
    <row r="327" ht="20" customHeight="1" spans="1:8" x14ac:dyDescent="0.25">
      <c r="A327" s="22" t="s">
        <v>57</v>
      </c>
      <c r="B327" s="22" t="s">
        <v>40</v>
      </c>
      <c r="C327" s="23" t="s">
        <v>71</v>
      </c>
      <c r="D327" s="6" t="s">
        <v>4</v>
      </c>
      <c r="E327" s="22" t="s">
        <v>362</v>
      </c>
      <c r="F327" s="22" t="s">
        <v>374</v>
      </c>
      <c r="G327" s="22" t="s">
        <v>99</v>
      </c>
      <c r="H327" s="32" t="s">
        <v>79</v>
      </c>
    </row>
    <row r="328" ht="20" customHeight="1" spans="1:8" x14ac:dyDescent="0.25">
      <c r="A328" s="24" t="s">
        <v>58</v>
      </c>
      <c r="B328" s="24" t="s">
        <v>42</v>
      </c>
      <c r="C328" s="25" t="s">
        <v>71</v>
      </c>
      <c r="D328" s="33" t="s">
        <v>86</v>
      </c>
      <c r="E328" s="24" t="s">
        <v>12</v>
      </c>
      <c r="F328" s="24" t="s">
        <v>12</v>
      </c>
      <c r="G328" s="24" t="s">
        <v>12</v>
      </c>
      <c r="H328" s="24" t="s">
        <v>32</v>
      </c>
    </row>
    <row r="329" ht="20" customHeight="1" spans="1:8" x14ac:dyDescent="0.25">
      <c r="A329" s="22" t="s">
        <v>59</v>
      </c>
      <c r="B329" s="22" t="s">
        <v>45</v>
      </c>
      <c r="C329" s="23" t="s">
        <v>71</v>
      </c>
      <c r="D329" s="6" t="s">
        <v>4</v>
      </c>
      <c r="E329" s="22" t="s">
        <v>576</v>
      </c>
      <c r="F329" s="22" t="s">
        <v>389</v>
      </c>
      <c r="G329" s="22" t="s">
        <v>99</v>
      </c>
      <c r="H329" s="32" t="s">
        <v>79</v>
      </c>
    </row>
    <row r="330" ht="20" customHeight="1" spans="1:8" x14ac:dyDescent="0.25">
      <c r="A330" s="24" t="s">
        <v>60</v>
      </c>
      <c r="B330" s="24" t="s">
        <v>31</v>
      </c>
      <c r="C330" s="25" t="s">
        <v>71</v>
      </c>
      <c r="D330" s="6" t="s">
        <v>4</v>
      </c>
      <c r="E330" s="24" t="s">
        <v>320</v>
      </c>
      <c r="F330" s="24" t="s">
        <v>376</v>
      </c>
      <c r="G330" s="24" t="s">
        <v>174</v>
      </c>
      <c r="H330" s="30" t="s">
        <v>79</v>
      </c>
    </row>
    <row r="331" ht="20" customHeight="1" spans="1:8" x14ac:dyDescent="0.25">
      <c r="A331" s="22" t="s">
        <v>61</v>
      </c>
      <c r="B331" s="22" t="s">
        <v>34</v>
      </c>
      <c r="C331" s="23" t="s">
        <v>71</v>
      </c>
      <c r="D331" s="6" t="s">
        <v>4</v>
      </c>
      <c r="E331" s="22" t="s">
        <v>322</v>
      </c>
      <c r="F331" s="22" t="s">
        <v>321</v>
      </c>
      <c r="G331" s="22" t="s">
        <v>614</v>
      </c>
      <c r="H331" s="29" t="s">
        <v>323</v>
      </c>
    </row>
    <row r="332" ht="20" customHeight="1" spans="1:8" x14ac:dyDescent="0.25">
      <c r="A332" s="24" t="s">
        <v>62</v>
      </c>
      <c r="B332" s="24" t="s">
        <v>36</v>
      </c>
      <c r="C332" s="25" t="s">
        <v>71</v>
      </c>
      <c r="D332" s="6" t="s">
        <v>4</v>
      </c>
      <c r="E332" s="24" t="s">
        <v>362</v>
      </c>
      <c r="F332" s="24" t="s">
        <v>301</v>
      </c>
      <c r="G332" s="24" t="s">
        <v>659</v>
      </c>
      <c r="H332" s="30" t="s">
        <v>79</v>
      </c>
    </row>
    <row r="333" ht="20" customHeight="1" spans="1:8" x14ac:dyDescent="0.25">
      <c r="A333" s="22" t="s">
        <v>63</v>
      </c>
      <c r="B333" s="22" t="s">
        <v>38</v>
      </c>
      <c r="C333" s="23" t="s">
        <v>71</v>
      </c>
      <c r="D333" s="6" t="s">
        <v>4</v>
      </c>
      <c r="E333" s="22" t="s">
        <v>320</v>
      </c>
      <c r="F333" s="22" t="s">
        <v>237</v>
      </c>
      <c r="G333" s="22" t="s">
        <v>250</v>
      </c>
      <c r="H333" s="32" t="s">
        <v>79</v>
      </c>
    </row>
    <row r="334" ht="20" customHeight="1" spans="1:8" x14ac:dyDescent="0.25">
      <c r="A334" s="24" t="s">
        <v>64</v>
      </c>
      <c r="B334" s="24" t="s">
        <v>40</v>
      </c>
      <c r="C334" s="25" t="s">
        <v>71</v>
      </c>
      <c r="D334" s="10" t="s">
        <v>87</v>
      </c>
      <c r="E334" s="24" t="s">
        <v>12</v>
      </c>
      <c r="F334" s="24" t="s">
        <v>12</v>
      </c>
      <c r="G334" s="24" t="s">
        <v>12</v>
      </c>
      <c r="H334" s="24" t="s">
        <v>32</v>
      </c>
    </row>
    <row r="335" ht="20" customHeight="1" spans="1:8" x14ac:dyDescent="0.25">
      <c r="A335" s="22" t="s">
        <v>65</v>
      </c>
      <c r="B335" s="22" t="s">
        <v>42</v>
      </c>
      <c r="C335" s="23" t="s">
        <v>71</v>
      </c>
      <c r="D335" s="35" t="s">
        <v>86</v>
      </c>
      <c r="E335" s="22" t="s">
        <v>12</v>
      </c>
      <c r="F335" s="22" t="s">
        <v>12</v>
      </c>
      <c r="G335" s="22" t="s">
        <v>12</v>
      </c>
      <c r="H335" s="22" t="s">
        <v>32</v>
      </c>
    </row>
    <row r="336" ht="20" customHeight="1" spans="1:8" x14ac:dyDescent="0.25">
      <c r="A336" s="24" t="s">
        <v>66</v>
      </c>
      <c r="B336" s="24" t="s">
        <v>45</v>
      </c>
      <c r="C336" s="25" t="s">
        <v>71</v>
      </c>
      <c r="D336" s="6" t="s">
        <v>4</v>
      </c>
      <c r="E336" s="24" t="s">
        <v>320</v>
      </c>
      <c r="F336" s="24" t="s">
        <v>402</v>
      </c>
      <c r="G336" s="24" t="s">
        <v>194</v>
      </c>
      <c r="H336" s="30" t="s">
        <v>79</v>
      </c>
    </row>
    <row r="337" ht="20" customHeight="1" spans="1:8" x14ac:dyDescent="0.25">
      <c r="A337" s="22" t="s">
        <v>67</v>
      </c>
      <c r="B337" s="22" t="s">
        <v>31</v>
      </c>
      <c r="C337" s="23" t="s">
        <v>71</v>
      </c>
      <c r="D337" s="6" t="s">
        <v>4</v>
      </c>
      <c r="E337" s="22" t="s">
        <v>383</v>
      </c>
      <c r="F337" s="22" t="s">
        <v>376</v>
      </c>
      <c r="G337" s="22" t="s">
        <v>147</v>
      </c>
      <c r="H337" s="32" t="s">
        <v>79</v>
      </c>
    </row>
    <row r="338" ht="20" customHeight="1" spans="1:8" x14ac:dyDescent="0.25">
      <c r="A338" s="24" t="s">
        <v>68</v>
      </c>
      <c r="B338" s="24" t="s">
        <v>34</v>
      </c>
      <c r="C338" s="25" t="s">
        <v>71</v>
      </c>
      <c r="D338" s="6" t="s">
        <v>4</v>
      </c>
      <c r="E338" s="24" t="s">
        <v>362</v>
      </c>
      <c r="F338" s="24" t="s">
        <v>373</v>
      </c>
      <c r="G338" s="24" t="s">
        <v>147</v>
      </c>
      <c r="H338" s="30" t="s">
        <v>79</v>
      </c>
    </row>
    <row r="339" ht="22" customHeight="1" spans="1:8" x14ac:dyDescent="0.25">
      <c r="A339" s="26" t="s">
        <v>69</v>
      </c>
      <c r="B339" s="26"/>
      <c r="C339" s="26"/>
      <c r="D339" s="26"/>
      <c r="E339" s="26"/>
      <c r="F339" s="26"/>
      <c r="G339" s="27" t="s">
        <v>1644</v>
      </c>
      <c r="H339" s="28" t="s">
        <v>12</v>
      </c>
    </row>
    <row r="341" ht="26" customHeight="1" spans="1:8" x14ac:dyDescent="0.25">
      <c r="A341" s="20" t="s">
        <v>1645</v>
      </c>
      <c r="B341" s="20"/>
      <c r="C341" s="20"/>
      <c r="D341" s="20"/>
      <c r="E341" s="20"/>
      <c r="F341" s="20"/>
      <c r="G341" s="20"/>
      <c r="H341" s="20"/>
    </row>
    <row r="342" ht="22" customHeight="1" spans="1:8" x14ac:dyDescent="0.25">
      <c r="A342" s="21" t="s">
        <v>22</v>
      </c>
      <c r="B342" s="21" t="s">
        <v>23</v>
      </c>
      <c r="C342" s="21" t="s">
        <v>24</v>
      </c>
      <c r="D342" s="21" t="s">
        <v>25</v>
      </c>
      <c r="E342" s="21" t="s">
        <v>26</v>
      </c>
      <c r="F342" s="21" t="s">
        <v>27</v>
      </c>
      <c r="G342" s="21" t="s">
        <v>28</v>
      </c>
      <c r="H342" s="21" t="s">
        <v>29</v>
      </c>
    </row>
    <row r="343" ht="20" customHeight="1" spans="1:8" x14ac:dyDescent="0.25">
      <c r="A343" s="22" t="s">
        <v>30</v>
      </c>
      <c r="B343" s="22" t="s">
        <v>31</v>
      </c>
      <c r="C343" s="23" t="s">
        <v>71</v>
      </c>
      <c r="D343" s="6" t="s">
        <v>4</v>
      </c>
      <c r="E343" s="22" t="s">
        <v>878</v>
      </c>
      <c r="F343" s="22" t="s">
        <v>301</v>
      </c>
      <c r="G343" s="22" t="s">
        <v>367</v>
      </c>
      <c r="H343" s="29" t="s">
        <v>879</v>
      </c>
    </row>
    <row r="344" ht="20" customHeight="1" spans="1:8" x14ac:dyDescent="0.25">
      <c r="A344" s="24" t="s">
        <v>33</v>
      </c>
      <c r="B344" s="24" t="s">
        <v>34</v>
      </c>
      <c r="C344" s="25" t="s">
        <v>71</v>
      </c>
      <c r="D344" s="6" t="s">
        <v>4</v>
      </c>
      <c r="E344" s="24" t="s">
        <v>201</v>
      </c>
      <c r="F344" s="24" t="s">
        <v>972</v>
      </c>
      <c r="G344" s="24" t="s">
        <v>1620</v>
      </c>
      <c r="H344" s="34" t="s">
        <v>1646</v>
      </c>
    </row>
    <row r="345" ht="20" customHeight="1" spans="1:8" x14ac:dyDescent="0.25">
      <c r="A345" s="22" t="s">
        <v>35</v>
      </c>
      <c r="B345" s="22" t="s">
        <v>36</v>
      </c>
      <c r="C345" s="23" t="s">
        <v>71</v>
      </c>
      <c r="D345" s="6" t="s">
        <v>4</v>
      </c>
      <c r="E345" s="22" t="s">
        <v>472</v>
      </c>
      <c r="F345" s="22" t="s">
        <v>12</v>
      </c>
      <c r="G345" s="22" t="s">
        <v>12</v>
      </c>
      <c r="H345" s="29" t="s">
        <v>473</v>
      </c>
    </row>
    <row r="346" ht="20" customHeight="1" spans="1:8" x14ac:dyDescent="0.25">
      <c r="A346" s="24" t="s">
        <v>37</v>
      </c>
      <c r="B346" s="24" t="s">
        <v>38</v>
      </c>
      <c r="C346" s="25" t="s">
        <v>71</v>
      </c>
      <c r="D346" s="31" t="s">
        <v>11</v>
      </c>
      <c r="E346" s="24" t="s">
        <v>12</v>
      </c>
      <c r="F346" s="24" t="s">
        <v>12</v>
      </c>
      <c r="G346" s="24" t="s">
        <v>12</v>
      </c>
      <c r="H346" s="24" t="s">
        <v>32</v>
      </c>
    </row>
    <row r="347" ht="20" customHeight="1" spans="1:8" x14ac:dyDescent="0.25">
      <c r="A347" s="22" t="s">
        <v>39</v>
      </c>
      <c r="B347" s="22" t="s">
        <v>40</v>
      </c>
      <c r="C347" s="23" t="s">
        <v>71</v>
      </c>
      <c r="D347" s="6" t="s">
        <v>4</v>
      </c>
      <c r="E347" s="22" t="s">
        <v>348</v>
      </c>
      <c r="F347" s="22" t="s">
        <v>386</v>
      </c>
      <c r="G347" s="22" t="s">
        <v>574</v>
      </c>
      <c r="H347" s="29" t="s">
        <v>351</v>
      </c>
    </row>
    <row r="348" ht="20" customHeight="1" spans="1:8" x14ac:dyDescent="0.25">
      <c r="A348" s="24" t="s">
        <v>41</v>
      </c>
      <c r="B348" s="24" t="s">
        <v>42</v>
      </c>
      <c r="C348" s="25" t="s">
        <v>71</v>
      </c>
      <c r="D348" s="33" t="s">
        <v>86</v>
      </c>
      <c r="E348" s="24" t="s">
        <v>12</v>
      </c>
      <c r="F348" s="24" t="s">
        <v>12</v>
      </c>
      <c r="G348" s="24" t="s">
        <v>12</v>
      </c>
      <c r="H348" s="24" t="s">
        <v>32</v>
      </c>
    </row>
    <row r="349" ht="20" customHeight="1" spans="1:8" x14ac:dyDescent="0.25">
      <c r="A349" s="22" t="s">
        <v>44</v>
      </c>
      <c r="B349" s="22" t="s">
        <v>45</v>
      </c>
      <c r="C349" s="23" t="s">
        <v>71</v>
      </c>
      <c r="D349" s="6" t="s">
        <v>4</v>
      </c>
      <c r="E349" s="22" t="s">
        <v>230</v>
      </c>
      <c r="F349" s="22" t="s">
        <v>133</v>
      </c>
      <c r="G349" s="22" t="s">
        <v>505</v>
      </c>
      <c r="H349" s="29" t="s">
        <v>233</v>
      </c>
    </row>
    <row r="350" ht="20" customHeight="1" spans="1:8" x14ac:dyDescent="0.25">
      <c r="A350" s="24" t="s">
        <v>46</v>
      </c>
      <c r="B350" s="24" t="s">
        <v>31</v>
      </c>
      <c r="C350" s="25" t="s">
        <v>71</v>
      </c>
      <c r="D350" s="6" t="s">
        <v>4</v>
      </c>
      <c r="E350" s="24" t="s">
        <v>239</v>
      </c>
      <c r="F350" s="24" t="s">
        <v>324</v>
      </c>
      <c r="G350" s="24" t="s">
        <v>574</v>
      </c>
      <c r="H350" s="34" t="s">
        <v>241</v>
      </c>
    </row>
    <row r="351" ht="20" customHeight="1" spans="1:8" x14ac:dyDescent="0.25">
      <c r="A351" s="22" t="s">
        <v>47</v>
      </c>
      <c r="B351" s="22" t="s">
        <v>34</v>
      </c>
      <c r="C351" s="23" t="s">
        <v>71</v>
      </c>
      <c r="D351" s="6" t="s">
        <v>4</v>
      </c>
      <c r="E351" s="22" t="s">
        <v>322</v>
      </c>
      <c r="F351" s="22" t="s">
        <v>344</v>
      </c>
      <c r="G351" s="22" t="s">
        <v>174</v>
      </c>
      <c r="H351" s="29" t="s">
        <v>323</v>
      </c>
    </row>
    <row r="352" ht="20" customHeight="1" spans="1:8" x14ac:dyDescent="0.25">
      <c r="A352" s="24" t="s">
        <v>48</v>
      </c>
      <c r="B352" s="24" t="s">
        <v>36</v>
      </c>
      <c r="C352" s="25" t="s">
        <v>71</v>
      </c>
      <c r="D352" s="6" t="s">
        <v>4</v>
      </c>
      <c r="E352" s="24" t="s">
        <v>251</v>
      </c>
      <c r="F352" s="24" t="s">
        <v>374</v>
      </c>
      <c r="G352" s="24" t="s">
        <v>487</v>
      </c>
      <c r="H352" s="34" t="s">
        <v>253</v>
      </c>
    </row>
    <row r="353" ht="20" customHeight="1" spans="1:8" x14ac:dyDescent="0.25">
      <c r="A353" s="22" t="s">
        <v>49</v>
      </c>
      <c r="B353" s="22" t="s">
        <v>38</v>
      </c>
      <c r="C353" s="23" t="s">
        <v>71</v>
      </c>
      <c r="D353" s="6" t="s">
        <v>4</v>
      </c>
      <c r="E353" s="22" t="s">
        <v>635</v>
      </c>
      <c r="F353" s="22" t="s">
        <v>386</v>
      </c>
      <c r="G353" s="22" t="s">
        <v>646</v>
      </c>
      <c r="H353" s="32" t="s">
        <v>79</v>
      </c>
    </row>
    <row r="354" ht="20" customHeight="1" spans="1:8" x14ac:dyDescent="0.25">
      <c r="A354" s="24" t="s">
        <v>50</v>
      </c>
      <c r="B354" s="24" t="s">
        <v>40</v>
      </c>
      <c r="C354" s="25" t="s">
        <v>71</v>
      </c>
      <c r="D354" s="33" t="s">
        <v>86</v>
      </c>
      <c r="E354" s="24" t="s">
        <v>12</v>
      </c>
      <c r="F354" s="24" t="s">
        <v>12</v>
      </c>
      <c r="G354" s="24" t="s">
        <v>12</v>
      </c>
      <c r="H354" s="24" t="s">
        <v>32</v>
      </c>
    </row>
    <row r="355" ht="20" customHeight="1" spans="1:8" x14ac:dyDescent="0.25">
      <c r="A355" s="22" t="s">
        <v>51</v>
      </c>
      <c r="B355" s="22" t="s">
        <v>42</v>
      </c>
      <c r="C355" s="23" t="s">
        <v>71</v>
      </c>
      <c r="D355" s="35" t="s">
        <v>86</v>
      </c>
      <c r="E355" s="22" t="s">
        <v>12</v>
      </c>
      <c r="F355" s="22" t="s">
        <v>12</v>
      </c>
      <c r="G355" s="22" t="s">
        <v>12</v>
      </c>
      <c r="H355" s="22" t="s">
        <v>32</v>
      </c>
    </row>
    <row r="356" ht="20" customHeight="1" spans="1:8" x14ac:dyDescent="0.25">
      <c r="A356" s="24" t="s">
        <v>52</v>
      </c>
      <c r="B356" s="24" t="s">
        <v>45</v>
      </c>
      <c r="C356" s="25" t="s">
        <v>71</v>
      </c>
      <c r="D356" s="10" t="s">
        <v>87</v>
      </c>
      <c r="E356" s="24" t="s">
        <v>12</v>
      </c>
      <c r="F356" s="24" t="s">
        <v>12</v>
      </c>
      <c r="G356" s="24" t="s">
        <v>12</v>
      </c>
      <c r="H356" s="24" t="s">
        <v>32</v>
      </c>
    </row>
    <row r="357" ht="20" customHeight="1" spans="1:8" x14ac:dyDescent="0.25">
      <c r="A357" s="22" t="s">
        <v>53</v>
      </c>
      <c r="B357" s="22" t="s">
        <v>31</v>
      </c>
      <c r="C357" s="23" t="s">
        <v>71</v>
      </c>
      <c r="D357" s="6" t="s">
        <v>4</v>
      </c>
      <c r="E357" s="22" t="s">
        <v>1647</v>
      </c>
      <c r="F357" s="22" t="s">
        <v>529</v>
      </c>
      <c r="G357" s="22" t="s">
        <v>1648</v>
      </c>
      <c r="H357" s="29" t="s">
        <v>1649</v>
      </c>
    </row>
    <row r="358" ht="20" customHeight="1" spans="1:8" x14ac:dyDescent="0.25">
      <c r="A358" s="24" t="s">
        <v>54</v>
      </c>
      <c r="B358" s="24" t="s">
        <v>34</v>
      </c>
      <c r="C358" s="25" t="s">
        <v>71</v>
      </c>
      <c r="D358" s="6" t="s">
        <v>4</v>
      </c>
      <c r="E358" s="24" t="s">
        <v>262</v>
      </c>
      <c r="F358" s="24" t="s">
        <v>376</v>
      </c>
      <c r="G358" s="24" t="s">
        <v>328</v>
      </c>
      <c r="H358" s="34" t="s">
        <v>264</v>
      </c>
    </row>
    <row r="359" ht="20" customHeight="1" spans="1:8" x14ac:dyDescent="0.25">
      <c r="A359" s="22" t="s">
        <v>55</v>
      </c>
      <c r="B359" s="22" t="s">
        <v>36</v>
      </c>
      <c r="C359" s="23" t="s">
        <v>71</v>
      </c>
      <c r="D359" s="6" t="s">
        <v>4</v>
      </c>
      <c r="E359" s="22" t="s">
        <v>216</v>
      </c>
      <c r="F359" s="22" t="s">
        <v>157</v>
      </c>
      <c r="G359" s="22" t="s">
        <v>659</v>
      </c>
      <c r="H359" s="29" t="s">
        <v>217</v>
      </c>
    </row>
    <row r="360" ht="20" customHeight="1" spans="1:8" x14ac:dyDescent="0.25">
      <c r="A360" s="24" t="s">
        <v>56</v>
      </c>
      <c r="B360" s="24" t="s">
        <v>38</v>
      </c>
      <c r="C360" s="25" t="s">
        <v>71</v>
      </c>
      <c r="D360" s="10" t="s">
        <v>87</v>
      </c>
      <c r="E360" s="24" t="s">
        <v>12</v>
      </c>
      <c r="F360" s="24" t="s">
        <v>12</v>
      </c>
      <c r="G360" s="24" t="s">
        <v>12</v>
      </c>
      <c r="H360" s="24" t="s">
        <v>32</v>
      </c>
    </row>
    <row r="361" ht="20" customHeight="1" spans="1:8" x14ac:dyDescent="0.25">
      <c r="A361" s="22" t="s">
        <v>57</v>
      </c>
      <c r="B361" s="22" t="s">
        <v>40</v>
      </c>
      <c r="C361" s="23" t="s">
        <v>71</v>
      </c>
      <c r="D361" s="6" t="s">
        <v>4</v>
      </c>
      <c r="E361" s="22" t="s">
        <v>518</v>
      </c>
      <c r="F361" s="22" t="s">
        <v>324</v>
      </c>
      <c r="G361" s="22" t="s">
        <v>154</v>
      </c>
      <c r="H361" s="32" t="s">
        <v>79</v>
      </c>
    </row>
    <row r="362" ht="20" customHeight="1" spans="1:8" x14ac:dyDescent="0.25">
      <c r="A362" s="24" t="s">
        <v>58</v>
      </c>
      <c r="B362" s="24" t="s">
        <v>42</v>
      </c>
      <c r="C362" s="25" t="s">
        <v>71</v>
      </c>
      <c r="D362" s="33" t="s">
        <v>86</v>
      </c>
      <c r="E362" s="24" t="s">
        <v>12</v>
      </c>
      <c r="F362" s="24" t="s">
        <v>12</v>
      </c>
      <c r="G362" s="24" t="s">
        <v>12</v>
      </c>
      <c r="H362" s="24" t="s">
        <v>32</v>
      </c>
    </row>
    <row r="363" ht="20" customHeight="1" spans="1:8" x14ac:dyDescent="0.25">
      <c r="A363" s="22" t="s">
        <v>59</v>
      </c>
      <c r="B363" s="22" t="s">
        <v>45</v>
      </c>
      <c r="C363" s="23" t="s">
        <v>71</v>
      </c>
      <c r="D363" s="6" t="s">
        <v>4</v>
      </c>
      <c r="E363" s="22" t="s">
        <v>201</v>
      </c>
      <c r="F363" s="22" t="s">
        <v>235</v>
      </c>
      <c r="G363" s="22" t="s">
        <v>614</v>
      </c>
      <c r="H363" s="29" t="s">
        <v>204</v>
      </c>
    </row>
    <row r="364" ht="20" customHeight="1" spans="1:8" x14ac:dyDescent="0.25">
      <c r="A364" s="24" t="s">
        <v>60</v>
      </c>
      <c r="B364" s="24" t="s">
        <v>31</v>
      </c>
      <c r="C364" s="25" t="s">
        <v>71</v>
      </c>
      <c r="D364" s="6" t="s">
        <v>4</v>
      </c>
      <c r="E364" s="24" t="s">
        <v>201</v>
      </c>
      <c r="F364" s="24" t="s">
        <v>237</v>
      </c>
      <c r="G364" s="24" t="s">
        <v>1279</v>
      </c>
      <c r="H364" s="34" t="s">
        <v>204</v>
      </c>
    </row>
    <row r="365" ht="20" customHeight="1" spans="1:8" x14ac:dyDescent="0.25">
      <c r="A365" s="22" t="s">
        <v>61</v>
      </c>
      <c r="B365" s="22" t="s">
        <v>34</v>
      </c>
      <c r="C365" s="23" t="s">
        <v>71</v>
      </c>
      <c r="D365" s="6" t="s">
        <v>4</v>
      </c>
      <c r="E365" s="22" t="s">
        <v>257</v>
      </c>
      <c r="F365" s="22" t="s">
        <v>373</v>
      </c>
      <c r="G365" s="22" t="s">
        <v>367</v>
      </c>
      <c r="H365" s="29" t="s">
        <v>260</v>
      </c>
    </row>
    <row r="366" ht="20" customHeight="1" spans="1:8" x14ac:dyDescent="0.25">
      <c r="A366" s="24" t="s">
        <v>62</v>
      </c>
      <c r="B366" s="24" t="s">
        <v>36</v>
      </c>
      <c r="C366" s="25" t="s">
        <v>71</v>
      </c>
      <c r="D366" s="6" t="s">
        <v>4</v>
      </c>
      <c r="E366" s="24" t="s">
        <v>201</v>
      </c>
      <c r="F366" s="24" t="s">
        <v>237</v>
      </c>
      <c r="G366" s="24" t="s">
        <v>393</v>
      </c>
      <c r="H366" s="34" t="s">
        <v>204</v>
      </c>
    </row>
    <row r="367" ht="20" customHeight="1" spans="1:8" x14ac:dyDescent="0.25">
      <c r="A367" s="22" t="s">
        <v>63</v>
      </c>
      <c r="B367" s="22" t="s">
        <v>38</v>
      </c>
      <c r="C367" s="23" t="s">
        <v>71</v>
      </c>
      <c r="D367" s="6" t="s">
        <v>4</v>
      </c>
      <c r="E367" s="22" t="s">
        <v>228</v>
      </c>
      <c r="F367" s="22" t="s">
        <v>641</v>
      </c>
      <c r="G367" s="22" t="s">
        <v>475</v>
      </c>
      <c r="H367" s="29" t="s">
        <v>229</v>
      </c>
    </row>
    <row r="368" ht="20" customHeight="1" spans="1:8" x14ac:dyDescent="0.25">
      <c r="A368" s="24" t="s">
        <v>64</v>
      </c>
      <c r="B368" s="24" t="s">
        <v>40</v>
      </c>
      <c r="C368" s="25" t="s">
        <v>71</v>
      </c>
      <c r="D368" s="6" t="s">
        <v>4</v>
      </c>
      <c r="E368" s="24" t="s">
        <v>372</v>
      </c>
      <c r="F368" s="24" t="s">
        <v>374</v>
      </c>
      <c r="G368" s="24" t="s">
        <v>329</v>
      </c>
      <c r="H368" s="30" t="s">
        <v>79</v>
      </c>
    </row>
    <row r="369" ht="20" customHeight="1" spans="1:8" x14ac:dyDescent="0.25">
      <c r="A369" s="22" t="s">
        <v>65</v>
      </c>
      <c r="B369" s="22" t="s">
        <v>42</v>
      </c>
      <c r="C369" s="23" t="s">
        <v>71</v>
      </c>
      <c r="D369" s="35" t="s">
        <v>86</v>
      </c>
      <c r="E369" s="22" t="s">
        <v>12</v>
      </c>
      <c r="F369" s="22" t="s">
        <v>12</v>
      </c>
      <c r="G369" s="22" t="s">
        <v>12</v>
      </c>
      <c r="H369" s="22" t="s">
        <v>32</v>
      </c>
    </row>
    <row r="370" ht="20" customHeight="1" spans="1:8" x14ac:dyDescent="0.25">
      <c r="A370" s="24" t="s">
        <v>66</v>
      </c>
      <c r="B370" s="24" t="s">
        <v>45</v>
      </c>
      <c r="C370" s="25" t="s">
        <v>71</v>
      </c>
      <c r="D370" s="6" t="s">
        <v>4</v>
      </c>
      <c r="E370" s="24" t="s">
        <v>254</v>
      </c>
      <c r="F370" s="24" t="s">
        <v>354</v>
      </c>
      <c r="G370" s="24" t="s">
        <v>487</v>
      </c>
      <c r="H370" s="34" t="s">
        <v>256</v>
      </c>
    </row>
    <row r="371" ht="20" customHeight="1" spans="1:8" x14ac:dyDescent="0.25">
      <c r="A371" s="22" t="s">
        <v>67</v>
      </c>
      <c r="B371" s="22" t="s">
        <v>31</v>
      </c>
      <c r="C371" s="23" t="s">
        <v>71</v>
      </c>
      <c r="D371" s="6" t="s">
        <v>4</v>
      </c>
      <c r="E371" s="22" t="s">
        <v>411</v>
      </c>
      <c r="F371" s="22" t="s">
        <v>237</v>
      </c>
      <c r="G371" s="22" t="s">
        <v>194</v>
      </c>
      <c r="H371" s="32" t="s">
        <v>79</v>
      </c>
    </row>
    <row r="372" ht="20" customHeight="1" spans="1:8" x14ac:dyDescent="0.25">
      <c r="A372" s="24" t="s">
        <v>68</v>
      </c>
      <c r="B372" s="24" t="s">
        <v>34</v>
      </c>
      <c r="C372" s="25" t="s">
        <v>71</v>
      </c>
      <c r="D372" s="6" t="s">
        <v>4</v>
      </c>
      <c r="E372" s="24" t="s">
        <v>372</v>
      </c>
      <c r="F372" s="24" t="s">
        <v>376</v>
      </c>
      <c r="G372" s="24" t="s">
        <v>250</v>
      </c>
      <c r="H372" s="30" t="s">
        <v>79</v>
      </c>
    </row>
    <row r="373" ht="22" customHeight="1" spans="1:8" x14ac:dyDescent="0.25">
      <c r="A373" s="26" t="s">
        <v>69</v>
      </c>
      <c r="B373" s="26"/>
      <c r="C373" s="26"/>
      <c r="D373" s="26"/>
      <c r="E373" s="26"/>
      <c r="F373" s="26"/>
      <c r="G373" s="27" t="s">
        <v>1650</v>
      </c>
      <c r="H373" s="28" t="s">
        <v>12</v>
      </c>
    </row>
    <row r="375" ht="26" customHeight="1" spans="1:8" x14ac:dyDescent="0.25">
      <c r="A375" s="20" t="s">
        <v>1651</v>
      </c>
      <c r="B375" s="20"/>
      <c r="C375" s="20"/>
      <c r="D375" s="20"/>
      <c r="E375" s="20"/>
      <c r="F375" s="20"/>
      <c r="G375" s="20"/>
      <c r="H375" s="20"/>
    </row>
    <row r="376" ht="22" customHeight="1" spans="1:8" x14ac:dyDescent="0.25">
      <c r="A376" s="21" t="s">
        <v>22</v>
      </c>
      <c r="B376" s="21" t="s">
        <v>23</v>
      </c>
      <c r="C376" s="21" t="s">
        <v>24</v>
      </c>
      <c r="D376" s="21" t="s">
        <v>25</v>
      </c>
      <c r="E376" s="21" t="s">
        <v>26</v>
      </c>
      <c r="F376" s="21" t="s">
        <v>27</v>
      </c>
      <c r="G376" s="21" t="s">
        <v>28</v>
      </c>
      <c r="H376" s="21" t="s">
        <v>29</v>
      </c>
    </row>
    <row r="377" ht="20" customHeight="1" spans="1:8" x14ac:dyDescent="0.25">
      <c r="A377" s="22" t="s">
        <v>30</v>
      </c>
      <c r="B377" s="22" t="s">
        <v>31</v>
      </c>
      <c r="C377" s="23" t="s">
        <v>71</v>
      </c>
      <c r="D377" s="6" t="s">
        <v>4</v>
      </c>
      <c r="E377" s="22" t="s">
        <v>878</v>
      </c>
      <c r="F377" s="22" t="s">
        <v>1421</v>
      </c>
      <c r="G377" s="22" t="s">
        <v>261</v>
      </c>
      <c r="H377" s="29" t="s">
        <v>879</v>
      </c>
    </row>
    <row r="378" ht="20" customHeight="1" spans="1:8" x14ac:dyDescent="0.25">
      <c r="A378" s="24" t="s">
        <v>33</v>
      </c>
      <c r="B378" s="24" t="s">
        <v>34</v>
      </c>
      <c r="C378" s="25" t="s">
        <v>71</v>
      </c>
      <c r="D378" s="6" t="s">
        <v>4</v>
      </c>
      <c r="E378" s="24" t="s">
        <v>216</v>
      </c>
      <c r="F378" s="24" t="s">
        <v>1652</v>
      </c>
      <c r="G378" s="24" t="s">
        <v>1653</v>
      </c>
      <c r="H378" s="34" t="s">
        <v>1654</v>
      </c>
    </row>
    <row r="379" ht="20" customHeight="1" spans="1:8" x14ac:dyDescent="0.25">
      <c r="A379" s="22" t="s">
        <v>35</v>
      </c>
      <c r="B379" s="22" t="s">
        <v>36</v>
      </c>
      <c r="C379" s="23" t="s">
        <v>71</v>
      </c>
      <c r="D379" s="6" t="s">
        <v>4</v>
      </c>
      <c r="E379" s="22" t="s">
        <v>224</v>
      </c>
      <c r="F379" s="22" t="s">
        <v>211</v>
      </c>
      <c r="G379" s="22" t="s">
        <v>407</v>
      </c>
      <c r="H379" s="29" t="s">
        <v>227</v>
      </c>
    </row>
    <row r="380" ht="20" customHeight="1" spans="1:8" x14ac:dyDescent="0.25">
      <c r="A380" s="24" t="s">
        <v>37</v>
      </c>
      <c r="B380" s="24" t="s">
        <v>38</v>
      </c>
      <c r="C380" s="25" t="s">
        <v>71</v>
      </c>
      <c r="D380" s="31" t="s">
        <v>11</v>
      </c>
      <c r="E380" s="24" t="s">
        <v>12</v>
      </c>
      <c r="F380" s="24" t="s">
        <v>12</v>
      </c>
      <c r="G380" s="24" t="s">
        <v>12</v>
      </c>
      <c r="H380" s="24" t="s">
        <v>32</v>
      </c>
    </row>
    <row r="381" ht="20" customHeight="1" spans="1:8" x14ac:dyDescent="0.25">
      <c r="A381" s="22" t="s">
        <v>39</v>
      </c>
      <c r="B381" s="22" t="s">
        <v>40</v>
      </c>
      <c r="C381" s="23" t="s">
        <v>71</v>
      </c>
      <c r="D381" s="6" t="s">
        <v>4</v>
      </c>
      <c r="E381" s="22" t="s">
        <v>1436</v>
      </c>
      <c r="F381" s="22" t="s">
        <v>258</v>
      </c>
      <c r="G381" s="22" t="s">
        <v>487</v>
      </c>
      <c r="H381" s="29" t="s">
        <v>1437</v>
      </c>
    </row>
    <row r="382" ht="20" customHeight="1" spans="1:8" x14ac:dyDescent="0.25">
      <c r="A382" s="24" t="s">
        <v>41</v>
      </c>
      <c r="B382" s="24" t="s">
        <v>42</v>
      </c>
      <c r="C382" s="25" t="s">
        <v>71</v>
      </c>
      <c r="D382" s="33" t="s">
        <v>86</v>
      </c>
      <c r="E382" s="24" t="s">
        <v>12</v>
      </c>
      <c r="F382" s="24" t="s">
        <v>12</v>
      </c>
      <c r="G382" s="24" t="s">
        <v>12</v>
      </c>
      <c r="H382" s="24" t="s">
        <v>32</v>
      </c>
    </row>
    <row r="383" ht="20" customHeight="1" spans="1:8" x14ac:dyDescent="0.25">
      <c r="A383" s="22" t="s">
        <v>44</v>
      </c>
      <c r="B383" s="22" t="s">
        <v>45</v>
      </c>
      <c r="C383" s="23" t="s">
        <v>71</v>
      </c>
      <c r="D383" s="6" t="s">
        <v>4</v>
      </c>
      <c r="E383" s="22" t="s">
        <v>359</v>
      </c>
      <c r="F383" s="22" t="s">
        <v>209</v>
      </c>
      <c r="G383" s="22" t="s">
        <v>161</v>
      </c>
      <c r="H383" s="29" t="s">
        <v>360</v>
      </c>
    </row>
    <row r="384" ht="20" customHeight="1" spans="1:8" x14ac:dyDescent="0.25">
      <c r="A384" s="24" t="s">
        <v>46</v>
      </c>
      <c r="B384" s="24" t="s">
        <v>31</v>
      </c>
      <c r="C384" s="25" t="s">
        <v>71</v>
      </c>
      <c r="D384" s="6" t="s">
        <v>4</v>
      </c>
      <c r="E384" s="24" t="s">
        <v>878</v>
      </c>
      <c r="F384" s="24" t="s">
        <v>345</v>
      </c>
      <c r="G384" s="24" t="s">
        <v>99</v>
      </c>
      <c r="H384" s="34" t="s">
        <v>879</v>
      </c>
    </row>
    <row r="385" ht="20" customHeight="1" spans="1:8" x14ac:dyDescent="0.25">
      <c r="A385" s="22" t="s">
        <v>47</v>
      </c>
      <c r="B385" s="22" t="s">
        <v>34</v>
      </c>
      <c r="C385" s="23" t="s">
        <v>71</v>
      </c>
      <c r="D385" s="6" t="s">
        <v>4</v>
      </c>
      <c r="E385" s="22" t="s">
        <v>224</v>
      </c>
      <c r="F385" s="22" t="s">
        <v>160</v>
      </c>
      <c r="G385" s="22" t="s">
        <v>161</v>
      </c>
      <c r="H385" s="29" t="s">
        <v>227</v>
      </c>
    </row>
    <row r="386" ht="20" customHeight="1" spans="1:8" x14ac:dyDescent="0.25">
      <c r="A386" s="24" t="s">
        <v>48</v>
      </c>
      <c r="B386" s="24" t="s">
        <v>36</v>
      </c>
      <c r="C386" s="25" t="s">
        <v>71</v>
      </c>
      <c r="D386" s="6" t="s">
        <v>4</v>
      </c>
      <c r="E386" s="24" t="s">
        <v>201</v>
      </c>
      <c r="F386" s="24" t="s">
        <v>126</v>
      </c>
      <c r="G386" s="24" t="s">
        <v>283</v>
      </c>
      <c r="H386" s="34" t="s">
        <v>204</v>
      </c>
    </row>
    <row r="387" ht="20" customHeight="1" spans="1:8" x14ac:dyDescent="0.25">
      <c r="A387" s="22" t="s">
        <v>49</v>
      </c>
      <c r="B387" s="22" t="s">
        <v>38</v>
      </c>
      <c r="C387" s="23" t="s">
        <v>71</v>
      </c>
      <c r="D387" s="6" t="s">
        <v>4</v>
      </c>
      <c r="E387" s="22" t="s">
        <v>251</v>
      </c>
      <c r="F387" s="22" t="s">
        <v>12</v>
      </c>
      <c r="G387" s="22" t="s">
        <v>214</v>
      </c>
      <c r="H387" s="29" t="s">
        <v>184</v>
      </c>
    </row>
    <row r="388" ht="20" customHeight="1" spans="1:8" x14ac:dyDescent="0.25">
      <c r="A388" s="24" t="s">
        <v>50</v>
      </c>
      <c r="B388" s="24" t="s">
        <v>40</v>
      </c>
      <c r="C388" s="25" t="s">
        <v>71</v>
      </c>
      <c r="D388" s="33" t="s">
        <v>86</v>
      </c>
      <c r="E388" s="24" t="s">
        <v>12</v>
      </c>
      <c r="F388" s="24" t="s">
        <v>12</v>
      </c>
      <c r="G388" s="24" t="s">
        <v>12</v>
      </c>
      <c r="H388" s="24" t="s">
        <v>32</v>
      </c>
    </row>
    <row r="389" ht="20" customHeight="1" spans="1:8" x14ac:dyDescent="0.25">
      <c r="A389" s="22" t="s">
        <v>51</v>
      </c>
      <c r="B389" s="22" t="s">
        <v>42</v>
      </c>
      <c r="C389" s="23" t="s">
        <v>71</v>
      </c>
      <c r="D389" s="35" t="s">
        <v>86</v>
      </c>
      <c r="E389" s="22" t="s">
        <v>12</v>
      </c>
      <c r="F389" s="22" t="s">
        <v>12</v>
      </c>
      <c r="G389" s="22" t="s">
        <v>12</v>
      </c>
      <c r="H389" s="22" t="s">
        <v>32</v>
      </c>
    </row>
    <row r="390" ht="20" customHeight="1" spans="1:8" x14ac:dyDescent="0.25">
      <c r="A390" s="24" t="s">
        <v>52</v>
      </c>
      <c r="B390" s="24" t="s">
        <v>45</v>
      </c>
      <c r="C390" s="25" t="s">
        <v>71</v>
      </c>
      <c r="D390" s="6" t="s">
        <v>4</v>
      </c>
      <c r="E390" s="24" t="s">
        <v>379</v>
      </c>
      <c r="F390" s="24" t="s">
        <v>12</v>
      </c>
      <c r="G390" s="24" t="s">
        <v>1655</v>
      </c>
      <c r="H390" s="34" t="s">
        <v>200</v>
      </c>
    </row>
    <row r="391" ht="20" customHeight="1" spans="1:8" x14ac:dyDescent="0.25">
      <c r="A391" s="22" t="s">
        <v>53</v>
      </c>
      <c r="B391" s="22" t="s">
        <v>31</v>
      </c>
      <c r="C391" s="23" t="s">
        <v>71</v>
      </c>
      <c r="D391" s="6" t="s">
        <v>4</v>
      </c>
      <c r="E391" s="22" t="s">
        <v>547</v>
      </c>
      <c r="F391" s="22" t="s">
        <v>648</v>
      </c>
      <c r="G391" s="22" t="s">
        <v>686</v>
      </c>
      <c r="H391" s="29" t="s">
        <v>548</v>
      </c>
    </row>
    <row r="392" ht="20" customHeight="1" spans="1:8" x14ac:dyDescent="0.25">
      <c r="A392" s="24" t="s">
        <v>54</v>
      </c>
      <c r="B392" s="24" t="s">
        <v>34</v>
      </c>
      <c r="C392" s="25" t="s">
        <v>71</v>
      </c>
      <c r="D392" s="6" t="s">
        <v>4</v>
      </c>
      <c r="E392" s="24" t="s">
        <v>173</v>
      </c>
      <c r="F392" s="24" t="s">
        <v>962</v>
      </c>
      <c r="G392" s="24" t="s">
        <v>203</v>
      </c>
      <c r="H392" s="34" t="s">
        <v>175</v>
      </c>
    </row>
    <row r="393" ht="20" customHeight="1" spans="1:8" x14ac:dyDescent="0.25">
      <c r="A393" s="22" t="s">
        <v>55</v>
      </c>
      <c r="B393" s="22" t="s">
        <v>36</v>
      </c>
      <c r="C393" s="23" t="s">
        <v>71</v>
      </c>
      <c r="D393" s="6" t="s">
        <v>4</v>
      </c>
      <c r="E393" s="22" t="s">
        <v>159</v>
      </c>
      <c r="F393" s="22" t="s">
        <v>202</v>
      </c>
      <c r="G393" s="22" t="s">
        <v>481</v>
      </c>
      <c r="H393" s="29" t="s">
        <v>162</v>
      </c>
    </row>
    <row r="394" ht="20" customHeight="1" spans="1:8" x14ac:dyDescent="0.25">
      <c r="A394" s="24" t="s">
        <v>56</v>
      </c>
      <c r="B394" s="24" t="s">
        <v>38</v>
      </c>
      <c r="C394" s="25" t="s">
        <v>71</v>
      </c>
      <c r="D394" s="6" t="s">
        <v>4</v>
      </c>
      <c r="E394" s="24" t="s">
        <v>334</v>
      </c>
      <c r="F394" s="24" t="s">
        <v>648</v>
      </c>
      <c r="G394" s="24" t="s">
        <v>285</v>
      </c>
      <c r="H394" s="34" t="s">
        <v>337</v>
      </c>
    </row>
    <row r="395" ht="20" customHeight="1" spans="1:8" x14ac:dyDescent="0.25">
      <c r="A395" s="22" t="s">
        <v>57</v>
      </c>
      <c r="B395" s="22" t="s">
        <v>40</v>
      </c>
      <c r="C395" s="23" t="s">
        <v>71</v>
      </c>
      <c r="D395" s="6" t="s">
        <v>4</v>
      </c>
      <c r="E395" s="22" t="s">
        <v>965</v>
      </c>
      <c r="F395" s="22" t="s">
        <v>749</v>
      </c>
      <c r="G395" s="22" t="s">
        <v>180</v>
      </c>
      <c r="H395" s="29" t="s">
        <v>966</v>
      </c>
    </row>
    <row r="396" ht="20" customHeight="1" spans="1:8" x14ac:dyDescent="0.25">
      <c r="A396" s="24" t="s">
        <v>58</v>
      </c>
      <c r="B396" s="24" t="s">
        <v>42</v>
      </c>
      <c r="C396" s="25" t="s">
        <v>71</v>
      </c>
      <c r="D396" s="33" t="s">
        <v>86</v>
      </c>
      <c r="E396" s="24" t="s">
        <v>12</v>
      </c>
      <c r="F396" s="24" t="s">
        <v>12</v>
      </c>
      <c r="G396" s="24" t="s">
        <v>12</v>
      </c>
      <c r="H396" s="24" t="s">
        <v>32</v>
      </c>
    </row>
    <row r="397" ht="20" customHeight="1" spans="1:8" x14ac:dyDescent="0.25">
      <c r="A397" s="22" t="s">
        <v>59</v>
      </c>
      <c r="B397" s="22" t="s">
        <v>45</v>
      </c>
      <c r="C397" s="23" t="s">
        <v>71</v>
      </c>
      <c r="D397" s="6" t="s">
        <v>4</v>
      </c>
      <c r="E397" s="22" t="s">
        <v>979</v>
      </c>
      <c r="F397" s="22" t="s">
        <v>641</v>
      </c>
      <c r="G397" s="22" t="s">
        <v>99</v>
      </c>
      <c r="H397" s="29" t="s">
        <v>982</v>
      </c>
    </row>
    <row r="398" ht="20" customHeight="1" spans="1:8" x14ac:dyDescent="0.25">
      <c r="A398" s="24" t="s">
        <v>60</v>
      </c>
      <c r="B398" s="24" t="s">
        <v>31</v>
      </c>
      <c r="C398" s="25" t="s">
        <v>71</v>
      </c>
      <c r="D398" s="6" t="s">
        <v>4</v>
      </c>
      <c r="E398" s="24" t="s">
        <v>359</v>
      </c>
      <c r="F398" s="24" t="s">
        <v>749</v>
      </c>
      <c r="G398" s="24" t="s">
        <v>414</v>
      </c>
      <c r="H398" s="34" t="s">
        <v>360</v>
      </c>
    </row>
    <row r="399" ht="20" customHeight="1" spans="1:8" x14ac:dyDescent="0.25">
      <c r="A399" s="22" t="s">
        <v>61</v>
      </c>
      <c r="B399" s="22" t="s">
        <v>34</v>
      </c>
      <c r="C399" s="23" t="s">
        <v>71</v>
      </c>
      <c r="D399" s="6" t="s">
        <v>4</v>
      </c>
      <c r="E399" s="22" t="s">
        <v>212</v>
      </c>
      <c r="F399" s="22" t="s">
        <v>202</v>
      </c>
      <c r="G399" s="22" t="s">
        <v>81</v>
      </c>
      <c r="H399" s="29" t="s">
        <v>215</v>
      </c>
    </row>
    <row r="400" ht="20" customHeight="1" spans="1:8" x14ac:dyDescent="0.25">
      <c r="A400" s="24" t="s">
        <v>62</v>
      </c>
      <c r="B400" s="24" t="s">
        <v>36</v>
      </c>
      <c r="C400" s="25" t="s">
        <v>71</v>
      </c>
      <c r="D400" s="6" t="s">
        <v>4</v>
      </c>
      <c r="E400" s="24" t="s">
        <v>216</v>
      </c>
      <c r="F400" s="24" t="s">
        <v>77</v>
      </c>
      <c r="G400" s="24" t="s">
        <v>414</v>
      </c>
      <c r="H400" s="34" t="s">
        <v>217</v>
      </c>
    </row>
    <row r="401" ht="20" customHeight="1" spans="1:8" x14ac:dyDescent="0.25">
      <c r="A401" s="22" t="s">
        <v>63</v>
      </c>
      <c r="B401" s="22" t="s">
        <v>38</v>
      </c>
      <c r="C401" s="23" t="s">
        <v>71</v>
      </c>
      <c r="D401" s="6" t="s">
        <v>4</v>
      </c>
      <c r="E401" s="22" t="s">
        <v>359</v>
      </c>
      <c r="F401" s="22" t="s">
        <v>312</v>
      </c>
      <c r="G401" s="22" t="s">
        <v>119</v>
      </c>
      <c r="H401" s="29" t="s">
        <v>360</v>
      </c>
    </row>
    <row r="402" ht="20" customHeight="1" spans="1:8" x14ac:dyDescent="0.25">
      <c r="A402" s="24" t="s">
        <v>64</v>
      </c>
      <c r="B402" s="24" t="s">
        <v>40</v>
      </c>
      <c r="C402" s="25" t="s">
        <v>71</v>
      </c>
      <c r="D402" s="6" t="s">
        <v>4</v>
      </c>
      <c r="E402" s="24" t="s">
        <v>340</v>
      </c>
      <c r="F402" s="24" t="s">
        <v>749</v>
      </c>
      <c r="G402" s="24" t="s">
        <v>147</v>
      </c>
      <c r="H402" s="34" t="s">
        <v>342</v>
      </c>
    </row>
    <row r="403" ht="20" customHeight="1" spans="1:8" x14ac:dyDescent="0.25">
      <c r="A403" s="22" t="s">
        <v>65</v>
      </c>
      <c r="B403" s="22" t="s">
        <v>42</v>
      </c>
      <c r="C403" s="23" t="s">
        <v>71</v>
      </c>
      <c r="D403" s="35" t="s">
        <v>86</v>
      </c>
      <c r="E403" s="22" t="s">
        <v>12</v>
      </c>
      <c r="F403" s="22" t="s">
        <v>12</v>
      </c>
      <c r="G403" s="22" t="s">
        <v>12</v>
      </c>
      <c r="H403" s="22" t="s">
        <v>32</v>
      </c>
    </row>
    <row r="404" ht="20" customHeight="1" spans="1:8" x14ac:dyDescent="0.25">
      <c r="A404" s="24" t="s">
        <v>66</v>
      </c>
      <c r="B404" s="24" t="s">
        <v>45</v>
      </c>
      <c r="C404" s="25" t="s">
        <v>71</v>
      </c>
      <c r="D404" s="6" t="s">
        <v>4</v>
      </c>
      <c r="E404" s="24" t="s">
        <v>156</v>
      </c>
      <c r="F404" s="24" t="s">
        <v>749</v>
      </c>
      <c r="G404" s="24" t="s">
        <v>290</v>
      </c>
      <c r="H404" s="34" t="s">
        <v>158</v>
      </c>
    </row>
    <row r="405" ht="20" customHeight="1" spans="1:8" x14ac:dyDescent="0.25">
      <c r="A405" s="22" t="s">
        <v>67</v>
      </c>
      <c r="B405" s="22" t="s">
        <v>31</v>
      </c>
      <c r="C405" s="23" t="s">
        <v>71</v>
      </c>
      <c r="D405" s="6" t="s">
        <v>4</v>
      </c>
      <c r="E405" s="22" t="s">
        <v>224</v>
      </c>
      <c r="F405" s="22" t="s">
        <v>1350</v>
      </c>
      <c r="G405" s="22" t="s">
        <v>740</v>
      </c>
      <c r="H405" s="29" t="s">
        <v>227</v>
      </c>
    </row>
    <row r="406" ht="20" customHeight="1" spans="1:8" x14ac:dyDescent="0.25">
      <c r="A406" s="24" t="s">
        <v>68</v>
      </c>
      <c r="B406" s="24" t="s">
        <v>34</v>
      </c>
      <c r="C406" s="25" t="s">
        <v>71</v>
      </c>
      <c r="D406" s="6" t="s">
        <v>4</v>
      </c>
      <c r="E406" s="24" t="s">
        <v>876</v>
      </c>
      <c r="F406" s="24" t="s">
        <v>749</v>
      </c>
      <c r="G406" s="24" t="s">
        <v>577</v>
      </c>
      <c r="H406" s="34" t="s">
        <v>877</v>
      </c>
    </row>
    <row r="407" ht="22" customHeight="1" spans="1:8" x14ac:dyDescent="0.25">
      <c r="A407" s="26" t="s">
        <v>69</v>
      </c>
      <c r="B407" s="26"/>
      <c r="C407" s="26"/>
      <c r="D407" s="26"/>
      <c r="E407" s="26"/>
      <c r="F407" s="26"/>
      <c r="G407" s="27" t="s">
        <v>1656</v>
      </c>
      <c r="H407" s="28" t="s">
        <v>12</v>
      </c>
    </row>
    <row r="409" ht="26" customHeight="1" spans="1:8" x14ac:dyDescent="0.25">
      <c r="A409" s="20" t="s">
        <v>1657</v>
      </c>
      <c r="B409" s="20"/>
      <c r="C409" s="20"/>
      <c r="D409" s="20"/>
      <c r="E409" s="20"/>
      <c r="F409" s="20"/>
      <c r="G409" s="20"/>
      <c r="H409" s="20"/>
    </row>
    <row r="410" ht="22" customHeight="1" spans="1:8" x14ac:dyDescent="0.25">
      <c r="A410" s="21" t="s">
        <v>22</v>
      </c>
      <c r="B410" s="21" t="s">
        <v>23</v>
      </c>
      <c r="C410" s="21" t="s">
        <v>24</v>
      </c>
      <c r="D410" s="21" t="s">
        <v>25</v>
      </c>
      <c r="E410" s="21" t="s">
        <v>26</v>
      </c>
      <c r="F410" s="21" t="s">
        <v>27</v>
      </c>
      <c r="G410" s="21" t="s">
        <v>28</v>
      </c>
      <c r="H410" s="21" t="s">
        <v>29</v>
      </c>
    </row>
    <row r="411" ht="20" customHeight="1" spans="1:8" x14ac:dyDescent="0.25">
      <c r="A411" s="22" t="s">
        <v>30</v>
      </c>
      <c r="B411" s="22" t="s">
        <v>31</v>
      </c>
      <c r="C411" s="23" t="s">
        <v>71</v>
      </c>
      <c r="D411" s="6" t="s">
        <v>4</v>
      </c>
      <c r="E411" s="22" t="s">
        <v>125</v>
      </c>
      <c r="F411" s="22" t="s">
        <v>136</v>
      </c>
      <c r="G411" s="22" t="s">
        <v>99</v>
      </c>
      <c r="H411" s="32" t="s">
        <v>79</v>
      </c>
    </row>
    <row r="412" ht="20" customHeight="1" spans="1:8" x14ac:dyDescent="0.25">
      <c r="A412" s="24" t="s">
        <v>33</v>
      </c>
      <c r="B412" s="24" t="s">
        <v>34</v>
      </c>
      <c r="C412" s="25" t="s">
        <v>71</v>
      </c>
      <c r="D412" s="6" t="s">
        <v>4</v>
      </c>
      <c r="E412" s="24" t="s">
        <v>125</v>
      </c>
      <c r="F412" s="24" t="s">
        <v>136</v>
      </c>
      <c r="G412" s="24" t="s">
        <v>99</v>
      </c>
      <c r="H412" s="30" t="s">
        <v>79</v>
      </c>
    </row>
    <row r="413" ht="20" customHeight="1" spans="1:8" x14ac:dyDescent="0.25">
      <c r="A413" s="22" t="s">
        <v>35</v>
      </c>
      <c r="B413" s="22" t="s">
        <v>36</v>
      </c>
      <c r="C413" s="23" t="s">
        <v>71</v>
      </c>
      <c r="D413" s="6" t="s">
        <v>4</v>
      </c>
      <c r="E413" s="22" t="s">
        <v>125</v>
      </c>
      <c r="F413" s="22" t="s">
        <v>136</v>
      </c>
      <c r="G413" s="22" t="s">
        <v>99</v>
      </c>
      <c r="H413" s="32" t="s">
        <v>79</v>
      </c>
    </row>
    <row r="414" ht="20" customHeight="1" spans="1:8" x14ac:dyDescent="0.25">
      <c r="A414" s="24" t="s">
        <v>37</v>
      </c>
      <c r="B414" s="24" t="s">
        <v>38</v>
      </c>
      <c r="C414" s="25" t="s">
        <v>71</v>
      </c>
      <c r="D414" s="31" t="s">
        <v>11</v>
      </c>
      <c r="E414" s="24" t="s">
        <v>12</v>
      </c>
      <c r="F414" s="24" t="s">
        <v>12</v>
      </c>
      <c r="G414" s="24" t="s">
        <v>12</v>
      </c>
      <c r="H414" s="24" t="s">
        <v>32</v>
      </c>
    </row>
    <row r="415" ht="20" customHeight="1" spans="1:8" x14ac:dyDescent="0.25">
      <c r="A415" s="22" t="s">
        <v>39</v>
      </c>
      <c r="B415" s="22" t="s">
        <v>40</v>
      </c>
      <c r="C415" s="23" t="s">
        <v>71</v>
      </c>
      <c r="D415" s="6" t="s">
        <v>4</v>
      </c>
      <c r="E415" s="22" t="s">
        <v>12</v>
      </c>
      <c r="F415" s="22" t="s">
        <v>12</v>
      </c>
      <c r="G415" s="22" t="s">
        <v>12</v>
      </c>
      <c r="H415" s="22" t="s">
        <v>32</v>
      </c>
    </row>
    <row r="416" ht="20" customHeight="1" spans="1:8" x14ac:dyDescent="0.25">
      <c r="A416" s="24" t="s">
        <v>41</v>
      </c>
      <c r="B416" s="24" t="s">
        <v>42</v>
      </c>
      <c r="C416" s="25" t="s">
        <v>71</v>
      </c>
      <c r="D416" s="33" t="s">
        <v>86</v>
      </c>
      <c r="E416" s="24" t="s">
        <v>12</v>
      </c>
      <c r="F416" s="24" t="s">
        <v>12</v>
      </c>
      <c r="G416" s="24" t="s">
        <v>12</v>
      </c>
      <c r="H416" s="24" t="s">
        <v>32</v>
      </c>
    </row>
    <row r="417" ht="20" customHeight="1" spans="1:8" x14ac:dyDescent="0.25">
      <c r="A417" s="22" t="s">
        <v>44</v>
      </c>
      <c r="B417" s="22" t="s">
        <v>45</v>
      </c>
      <c r="C417" s="23" t="s">
        <v>71</v>
      </c>
      <c r="D417" s="6" t="s">
        <v>4</v>
      </c>
      <c r="E417" s="22" t="s">
        <v>1526</v>
      </c>
      <c r="F417" s="22" t="s">
        <v>341</v>
      </c>
      <c r="G417" s="22" t="s">
        <v>174</v>
      </c>
      <c r="H417" s="29" t="s">
        <v>1452</v>
      </c>
    </row>
    <row r="418" ht="20" customHeight="1" spans="1:8" x14ac:dyDescent="0.25">
      <c r="A418" s="24" t="s">
        <v>46</v>
      </c>
      <c r="B418" s="24" t="s">
        <v>31</v>
      </c>
      <c r="C418" s="25" t="s">
        <v>71</v>
      </c>
      <c r="D418" s="6" t="s">
        <v>4</v>
      </c>
      <c r="E418" s="24" t="s">
        <v>1390</v>
      </c>
      <c r="F418" s="24" t="s">
        <v>202</v>
      </c>
      <c r="G418" s="24" t="s">
        <v>214</v>
      </c>
      <c r="H418" s="34" t="s">
        <v>1392</v>
      </c>
    </row>
    <row r="419" ht="20" customHeight="1" spans="1:8" x14ac:dyDescent="0.25">
      <c r="A419" s="22" t="s">
        <v>47</v>
      </c>
      <c r="B419" s="22" t="s">
        <v>34</v>
      </c>
      <c r="C419" s="23" t="s">
        <v>71</v>
      </c>
      <c r="D419" s="6" t="s">
        <v>4</v>
      </c>
      <c r="E419" s="22" t="s">
        <v>976</v>
      </c>
      <c r="F419" s="22" t="s">
        <v>1075</v>
      </c>
      <c r="G419" s="22" t="s">
        <v>646</v>
      </c>
      <c r="H419" s="29" t="s">
        <v>1349</v>
      </c>
    </row>
    <row r="420" ht="20" customHeight="1" spans="1:8" x14ac:dyDescent="0.25">
      <c r="A420" s="24" t="s">
        <v>48</v>
      </c>
      <c r="B420" s="24" t="s">
        <v>36</v>
      </c>
      <c r="C420" s="25" t="s">
        <v>71</v>
      </c>
      <c r="D420" s="6" t="s">
        <v>4</v>
      </c>
      <c r="E420" s="24" t="s">
        <v>1526</v>
      </c>
      <c r="F420" s="24" t="s">
        <v>12</v>
      </c>
      <c r="G420" s="24" t="s">
        <v>12</v>
      </c>
      <c r="H420" s="34" t="s">
        <v>1452</v>
      </c>
    </row>
    <row r="421" ht="20" customHeight="1" spans="1:8" x14ac:dyDescent="0.25">
      <c r="A421" s="22" t="s">
        <v>49</v>
      </c>
      <c r="B421" s="22" t="s">
        <v>38</v>
      </c>
      <c r="C421" s="23" t="s">
        <v>71</v>
      </c>
      <c r="D421" s="6" t="s">
        <v>4</v>
      </c>
      <c r="E421" s="22" t="s">
        <v>1057</v>
      </c>
      <c r="F421" s="22" t="s">
        <v>157</v>
      </c>
      <c r="G421" s="22" t="s">
        <v>232</v>
      </c>
      <c r="H421" s="29" t="s">
        <v>1058</v>
      </c>
    </row>
    <row r="422" ht="20" customHeight="1" spans="1:8" x14ac:dyDescent="0.25">
      <c r="A422" s="24" t="s">
        <v>50</v>
      </c>
      <c r="B422" s="24" t="s">
        <v>40</v>
      </c>
      <c r="C422" s="25" t="s">
        <v>71</v>
      </c>
      <c r="D422" s="33" t="s">
        <v>86</v>
      </c>
      <c r="E422" s="24" t="s">
        <v>12</v>
      </c>
      <c r="F422" s="24" t="s">
        <v>12</v>
      </c>
      <c r="G422" s="24" t="s">
        <v>12</v>
      </c>
      <c r="H422" s="24" t="s">
        <v>32</v>
      </c>
    </row>
    <row r="423" ht="20" customHeight="1" spans="1:8" x14ac:dyDescent="0.25">
      <c r="A423" s="22" t="s">
        <v>51</v>
      </c>
      <c r="B423" s="22" t="s">
        <v>42</v>
      </c>
      <c r="C423" s="23" t="s">
        <v>71</v>
      </c>
      <c r="D423" s="35" t="s">
        <v>86</v>
      </c>
      <c r="E423" s="22" t="s">
        <v>12</v>
      </c>
      <c r="F423" s="22" t="s">
        <v>12</v>
      </c>
      <c r="G423" s="22" t="s">
        <v>12</v>
      </c>
      <c r="H423" s="22" t="s">
        <v>32</v>
      </c>
    </row>
    <row r="424" ht="20" customHeight="1" spans="1:8" x14ac:dyDescent="0.25">
      <c r="A424" s="24" t="s">
        <v>52</v>
      </c>
      <c r="B424" s="24" t="s">
        <v>45</v>
      </c>
      <c r="C424" s="25" t="s">
        <v>71</v>
      </c>
      <c r="D424" s="6" t="s">
        <v>4</v>
      </c>
      <c r="E424" s="24" t="s">
        <v>1390</v>
      </c>
      <c r="F424" s="24" t="s">
        <v>757</v>
      </c>
      <c r="G424" s="24" t="s">
        <v>573</v>
      </c>
      <c r="H424" s="34" t="s">
        <v>1392</v>
      </c>
    </row>
    <row r="425" ht="20" customHeight="1" spans="1:8" x14ac:dyDescent="0.25">
      <c r="A425" s="22" t="s">
        <v>53</v>
      </c>
      <c r="B425" s="22" t="s">
        <v>31</v>
      </c>
      <c r="C425" s="23" t="s">
        <v>71</v>
      </c>
      <c r="D425" s="6" t="s">
        <v>4</v>
      </c>
      <c r="E425" s="22" t="s">
        <v>1208</v>
      </c>
      <c r="F425" s="22" t="s">
        <v>962</v>
      </c>
      <c r="G425" s="22" t="s">
        <v>261</v>
      </c>
      <c r="H425" s="29" t="s">
        <v>1209</v>
      </c>
    </row>
    <row r="426" ht="20" customHeight="1" spans="1:8" x14ac:dyDescent="0.25">
      <c r="A426" s="24" t="s">
        <v>54</v>
      </c>
      <c r="B426" s="24" t="s">
        <v>34</v>
      </c>
      <c r="C426" s="25" t="s">
        <v>71</v>
      </c>
      <c r="D426" s="6" t="s">
        <v>4</v>
      </c>
      <c r="E426" s="24" t="s">
        <v>1526</v>
      </c>
      <c r="F426" s="24" t="s">
        <v>202</v>
      </c>
      <c r="G426" s="24" t="s">
        <v>226</v>
      </c>
      <c r="H426" s="34" t="s">
        <v>1452</v>
      </c>
    </row>
    <row r="427" ht="20" customHeight="1" spans="1:8" x14ac:dyDescent="0.25">
      <c r="A427" s="22" t="s">
        <v>55</v>
      </c>
      <c r="B427" s="22" t="s">
        <v>36</v>
      </c>
      <c r="C427" s="23" t="s">
        <v>71</v>
      </c>
      <c r="D427" s="6" t="s">
        <v>4</v>
      </c>
      <c r="E427" s="22" t="s">
        <v>472</v>
      </c>
      <c r="F427" s="22" t="s">
        <v>749</v>
      </c>
      <c r="G427" s="22" t="s">
        <v>328</v>
      </c>
      <c r="H427" s="29" t="s">
        <v>473</v>
      </c>
    </row>
    <row r="428" ht="20" customHeight="1" spans="1:8" x14ac:dyDescent="0.25">
      <c r="A428" s="24" t="s">
        <v>56</v>
      </c>
      <c r="B428" s="24" t="s">
        <v>38</v>
      </c>
      <c r="C428" s="25" t="s">
        <v>71</v>
      </c>
      <c r="D428" s="6" t="s">
        <v>4</v>
      </c>
      <c r="E428" s="24" t="s">
        <v>1088</v>
      </c>
      <c r="F428" s="24" t="s">
        <v>193</v>
      </c>
      <c r="G428" s="24" t="s">
        <v>232</v>
      </c>
      <c r="H428" s="34" t="s">
        <v>1089</v>
      </c>
    </row>
    <row r="429" ht="20" customHeight="1" spans="1:8" x14ac:dyDescent="0.25">
      <c r="A429" s="22" t="s">
        <v>57</v>
      </c>
      <c r="B429" s="22" t="s">
        <v>40</v>
      </c>
      <c r="C429" s="23" t="s">
        <v>71</v>
      </c>
      <c r="D429" s="6" t="s">
        <v>4</v>
      </c>
      <c r="E429" s="22" t="s">
        <v>1088</v>
      </c>
      <c r="F429" s="22" t="s">
        <v>157</v>
      </c>
      <c r="G429" s="22" t="s">
        <v>154</v>
      </c>
      <c r="H429" s="29" t="s">
        <v>1089</v>
      </c>
    </row>
    <row r="430" ht="20" customHeight="1" spans="1:8" x14ac:dyDescent="0.25">
      <c r="A430" s="24" t="s">
        <v>58</v>
      </c>
      <c r="B430" s="24" t="s">
        <v>42</v>
      </c>
      <c r="C430" s="25" t="s">
        <v>71</v>
      </c>
      <c r="D430" s="33" t="s">
        <v>86</v>
      </c>
      <c r="E430" s="24" t="s">
        <v>12</v>
      </c>
      <c r="F430" s="24" t="s">
        <v>12</v>
      </c>
      <c r="G430" s="24" t="s">
        <v>12</v>
      </c>
      <c r="H430" s="24" t="s">
        <v>32</v>
      </c>
    </row>
    <row r="431" ht="20" customHeight="1" spans="1:8" x14ac:dyDescent="0.25">
      <c r="A431" s="22" t="s">
        <v>59</v>
      </c>
      <c r="B431" s="22" t="s">
        <v>45</v>
      </c>
      <c r="C431" s="23" t="s">
        <v>71</v>
      </c>
      <c r="D431" s="6" t="s">
        <v>4</v>
      </c>
      <c r="E431" s="22" t="s">
        <v>1117</v>
      </c>
      <c r="F431" s="22" t="s">
        <v>1082</v>
      </c>
      <c r="G431" s="22" t="s">
        <v>429</v>
      </c>
      <c r="H431" s="29" t="s">
        <v>850</v>
      </c>
    </row>
    <row r="432" ht="20" customHeight="1" spans="1:8" x14ac:dyDescent="0.25">
      <c r="A432" s="24" t="s">
        <v>60</v>
      </c>
      <c r="B432" s="24" t="s">
        <v>31</v>
      </c>
      <c r="C432" s="25" t="s">
        <v>71</v>
      </c>
      <c r="D432" s="6" t="s">
        <v>4</v>
      </c>
      <c r="E432" s="24" t="s">
        <v>1489</v>
      </c>
      <c r="F432" s="24" t="s">
        <v>412</v>
      </c>
      <c r="G432" s="24" t="s">
        <v>574</v>
      </c>
      <c r="H432" s="34" t="s">
        <v>1491</v>
      </c>
    </row>
    <row r="433" ht="20" customHeight="1" spans="1:8" x14ac:dyDescent="0.25">
      <c r="A433" s="22" t="s">
        <v>61</v>
      </c>
      <c r="B433" s="22" t="s">
        <v>34</v>
      </c>
      <c r="C433" s="23" t="s">
        <v>71</v>
      </c>
      <c r="D433" s="6" t="s">
        <v>4</v>
      </c>
      <c r="E433" s="22" t="s">
        <v>1526</v>
      </c>
      <c r="F433" s="22" t="s">
        <v>962</v>
      </c>
      <c r="G433" s="22" t="s">
        <v>614</v>
      </c>
      <c r="H433" s="29" t="s">
        <v>1452</v>
      </c>
    </row>
    <row r="434" ht="20" customHeight="1" spans="1:8" x14ac:dyDescent="0.25">
      <c r="A434" s="24" t="s">
        <v>62</v>
      </c>
      <c r="B434" s="24" t="s">
        <v>36</v>
      </c>
      <c r="C434" s="25" t="s">
        <v>71</v>
      </c>
      <c r="D434" s="6" t="s">
        <v>4</v>
      </c>
      <c r="E434" s="24" t="s">
        <v>851</v>
      </c>
      <c r="F434" s="24" t="s">
        <v>967</v>
      </c>
      <c r="G434" s="24" t="s">
        <v>574</v>
      </c>
      <c r="H434" s="34" t="s">
        <v>1404</v>
      </c>
    </row>
    <row r="435" ht="20" customHeight="1" spans="1:8" x14ac:dyDescent="0.25">
      <c r="A435" s="22" t="s">
        <v>63</v>
      </c>
      <c r="B435" s="22" t="s">
        <v>38</v>
      </c>
      <c r="C435" s="23" t="s">
        <v>71</v>
      </c>
      <c r="D435" s="6" t="s">
        <v>4</v>
      </c>
      <c r="E435" s="22" t="s">
        <v>976</v>
      </c>
      <c r="F435" s="22" t="s">
        <v>1293</v>
      </c>
      <c r="G435" s="22" t="s">
        <v>238</v>
      </c>
      <c r="H435" s="29" t="s">
        <v>1349</v>
      </c>
    </row>
    <row r="436" ht="20" customHeight="1" spans="1:8" x14ac:dyDescent="0.25">
      <c r="A436" s="24" t="s">
        <v>64</v>
      </c>
      <c r="B436" s="24" t="s">
        <v>40</v>
      </c>
      <c r="C436" s="25" t="s">
        <v>71</v>
      </c>
      <c r="D436" s="10" t="s">
        <v>87</v>
      </c>
      <c r="E436" s="24" t="s">
        <v>12</v>
      </c>
      <c r="F436" s="24" t="s">
        <v>12</v>
      </c>
      <c r="G436" s="24" t="s">
        <v>12</v>
      </c>
      <c r="H436" s="24" t="s">
        <v>32</v>
      </c>
    </row>
    <row r="437" ht="20" customHeight="1" spans="1:8" x14ac:dyDescent="0.25">
      <c r="A437" s="22" t="s">
        <v>65</v>
      </c>
      <c r="B437" s="22" t="s">
        <v>42</v>
      </c>
      <c r="C437" s="23" t="s">
        <v>71</v>
      </c>
      <c r="D437" s="35" t="s">
        <v>86</v>
      </c>
      <c r="E437" s="22" t="s">
        <v>12</v>
      </c>
      <c r="F437" s="22" t="s">
        <v>12</v>
      </c>
      <c r="G437" s="22" t="s">
        <v>12</v>
      </c>
      <c r="H437" s="22" t="s">
        <v>32</v>
      </c>
    </row>
    <row r="438" ht="20" customHeight="1" spans="1:8" x14ac:dyDescent="0.25">
      <c r="A438" s="24" t="s">
        <v>66</v>
      </c>
      <c r="B438" s="24" t="s">
        <v>45</v>
      </c>
      <c r="C438" s="25" t="s">
        <v>71</v>
      </c>
      <c r="D438" s="6" t="s">
        <v>4</v>
      </c>
      <c r="E438" s="24" t="s">
        <v>876</v>
      </c>
      <c r="F438" s="24" t="s">
        <v>12</v>
      </c>
      <c r="G438" s="24" t="s">
        <v>12</v>
      </c>
      <c r="H438" s="34" t="s">
        <v>877</v>
      </c>
    </row>
    <row r="439" ht="20" customHeight="1" spans="1:8" x14ac:dyDescent="0.25">
      <c r="A439" s="22" t="s">
        <v>67</v>
      </c>
      <c r="B439" s="22" t="s">
        <v>31</v>
      </c>
      <c r="C439" s="23" t="s">
        <v>71</v>
      </c>
      <c r="D439" s="6" t="s">
        <v>4</v>
      </c>
      <c r="E439" s="22" t="s">
        <v>1436</v>
      </c>
      <c r="F439" s="22" t="s">
        <v>467</v>
      </c>
      <c r="G439" s="22" t="s">
        <v>406</v>
      </c>
      <c r="H439" s="29" t="s">
        <v>1437</v>
      </c>
    </row>
    <row r="440" ht="20" customHeight="1" spans="1:8" x14ac:dyDescent="0.25">
      <c r="A440" s="24" t="s">
        <v>68</v>
      </c>
      <c r="B440" s="24" t="s">
        <v>34</v>
      </c>
      <c r="C440" s="25" t="s">
        <v>71</v>
      </c>
      <c r="D440" s="6" t="s">
        <v>4</v>
      </c>
      <c r="E440" s="24" t="s">
        <v>851</v>
      </c>
      <c r="F440" s="24" t="s">
        <v>470</v>
      </c>
      <c r="G440" s="24" t="s">
        <v>147</v>
      </c>
      <c r="H440" s="34" t="s">
        <v>1404</v>
      </c>
    </row>
    <row r="441" ht="22" customHeight="1" spans="1:8" x14ac:dyDescent="0.25">
      <c r="A441" s="26" t="s">
        <v>69</v>
      </c>
      <c r="B441" s="26"/>
      <c r="C441" s="26"/>
      <c r="D441" s="26"/>
      <c r="E441" s="26"/>
      <c r="F441" s="26"/>
      <c r="G441" s="27" t="s">
        <v>1658</v>
      </c>
      <c r="H441" s="28" t="s">
        <v>12</v>
      </c>
    </row>
    <row r="443" ht="26" customHeight="1" spans="1:8" x14ac:dyDescent="0.25">
      <c r="A443" s="20" t="s">
        <v>1659</v>
      </c>
      <c r="B443" s="20"/>
      <c r="C443" s="20"/>
      <c r="D443" s="20"/>
      <c r="E443" s="20"/>
      <c r="F443" s="20"/>
      <c r="G443" s="20"/>
      <c r="H443" s="20"/>
    </row>
    <row r="444" ht="22" customHeight="1" spans="1:8" x14ac:dyDescent="0.25">
      <c r="A444" s="21" t="s">
        <v>22</v>
      </c>
      <c r="B444" s="21" t="s">
        <v>23</v>
      </c>
      <c r="C444" s="21" t="s">
        <v>24</v>
      </c>
      <c r="D444" s="21" t="s">
        <v>25</v>
      </c>
      <c r="E444" s="21" t="s">
        <v>26</v>
      </c>
      <c r="F444" s="21" t="s">
        <v>27</v>
      </c>
      <c r="G444" s="21" t="s">
        <v>28</v>
      </c>
      <c r="H444" s="21" t="s">
        <v>29</v>
      </c>
    </row>
    <row r="445" ht="20" customHeight="1" spans="1:8" x14ac:dyDescent="0.25">
      <c r="A445" s="22" t="s">
        <v>30</v>
      </c>
      <c r="B445" s="22" t="s">
        <v>31</v>
      </c>
      <c r="C445" s="23" t="s">
        <v>605</v>
      </c>
      <c r="D445" s="7" t="s">
        <v>5</v>
      </c>
      <c r="E445" s="22" t="s">
        <v>12</v>
      </c>
      <c r="F445" s="22" t="s">
        <v>12</v>
      </c>
      <c r="G445" s="22" t="s">
        <v>12</v>
      </c>
      <c r="H445" s="22" t="s">
        <v>32</v>
      </c>
    </row>
    <row r="446" ht="20" customHeight="1" spans="1:8" x14ac:dyDescent="0.25">
      <c r="A446" s="24" t="s">
        <v>33</v>
      </c>
      <c r="B446" s="24" t="s">
        <v>34</v>
      </c>
      <c r="C446" s="25" t="s">
        <v>605</v>
      </c>
      <c r="D446" s="7" t="s">
        <v>5</v>
      </c>
      <c r="E446" s="24" t="s">
        <v>12</v>
      </c>
      <c r="F446" s="24" t="s">
        <v>12</v>
      </c>
      <c r="G446" s="24" t="s">
        <v>12</v>
      </c>
      <c r="H446" s="24" t="s">
        <v>32</v>
      </c>
    </row>
    <row r="447" ht="20" customHeight="1" spans="1:8" x14ac:dyDescent="0.25">
      <c r="A447" s="22" t="s">
        <v>35</v>
      </c>
      <c r="B447" s="22" t="s">
        <v>36</v>
      </c>
      <c r="C447" s="23" t="s">
        <v>605</v>
      </c>
      <c r="D447" s="7" t="s">
        <v>5</v>
      </c>
      <c r="E447" s="22" t="s">
        <v>12</v>
      </c>
      <c r="F447" s="22" t="s">
        <v>12</v>
      </c>
      <c r="G447" s="22" t="s">
        <v>12</v>
      </c>
      <c r="H447" s="22" t="s">
        <v>32</v>
      </c>
    </row>
    <row r="448" ht="20" customHeight="1" spans="1:8" x14ac:dyDescent="0.25">
      <c r="A448" s="24" t="s">
        <v>37</v>
      </c>
      <c r="B448" s="24" t="s">
        <v>38</v>
      </c>
      <c r="C448" s="25" t="s">
        <v>605</v>
      </c>
      <c r="D448" s="16" t="s">
        <v>43</v>
      </c>
      <c r="E448" s="24" t="s">
        <v>12</v>
      </c>
      <c r="F448" s="24" t="s">
        <v>12</v>
      </c>
      <c r="G448" s="24" t="s">
        <v>12</v>
      </c>
      <c r="H448" s="24" t="s">
        <v>32</v>
      </c>
    </row>
    <row r="449" ht="20" customHeight="1" spans="1:8" x14ac:dyDescent="0.25">
      <c r="A449" s="22" t="s">
        <v>39</v>
      </c>
      <c r="B449" s="22" t="s">
        <v>40</v>
      </c>
      <c r="C449" s="23" t="s">
        <v>605</v>
      </c>
      <c r="D449" s="7" t="s">
        <v>5</v>
      </c>
      <c r="E449" s="22" t="s">
        <v>12</v>
      </c>
      <c r="F449" s="22" t="s">
        <v>12</v>
      </c>
      <c r="G449" s="22" t="s">
        <v>12</v>
      </c>
      <c r="H449" s="22" t="s">
        <v>32</v>
      </c>
    </row>
    <row r="450" ht="20" customHeight="1" spans="1:8" x14ac:dyDescent="0.25">
      <c r="A450" s="24" t="s">
        <v>41</v>
      </c>
      <c r="B450" s="24" t="s">
        <v>42</v>
      </c>
      <c r="C450" s="25" t="s">
        <v>605</v>
      </c>
      <c r="D450" s="16" t="s">
        <v>43</v>
      </c>
      <c r="E450" s="24" t="s">
        <v>12</v>
      </c>
      <c r="F450" s="24" t="s">
        <v>12</v>
      </c>
      <c r="G450" s="24" t="s">
        <v>12</v>
      </c>
      <c r="H450" s="24" t="s">
        <v>32</v>
      </c>
    </row>
    <row r="451" ht="20" customHeight="1" spans="1:8" x14ac:dyDescent="0.25">
      <c r="A451" s="22" t="s">
        <v>44</v>
      </c>
      <c r="B451" s="22" t="s">
        <v>45</v>
      </c>
      <c r="C451" s="23" t="s">
        <v>605</v>
      </c>
      <c r="D451" s="7" t="s">
        <v>5</v>
      </c>
      <c r="E451" s="22" t="s">
        <v>12</v>
      </c>
      <c r="F451" s="22" t="s">
        <v>12</v>
      </c>
      <c r="G451" s="22" t="s">
        <v>12</v>
      </c>
      <c r="H451" s="22" t="s">
        <v>32</v>
      </c>
    </row>
    <row r="452" ht="20" customHeight="1" spans="1:8" x14ac:dyDescent="0.25">
      <c r="A452" s="24" t="s">
        <v>46</v>
      </c>
      <c r="B452" s="24" t="s">
        <v>31</v>
      </c>
      <c r="C452" s="25" t="s">
        <v>605</v>
      </c>
      <c r="D452" s="7" t="s">
        <v>5</v>
      </c>
      <c r="E452" s="24" t="s">
        <v>12</v>
      </c>
      <c r="F452" s="24" t="s">
        <v>12</v>
      </c>
      <c r="G452" s="24" t="s">
        <v>12</v>
      </c>
      <c r="H452" s="24" t="s">
        <v>32</v>
      </c>
    </row>
    <row r="453" ht="20" customHeight="1" spans="1:8" x14ac:dyDescent="0.25">
      <c r="A453" s="22" t="s">
        <v>47</v>
      </c>
      <c r="B453" s="22" t="s">
        <v>34</v>
      </c>
      <c r="C453" s="23" t="s">
        <v>605</v>
      </c>
      <c r="D453" s="7" t="s">
        <v>5</v>
      </c>
      <c r="E453" s="22" t="s">
        <v>12</v>
      </c>
      <c r="F453" s="22" t="s">
        <v>12</v>
      </c>
      <c r="G453" s="22" t="s">
        <v>12</v>
      </c>
      <c r="H453" s="22" t="s">
        <v>32</v>
      </c>
    </row>
    <row r="454" ht="20" customHeight="1" spans="1:8" x14ac:dyDescent="0.25">
      <c r="A454" s="24" t="s">
        <v>48</v>
      </c>
      <c r="B454" s="24" t="s">
        <v>36</v>
      </c>
      <c r="C454" s="25" t="s">
        <v>605</v>
      </c>
      <c r="D454" s="7" t="s">
        <v>5</v>
      </c>
      <c r="E454" s="24" t="s">
        <v>12</v>
      </c>
      <c r="F454" s="24" t="s">
        <v>12</v>
      </c>
      <c r="G454" s="24" t="s">
        <v>12</v>
      </c>
      <c r="H454" s="24" t="s">
        <v>32</v>
      </c>
    </row>
    <row r="455" ht="20" customHeight="1" spans="1:8" x14ac:dyDescent="0.25">
      <c r="A455" s="22" t="s">
        <v>49</v>
      </c>
      <c r="B455" s="22" t="s">
        <v>38</v>
      </c>
      <c r="C455" s="23" t="s">
        <v>605</v>
      </c>
      <c r="D455" s="7" t="s">
        <v>5</v>
      </c>
      <c r="E455" s="22" t="s">
        <v>12</v>
      </c>
      <c r="F455" s="22" t="s">
        <v>12</v>
      </c>
      <c r="G455" s="22" t="s">
        <v>12</v>
      </c>
      <c r="H455" s="22" t="s">
        <v>32</v>
      </c>
    </row>
    <row r="456" ht="20" customHeight="1" spans="1:8" x14ac:dyDescent="0.25">
      <c r="A456" s="24" t="s">
        <v>50</v>
      </c>
      <c r="B456" s="24" t="s">
        <v>40</v>
      </c>
      <c r="C456" s="25" t="s">
        <v>605</v>
      </c>
      <c r="D456" s="16" t="s">
        <v>43</v>
      </c>
      <c r="E456" s="24" t="s">
        <v>12</v>
      </c>
      <c r="F456" s="24" t="s">
        <v>12</v>
      </c>
      <c r="G456" s="24" t="s">
        <v>12</v>
      </c>
      <c r="H456" s="24" t="s">
        <v>32</v>
      </c>
    </row>
    <row r="457" ht="20" customHeight="1" spans="1:8" x14ac:dyDescent="0.25">
      <c r="A457" s="22" t="s">
        <v>51</v>
      </c>
      <c r="B457" s="22" t="s">
        <v>42</v>
      </c>
      <c r="C457" s="23" t="s">
        <v>605</v>
      </c>
      <c r="D457" s="16" t="s">
        <v>43</v>
      </c>
      <c r="E457" s="22" t="s">
        <v>12</v>
      </c>
      <c r="F457" s="22" t="s">
        <v>12</v>
      </c>
      <c r="G457" s="22" t="s">
        <v>12</v>
      </c>
      <c r="H457" s="22" t="s">
        <v>32</v>
      </c>
    </row>
    <row r="458" ht="20" customHeight="1" spans="1:8" x14ac:dyDescent="0.25">
      <c r="A458" s="24" t="s">
        <v>52</v>
      </c>
      <c r="B458" s="24" t="s">
        <v>45</v>
      </c>
      <c r="C458" s="25" t="s">
        <v>605</v>
      </c>
      <c r="D458" s="7" t="s">
        <v>5</v>
      </c>
      <c r="E458" s="24" t="s">
        <v>12</v>
      </c>
      <c r="F458" s="24" t="s">
        <v>12</v>
      </c>
      <c r="G458" s="24" t="s">
        <v>12</v>
      </c>
      <c r="H458" s="24" t="s">
        <v>32</v>
      </c>
    </row>
    <row r="459" ht="20" customHeight="1" spans="1:8" x14ac:dyDescent="0.25">
      <c r="A459" s="22" t="s">
        <v>53</v>
      </c>
      <c r="B459" s="22" t="s">
        <v>31</v>
      </c>
      <c r="C459" s="23" t="s">
        <v>605</v>
      </c>
      <c r="D459" s="7" t="s">
        <v>5</v>
      </c>
      <c r="E459" s="22" t="s">
        <v>12</v>
      </c>
      <c r="F459" s="22" t="s">
        <v>12</v>
      </c>
      <c r="G459" s="22" t="s">
        <v>12</v>
      </c>
      <c r="H459" s="22" t="s">
        <v>32</v>
      </c>
    </row>
    <row r="460" ht="20" customHeight="1" spans="1:8" x14ac:dyDescent="0.25">
      <c r="A460" s="24" t="s">
        <v>54</v>
      </c>
      <c r="B460" s="24" t="s">
        <v>34</v>
      </c>
      <c r="C460" s="25" t="s">
        <v>605</v>
      </c>
      <c r="D460" s="7" t="s">
        <v>5</v>
      </c>
      <c r="E460" s="24" t="s">
        <v>12</v>
      </c>
      <c r="F460" s="24" t="s">
        <v>12</v>
      </c>
      <c r="G460" s="24" t="s">
        <v>12</v>
      </c>
      <c r="H460" s="24" t="s">
        <v>32</v>
      </c>
    </row>
    <row r="461" ht="20" customHeight="1" spans="1:8" x14ac:dyDescent="0.25">
      <c r="A461" s="22" t="s">
        <v>55</v>
      </c>
      <c r="B461" s="22" t="s">
        <v>36</v>
      </c>
      <c r="C461" s="23" t="s">
        <v>605</v>
      </c>
      <c r="D461" s="7" t="s">
        <v>5</v>
      </c>
      <c r="E461" s="22" t="s">
        <v>12</v>
      </c>
      <c r="F461" s="22" t="s">
        <v>12</v>
      </c>
      <c r="G461" s="22" t="s">
        <v>12</v>
      </c>
      <c r="H461" s="22" t="s">
        <v>32</v>
      </c>
    </row>
    <row r="462" ht="20" customHeight="1" spans="1:8" x14ac:dyDescent="0.25">
      <c r="A462" s="24" t="s">
        <v>56</v>
      </c>
      <c r="B462" s="24" t="s">
        <v>38</v>
      </c>
      <c r="C462" s="25" t="s">
        <v>605</v>
      </c>
      <c r="D462" s="7" t="s">
        <v>5</v>
      </c>
      <c r="E462" s="24" t="s">
        <v>12</v>
      </c>
      <c r="F462" s="24" t="s">
        <v>12</v>
      </c>
      <c r="G462" s="24" t="s">
        <v>12</v>
      </c>
      <c r="H462" s="24" t="s">
        <v>32</v>
      </c>
    </row>
    <row r="463" ht="20" customHeight="1" spans="1:8" x14ac:dyDescent="0.25">
      <c r="A463" s="22" t="s">
        <v>57</v>
      </c>
      <c r="B463" s="22" t="s">
        <v>40</v>
      </c>
      <c r="C463" s="23" t="s">
        <v>605</v>
      </c>
      <c r="D463" s="7" t="s">
        <v>5</v>
      </c>
      <c r="E463" s="22" t="s">
        <v>12</v>
      </c>
      <c r="F463" s="22" t="s">
        <v>12</v>
      </c>
      <c r="G463" s="22" t="s">
        <v>12</v>
      </c>
      <c r="H463" s="22" t="s">
        <v>32</v>
      </c>
    </row>
    <row r="464" ht="20" customHeight="1" spans="1:8" x14ac:dyDescent="0.25">
      <c r="A464" s="24" t="s">
        <v>58</v>
      </c>
      <c r="B464" s="24" t="s">
        <v>42</v>
      </c>
      <c r="C464" s="25" t="s">
        <v>605</v>
      </c>
      <c r="D464" s="16" t="s">
        <v>43</v>
      </c>
      <c r="E464" s="24" t="s">
        <v>12</v>
      </c>
      <c r="F464" s="24" t="s">
        <v>12</v>
      </c>
      <c r="G464" s="24" t="s">
        <v>12</v>
      </c>
      <c r="H464" s="24" t="s">
        <v>32</v>
      </c>
    </row>
    <row r="465" ht="20" customHeight="1" spans="1:8" x14ac:dyDescent="0.25">
      <c r="A465" s="22" t="s">
        <v>59</v>
      </c>
      <c r="B465" s="22" t="s">
        <v>45</v>
      </c>
      <c r="C465" s="23" t="s">
        <v>605</v>
      </c>
      <c r="D465" s="7" t="s">
        <v>5</v>
      </c>
      <c r="E465" s="22" t="s">
        <v>12</v>
      </c>
      <c r="F465" s="22" t="s">
        <v>12</v>
      </c>
      <c r="G465" s="22" t="s">
        <v>12</v>
      </c>
      <c r="H465" s="22" t="s">
        <v>32</v>
      </c>
    </row>
    <row r="466" ht="20" customHeight="1" spans="1:8" x14ac:dyDescent="0.25">
      <c r="A466" s="24" t="s">
        <v>60</v>
      </c>
      <c r="B466" s="24" t="s">
        <v>31</v>
      </c>
      <c r="C466" s="25" t="s">
        <v>605</v>
      </c>
      <c r="D466" s="7" t="s">
        <v>5</v>
      </c>
      <c r="E466" s="24" t="s">
        <v>12</v>
      </c>
      <c r="F466" s="24" t="s">
        <v>12</v>
      </c>
      <c r="G466" s="24" t="s">
        <v>12</v>
      </c>
      <c r="H466" s="24" t="s">
        <v>32</v>
      </c>
    </row>
    <row r="467" ht="20" customHeight="1" spans="1:8" x14ac:dyDescent="0.25">
      <c r="A467" s="22" t="s">
        <v>61</v>
      </c>
      <c r="B467" s="22" t="s">
        <v>34</v>
      </c>
      <c r="C467" s="23" t="s">
        <v>605</v>
      </c>
      <c r="D467" s="7" t="s">
        <v>5</v>
      </c>
      <c r="E467" s="22" t="s">
        <v>12</v>
      </c>
      <c r="F467" s="22" t="s">
        <v>12</v>
      </c>
      <c r="G467" s="22" t="s">
        <v>12</v>
      </c>
      <c r="H467" s="22" t="s">
        <v>32</v>
      </c>
    </row>
    <row r="468" ht="20" customHeight="1" spans="1:8" x14ac:dyDescent="0.25">
      <c r="A468" s="24" t="s">
        <v>62</v>
      </c>
      <c r="B468" s="24" t="s">
        <v>36</v>
      </c>
      <c r="C468" s="25" t="s">
        <v>605</v>
      </c>
      <c r="D468" s="7" t="s">
        <v>5</v>
      </c>
      <c r="E468" s="24" t="s">
        <v>12</v>
      </c>
      <c r="F468" s="24" t="s">
        <v>12</v>
      </c>
      <c r="G468" s="24" t="s">
        <v>12</v>
      </c>
      <c r="H468" s="24" t="s">
        <v>32</v>
      </c>
    </row>
    <row r="469" ht="20" customHeight="1" spans="1:8" x14ac:dyDescent="0.25">
      <c r="A469" s="22" t="s">
        <v>63</v>
      </c>
      <c r="B469" s="22" t="s">
        <v>38</v>
      </c>
      <c r="C469" s="23" t="s">
        <v>605</v>
      </c>
      <c r="D469" s="7" t="s">
        <v>5</v>
      </c>
      <c r="E469" s="22" t="s">
        <v>12</v>
      </c>
      <c r="F469" s="22" t="s">
        <v>12</v>
      </c>
      <c r="G469" s="22" t="s">
        <v>12</v>
      </c>
      <c r="H469" s="22" t="s">
        <v>32</v>
      </c>
    </row>
    <row r="470" ht="20" customHeight="1" spans="1:8" x14ac:dyDescent="0.25">
      <c r="A470" s="24" t="s">
        <v>64</v>
      </c>
      <c r="B470" s="24" t="s">
        <v>40</v>
      </c>
      <c r="C470" s="25" t="s">
        <v>605</v>
      </c>
      <c r="D470" s="7" t="s">
        <v>5</v>
      </c>
      <c r="E470" s="24" t="s">
        <v>12</v>
      </c>
      <c r="F470" s="24" t="s">
        <v>12</v>
      </c>
      <c r="G470" s="24" t="s">
        <v>12</v>
      </c>
      <c r="H470" s="24" t="s">
        <v>32</v>
      </c>
    </row>
    <row r="471" ht="20" customHeight="1" spans="1:8" x14ac:dyDescent="0.25">
      <c r="A471" s="22" t="s">
        <v>65</v>
      </c>
      <c r="B471" s="22" t="s">
        <v>42</v>
      </c>
      <c r="C471" s="23" t="s">
        <v>605</v>
      </c>
      <c r="D471" s="16" t="s">
        <v>43</v>
      </c>
      <c r="E471" s="22" t="s">
        <v>12</v>
      </c>
      <c r="F471" s="22" t="s">
        <v>12</v>
      </c>
      <c r="G471" s="22" t="s">
        <v>12</v>
      </c>
      <c r="H471" s="22" t="s">
        <v>32</v>
      </c>
    </row>
    <row r="472" ht="20" customHeight="1" spans="1:8" x14ac:dyDescent="0.25">
      <c r="A472" s="24" t="s">
        <v>66</v>
      </c>
      <c r="B472" s="24" t="s">
        <v>45</v>
      </c>
      <c r="C472" s="25" t="s">
        <v>605</v>
      </c>
      <c r="D472" s="7" t="s">
        <v>5</v>
      </c>
      <c r="E472" s="24" t="s">
        <v>12</v>
      </c>
      <c r="F472" s="24" t="s">
        <v>12</v>
      </c>
      <c r="G472" s="24" t="s">
        <v>12</v>
      </c>
      <c r="H472" s="24" t="s">
        <v>32</v>
      </c>
    </row>
    <row r="473" ht="20" customHeight="1" spans="1:8" x14ac:dyDescent="0.25">
      <c r="A473" s="22" t="s">
        <v>67</v>
      </c>
      <c r="B473" s="22" t="s">
        <v>31</v>
      </c>
      <c r="C473" s="23" t="s">
        <v>605</v>
      </c>
      <c r="D473" s="7" t="s">
        <v>5</v>
      </c>
      <c r="E473" s="22" t="s">
        <v>12</v>
      </c>
      <c r="F473" s="22" t="s">
        <v>12</v>
      </c>
      <c r="G473" s="22" t="s">
        <v>12</v>
      </c>
      <c r="H473" s="22" t="s">
        <v>32</v>
      </c>
    </row>
    <row r="474" ht="20" customHeight="1" spans="1:8" x14ac:dyDescent="0.25">
      <c r="A474" s="24" t="s">
        <v>68</v>
      </c>
      <c r="B474" s="24" t="s">
        <v>34</v>
      </c>
      <c r="C474" s="25" t="s">
        <v>605</v>
      </c>
      <c r="D474" s="7" t="s">
        <v>5</v>
      </c>
      <c r="E474" s="24" t="s">
        <v>12</v>
      </c>
      <c r="F474" s="24" t="s">
        <v>12</v>
      </c>
      <c r="G474" s="24" t="s">
        <v>12</v>
      </c>
      <c r="H474" s="24" t="s">
        <v>32</v>
      </c>
    </row>
    <row r="475" ht="22" customHeight="1" spans="1:8" x14ac:dyDescent="0.25">
      <c r="A475" s="26" t="s">
        <v>69</v>
      </c>
      <c r="B475" s="26"/>
      <c r="C475" s="26"/>
      <c r="D475" s="26"/>
      <c r="E475" s="26"/>
      <c r="F475" s="26"/>
      <c r="G475" s="27" t="s">
        <v>18</v>
      </c>
      <c r="H475" s="28" t="s">
        <v>12</v>
      </c>
    </row>
    <row r="477" ht="26" customHeight="1" spans="1:8" x14ac:dyDescent="0.25">
      <c r="A477" s="20" t="s">
        <v>1660</v>
      </c>
      <c r="B477" s="20"/>
      <c r="C477" s="20"/>
      <c r="D477" s="20"/>
      <c r="E477" s="20"/>
      <c r="F477" s="20"/>
      <c r="G477" s="20"/>
      <c r="H477" s="20"/>
    </row>
    <row r="478" ht="22" customHeight="1" spans="1:8" x14ac:dyDescent="0.25">
      <c r="A478" s="21" t="s">
        <v>22</v>
      </c>
      <c r="B478" s="21" t="s">
        <v>23</v>
      </c>
      <c r="C478" s="21" t="s">
        <v>24</v>
      </c>
      <c r="D478" s="21" t="s">
        <v>25</v>
      </c>
      <c r="E478" s="21" t="s">
        <v>26</v>
      </c>
      <c r="F478" s="21" t="s">
        <v>27</v>
      </c>
      <c r="G478" s="21" t="s">
        <v>28</v>
      </c>
      <c r="H478" s="21" t="s">
        <v>29</v>
      </c>
    </row>
    <row r="479" ht="20" customHeight="1" spans="1:8" x14ac:dyDescent="0.25">
      <c r="A479" s="22" t="s">
        <v>30</v>
      </c>
      <c r="B479" s="22" t="s">
        <v>31</v>
      </c>
      <c r="C479" s="23" t="s">
        <v>71</v>
      </c>
      <c r="D479" s="6" t="s">
        <v>4</v>
      </c>
      <c r="E479" s="22" t="s">
        <v>311</v>
      </c>
      <c r="F479" s="22" t="s">
        <v>324</v>
      </c>
      <c r="G479" s="22" t="s">
        <v>285</v>
      </c>
      <c r="H479" s="32" t="s">
        <v>79</v>
      </c>
    </row>
    <row r="480" ht="20" customHeight="1" spans="1:8" x14ac:dyDescent="0.25">
      <c r="A480" s="24" t="s">
        <v>33</v>
      </c>
      <c r="B480" s="24" t="s">
        <v>34</v>
      </c>
      <c r="C480" s="25" t="s">
        <v>71</v>
      </c>
      <c r="D480" s="6" t="s">
        <v>4</v>
      </c>
      <c r="E480" s="24" t="s">
        <v>698</v>
      </c>
      <c r="F480" s="24" t="s">
        <v>1614</v>
      </c>
      <c r="G480" s="24" t="s">
        <v>177</v>
      </c>
      <c r="H480" s="34" t="s">
        <v>1661</v>
      </c>
    </row>
    <row r="481" ht="20" customHeight="1" spans="1:8" x14ac:dyDescent="0.25">
      <c r="A481" s="22" t="s">
        <v>35</v>
      </c>
      <c r="B481" s="22" t="s">
        <v>36</v>
      </c>
      <c r="C481" s="23" t="s">
        <v>71</v>
      </c>
      <c r="D481" s="6" t="s">
        <v>4</v>
      </c>
      <c r="E481" s="22" t="s">
        <v>372</v>
      </c>
      <c r="F481" s="22" t="s">
        <v>237</v>
      </c>
      <c r="G481" s="22" t="s">
        <v>410</v>
      </c>
      <c r="H481" s="32" t="s">
        <v>79</v>
      </c>
    </row>
    <row r="482" ht="20" customHeight="1" spans="1:8" x14ac:dyDescent="0.25">
      <c r="A482" s="24" t="s">
        <v>37</v>
      </c>
      <c r="B482" s="24" t="s">
        <v>38</v>
      </c>
      <c r="C482" s="25" t="s">
        <v>71</v>
      </c>
      <c r="D482" s="6" t="s">
        <v>4</v>
      </c>
      <c r="E482" s="24" t="s">
        <v>254</v>
      </c>
      <c r="F482" s="24" t="s">
        <v>122</v>
      </c>
      <c r="G482" s="24" t="s">
        <v>1662</v>
      </c>
      <c r="H482" s="34" t="s">
        <v>1663</v>
      </c>
    </row>
    <row r="483" ht="20" customHeight="1" spans="1:8" x14ac:dyDescent="0.25">
      <c r="A483" s="22" t="s">
        <v>39</v>
      </c>
      <c r="B483" s="22" t="s">
        <v>40</v>
      </c>
      <c r="C483" s="23" t="s">
        <v>71</v>
      </c>
      <c r="D483" s="6" t="s">
        <v>4</v>
      </c>
      <c r="E483" s="22" t="s">
        <v>434</v>
      </c>
      <c r="F483" s="22" t="s">
        <v>1664</v>
      </c>
      <c r="G483" s="22" t="s">
        <v>1665</v>
      </c>
      <c r="H483" s="29" t="s">
        <v>1666</v>
      </c>
    </row>
    <row r="484" ht="20" customHeight="1" spans="1:8" x14ac:dyDescent="0.25">
      <c r="A484" s="24" t="s">
        <v>41</v>
      </c>
      <c r="B484" s="24" t="s">
        <v>42</v>
      </c>
      <c r="C484" s="25" t="s">
        <v>71</v>
      </c>
      <c r="D484" s="33" t="s">
        <v>86</v>
      </c>
      <c r="E484" s="24" t="s">
        <v>353</v>
      </c>
      <c r="F484" s="24" t="s">
        <v>890</v>
      </c>
      <c r="G484" s="24" t="s">
        <v>1667</v>
      </c>
      <c r="H484" s="30" t="s">
        <v>79</v>
      </c>
    </row>
    <row r="485" ht="20" customHeight="1" spans="1:8" x14ac:dyDescent="0.25">
      <c r="A485" s="22" t="s">
        <v>44</v>
      </c>
      <c r="B485" s="22" t="s">
        <v>45</v>
      </c>
      <c r="C485" s="23" t="s">
        <v>71</v>
      </c>
      <c r="D485" s="6" t="s">
        <v>4</v>
      </c>
      <c r="E485" s="22" t="s">
        <v>446</v>
      </c>
      <c r="F485" s="22" t="s">
        <v>1668</v>
      </c>
      <c r="G485" s="22" t="s">
        <v>1507</v>
      </c>
      <c r="H485" s="29" t="s">
        <v>1669</v>
      </c>
    </row>
    <row r="486" ht="20" customHeight="1" spans="1:8" x14ac:dyDescent="0.25">
      <c r="A486" s="24" t="s">
        <v>46</v>
      </c>
      <c r="B486" s="24" t="s">
        <v>31</v>
      </c>
      <c r="C486" s="25" t="s">
        <v>71</v>
      </c>
      <c r="D486" s="6" t="s">
        <v>4</v>
      </c>
      <c r="E486" s="24" t="s">
        <v>576</v>
      </c>
      <c r="F486" s="24" t="s">
        <v>402</v>
      </c>
      <c r="G486" s="24" t="s">
        <v>285</v>
      </c>
      <c r="H486" s="30" t="s">
        <v>79</v>
      </c>
    </row>
    <row r="487" ht="20" customHeight="1" spans="1:8" x14ac:dyDescent="0.25">
      <c r="A487" s="22" t="s">
        <v>47</v>
      </c>
      <c r="B487" s="22" t="s">
        <v>34</v>
      </c>
      <c r="C487" s="23" t="s">
        <v>71</v>
      </c>
      <c r="D487" s="6" t="s">
        <v>4</v>
      </c>
      <c r="E487" s="22" t="s">
        <v>620</v>
      </c>
      <c r="F487" s="22" t="s">
        <v>376</v>
      </c>
      <c r="G487" s="22" t="s">
        <v>762</v>
      </c>
      <c r="H487" s="32" t="s">
        <v>79</v>
      </c>
    </row>
    <row r="488" ht="20" customHeight="1" spans="1:8" x14ac:dyDescent="0.25">
      <c r="A488" s="24" t="s">
        <v>48</v>
      </c>
      <c r="B488" s="24" t="s">
        <v>36</v>
      </c>
      <c r="C488" s="25" t="s">
        <v>71</v>
      </c>
      <c r="D488" s="6" t="s">
        <v>4</v>
      </c>
      <c r="E488" s="24" t="s">
        <v>1357</v>
      </c>
      <c r="F488" s="24" t="s">
        <v>344</v>
      </c>
      <c r="G488" s="24" t="s">
        <v>726</v>
      </c>
      <c r="H488" s="30" t="s">
        <v>79</v>
      </c>
    </row>
    <row r="489" ht="20" customHeight="1" spans="1:8" x14ac:dyDescent="0.25">
      <c r="A489" s="22" t="s">
        <v>49</v>
      </c>
      <c r="B489" s="22" t="s">
        <v>38</v>
      </c>
      <c r="C489" s="23" t="s">
        <v>71</v>
      </c>
      <c r="D489" s="6" t="s">
        <v>4</v>
      </c>
      <c r="E489" s="22" t="s">
        <v>503</v>
      </c>
      <c r="F489" s="22" t="s">
        <v>389</v>
      </c>
      <c r="G489" s="22" t="s">
        <v>177</v>
      </c>
      <c r="H489" s="32" t="s">
        <v>79</v>
      </c>
    </row>
    <row r="490" ht="20" customHeight="1" spans="1:8" x14ac:dyDescent="0.25">
      <c r="A490" s="24" t="s">
        <v>50</v>
      </c>
      <c r="B490" s="24" t="s">
        <v>40</v>
      </c>
      <c r="C490" s="25" t="s">
        <v>71</v>
      </c>
      <c r="D490" s="6" t="s">
        <v>4</v>
      </c>
      <c r="E490" s="24" t="s">
        <v>300</v>
      </c>
      <c r="F490" s="24" t="s">
        <v>1670</v>
      </c>
      <c r="G490" s="24" t="s">
        <v>1578</v>
      </c>
      <c r="H490" s="34" t="s">
        <v>1671</v>
      </c>
    </row>
    <row r="491" ht="20" customHeight="1" spans="1:8" x14ac:dyDescent="0.25">
      <c r="A491" s="22" t="s">
        <v>51</v>
      </c>
      <c r="B491" s="22" t="s">
        <v>42</v>
      </c>
      <c r="C491" s="23" t="s">
        <v>71</v>
      </c>
      <c r="D491" s="36" t="s">
        <v>764</v>
      </c>
      <c r="E491" s="22" t="s">
        <v>326</v>
      </c>
      <c r="F491" s="22" t="s">
        <v>599</v>
      </c>
      <c r="G491" s="22" t="s">
        <v>1672</v>
      </c>
      <c r="H491" s="29" t="s">
        <v>1673</v>
      </c>
    </row>
    <row r="492" ht="20" customHeight="1" spans="1:8" x14ac:dyDescent="0.25">
      <c r="A492" s="24" t="s">
        <v>52</v>
      </c>
      <c r="B492" s="24" t="s">
        <v>45</v>
      </c>
      <c r="C492" s="25" t="s">
        <v>71</v>
      </c>
      <c r="D492" s="6" t="s">
        <v>4</v>
      </c>
      <c r="E492" s="24" t="s">
        <v>125</v>
      </c>
      <c r="F492" s="24" t="s">
        <v>136</v>
      </c>
      <c r="G492" s="24" t="s">
        <v>99</v>
      </c>
      <c r="H492" s="30" t="s">
        <v>79</v>
      </c>
    </row>
    <row r="493" ht="20" customHeight="1" spans="1:8" x14ac:dyDescent="0.25">
      <c r="A493" s="22" t="s">
        <v>53</v>
      </c>
      <c r="B493" s="22" t="s">
        <v>31</v>
      </c>
      <c r="C493" s="23" t="s">
        <v>71</v>
      </c>
      <c r="D493" s="6" t="s">
        <v>4</v>
      </c>
      <c r="E493" s="22" t="s">
        <v>576</v>
      </c>
      <c r="F493" s="22" t="s">
        <v>384</v>
      </c>
      <c r="G493" s="22" t="s">
        <v>577</v>
      </c>
      <c r="H493" s="32" t="s">
        <v>79</v>
      </c>
    </row>
    <row r="494" ht="20" customHeight="1" spans="1:8" x14ac:dyDescent="0.25">
      <c r="A494" s="24" t="s">
        <v>54</v>
      </c>
      <c r="B494" s="24" t="s">
        <v>34</v>
      </c>
      <c r="C494" s="25" t="s">
        <v>71</v>
      </c>
      <c r="D494" s="6" t="s">
        <v>4</v>
      </c>
      <c r="E494" s="24" t="s">
        <v>401</v>
      </c>
      <c r="F494" s="24" t="s">
        <v>343</v>
      </c>
      <c r="G494" s="24" t="s">
        <v>123</v>
      </c>
      <c r="H494" s="30" t="s">
        <v>79</v>
      </c>
    </row>
    <row r="495" ht="20" customHeight="1" spans="1:8" x14ac:dyDescent="0.25">
      <c r="A495" s="22" t="s">
        <v>55</v>
      </c>
      <c r="B495" s="22" t="s">
        <v>36</v>
      </c>
      <c r="C495" s="23" t="s">
        <v>71</v>
      </c>
      <c r="D495" s="6" t="s">
        <v>4</v>
      </c>
      <c r="E495" s="22" t="s">
        <v>362</v>
      </c>
      <c r="F495" s="22" t="s">
        <v>133</v>
      </c>
      <c r="G495" s="22" t="s">
        <v>250</v>
      </c>
      <c r="H495" s="32" t="s">
        <v>79</v>
      </c>
    </row>
    <row r="496" ht="20" customHeight="1" spans="1:8" x14ac:dyDescent="0.25">
      <c r="A496" s="24" t="s">
        <v>56</v>
      </c>
      <c r="B496" s="24" t="s">
        <v>38</v>
      </c>
      <c r="C496" s="25" t="s">
        <v>71</v>
      </c>
      <c r="D496" s="6" t="s">
        <v>4</v>
      </c>
      <c r="E496" s="24" t="s">
        <v>353</v>
      </c>
      <c r="F496" s="24" t="s">
        <v>363</v>
      </c>
      <c r="G496" s="24" t="s">
        <v>161</v>
      </c>
      <c r="H496" s="34" t="s">
        <v>355</v>
      </c>
    </row>
    <row r="497" ht="20" customHeight="1" spans="1:8" x14ac:dyDescent="0.25">
      <c r="A497" s="22" t="s">
        <v>57</v>
      </c>
      <c r="B497" s="22" t="s">
        <v>40</v>
      </c>
      <c r="C497" s="23" t="s">
        <v>71</v>
      </c>
      <c r="D497" s="6" t="s">
        <v>4</v>
      </c>
      <c r="E497" s="22" t="s">
        <v>12</v>
      </c>
      <c r="F497" s="22" t="s">
        <v>12</v>
      </c>
      <c r="G497" s="22" t="s">
        <v>12</v>
      </c>
      <c r="H497" s="22" t="s">
        <v>32</v>
      </c>
    </row>
    <row r="498" ht="20" customHeight="1" spans="1:8" x14ac:dyDescent="0.25">
      <c r="A498" s="24" t="s">
        <v>58</v>
      </c>
      <c r="B498" s="24" t="s">
        <v>42</v>
      </c>
      <c r="C498" s="25" t="s">
        <v>71</v>
      </c>
      <c r="D498" s="33" t="s">
        <v>86</v>
      </c>
      <c r="E498" s="24" t="s">
        <v>12</v>
      </c>
      <c r="F498" s="24" t="s">
        <v>12</v>
      </c>
      <c r="G498" s="24" t="s">
        <v>12</v>
      </c>
      <c r="H498" s="24" t="s">
        <v>32</v>
      </c>
    </row>
    <row r="499" ht="20" customHeight="1" spans="1:8" x14ac:dyDescent="0.25">
      <c r="A499" s="22" t="s">
        <v>59</v>
      </c>
      <c r="B499" s="22" t="s">
        <v>45</v>
      </c>
      <c r="C499" s="23" t="s">
        <v>71</v>
      </c>
      <c r="D499" s="6" t="s">
        <v>4</v>
      </c>
      <c r="E499" s="22" t="s">
        <v>503</v>
      </c>
      <c r="F499" s="22" t="s">
        <v>389</v>
      </c>
      <c r="G499" s="22" t="s">
        <v>407</v>
      </c>
      <c r="H499" s="32" t="s">
        <v>79</v>
      </c>
    </row>
    <row r="500" ht="20" customHeight="1" spans="1:8" x14ac:dyDescent="0.25">
      <c r="A500" s="24" t="s">
        <v>60</v>
      </c>
      <c r="B500" s="24" t="s">
        <v>31</v>
      </c>
      <c r="C500" s="25" t="s">
        <v>71</v>
      </c>
      <c r="D500" s="6" t="s">
        <v>4</v>
      </c>
      <c r="E500" s="24" t="s">
        <v>201</v>
      </c>
      <c r="F500" s="24" t="s">
        <v>343</v>
      </c>
      <c r="G500" s="24" t="s">
        <v>214</v>
      </c>
      <c r="H500" s="34" t="s">
        <v>204</v>
      </c>
    </row>
    <row r="501" ht="20" customHeight="1" spans="1:8" x14ac:dyDescent="0.25">
      <c r="A501" s="22" t="s">
        <v>61</v>
      </c>
      <c r="B501" s="22" t="s">
        <v>34</v>
      </c>
      <c r="C501" s="23" t="s">
        <v>71</v>
      </c>
      <c r="D501" s="6" t="s">
        <v>4</v>
      </c>
      <c r="E501" s="22" t="s">
        <v>635</v>
      </c>
      <c r="F501" s="22" t="s">
        <v>298</v>
      </c>
      <c r="G501" s="22" t="s">
        <v>180</v>
      </c>
      <c r="H501" s="32" t="s">
        <v>79</v>
      </c>
    </row>
    <row r="502" ht="20" customHeight="1" spans="1:8" x14ac:dyDescent="0.25">
      <c r="A502" s="24" t="s">
        <v>62</v>
      </c>
      <c r="B502" s="24" t="s">
        <v>36</v>
      </c>
      <c r="C502" s="25" t="s">
        <v>71</v>
      </c>
      <c r="D502" s="6" t="s">
        <v>4</v>
      </c>
      <c r="E502" s="24" t="s">
        <v>228</v>
      </c>
      <c r="F502" s="24" t="s">
        <v>301</v>
      </c>
      <c r="G502" s="24" t="s">
        <v>99</v>
      </c>
      <c r="H502" s="34" t="s">
        <v>229</v>
      </c>
    </row>
    <row r="503" ht="20" customHeight="1" spans="1:8" x14ac:dyDescent="0.25">
      <c r="A503" s="22" t="s">
        <v>63</v>
      </c>
      <c r="B503" s="22" t="s">
        <v>38</v>
      </c>
      <c r="C503" s="23" t="s">
        <v>71</v>
      </c>
      <c r="D503" s="6" t="s">
        <v>4</v>
      </c>
      <c r="E503" s="22" t="s">
        <v>364</v>
      </c>
      <c r="F503" s="22" t="s">
        <v>133</v>
      </c>
      <c r="G503" s="22" t="s">
        <v>171</v>
      </c>
      <c r="H503" s="32" t="s">
        <v>79</v>
      </c>
    </row>
    <row r="504" ht="20" customHeight="1" spans="1:8" x14ac:dyDescent="0.25">
      <c r="A504" s="24" t="s">
        <v>64</v>
      </c>
      <c r="B504" s="24" t="s">
        <v>40</v>
      </c>
      <c r="C504" s="25" t="s">
        <v>71</v>
      </c>
      <c r="D504" s="6" t="s">
        <v>4</v>
      </c>
      <c r="E504" s="24" t="s">
        <v>635</v>
      </c>
      <c r="F504" s="24" t="s">
        <v>373</v>
      </c>
      <c r="G504" s="24" t="s">
        <v>259</v>
      </c>
      <c r="H504" s="30" t="s">
        <v>79</v>
      </c>
    </row>
    <row r="505" ht="20" customHeight="1" spans="1:8" x14ac:dyDescent="0.25">
      <c r="A505" s="22" t="s">
        <v>65</v>
      </c>
      <c r="B505" s="22" t="s">
        <v>42</v>
      </c>
      <c r="C505" s="23" t="s">
        <v>71</v>
      </c>
      <c r="D505" s="35" t="s">
        <v>86</v>
      </c>
      <c r="E505" s="22" t="s">
        <v>12</v>
      </c>
      <c r="F505" s="22" t="s">
        <v>12</v>
      </c>
      <c r="G505" s="22" t="s">
        <v>12</v>
      </c>
      <c r="H505" s="22" t="s">
        <v>32</v>
      </c>
    </row>
    <row r="506" ht="20" customHeight="1" spans="1:8" x14ac:dyDescent="0.25">
      <c r="A506" s="24" t="s">
        <v>66</v>
      </c>
      <c r="B506" s="24" t="s">
        <v>45</v>
      </c>
      <c r="C506" s="25" t="s">
        <v>71</v>
      </c>
      <c r="D506" s="6" t="s">
        <v>4</v>
      </c>
      <c r="E506" s="24" t="s">
        <v>189</v>
      </c>
      <c r="F506" s="24" t="s">
        <v>112</v>
      </c>
      <c r="G506" s="24" t="s">
        <v>429</v>
      </c>
      <c r="H506" s="34" t="s">
        <v>191</v>
      </c>
    </row>
    <row r="507" ht="20" customHeight="1" spans="1:8" x14ac:dyDescent="0.25">
      <c r="A507" s="22" t="s">
        <v>67</v>
      </c>
      <c r="B507" s="22" t="s">
        <v>31</v>
      </c>
      <c r="C507" s="23" t="s">
        <v>71</v>
      </c>
      <c r="D507" s="6" t="s">
        <v>4</v>
      </c>
      <c r="E507" s="22" t="s">
        <v>437</v>
      </c>
      <c r="F507" s="22" t="s">
        <v>133</v>
      </c>
      <c r="G507" s="22" t="s">
        <v>481</v>
      </c>
      <c r="H507" s="32" t="s">
        <v>79</v>
      </c>
    </row>
    <row r="508" ht="20" customHeight="1" spans="1:8" x14ac:dyDescent="0.25">
      <c r="A508" s="24" t="s">
        <v>68</v>
      </c>
      <c r="B508" s="24" t="s">
        <v>34</v>
      </c>
      <c r="C508" s="25" t="s">
        <v>71</v>
      </c>
      <c r="D508" s="6" t="s">
        <v>4</v>
      </c>
      <c r="E508" s="24" t="s">
        <v>391</v>
      </c>
      <c r="F508" s="24" t="s">
        <v>389</v>
      </c>
      <c r="G508" s="24" t="s">
        <v>659</v>
      </c>
      <c r="H508" s="30" t="s">
        <v>79</v>
      </c>
    </row>
    <row r="509" ht="22" customHeight="1" spans="1:8" x14ac:dyDescent="0.25">
      <c r="A509" s="26" t="s">
        <v>69</v>
      </c>
      <c r="B509" s="26"/>
      <c r="C509" s="26"/>
      <c r="D509" s="26"/>
      <c r="E509" s="26"/>
      <c r="F509" s="26"/>
      <c r="G509" s="27" t="s">
        <v>1674</v>
      </c>
      <c r="H509" s="28" t="s">
        <v>12</v>
      </c>
    </row>
    <row r="511" ht="26" customHeight="1" spans="1:8" x14ac:dyDescent="0.25">
      <c r="A511" s="20" t="s">
        <v>1675</v>
      </c>
      <c r="B511" s="20"/>
      <c r="C511" s="20"/>
      <c r="D511" s="20"/>
      <c r="E511" s="20"/>
      <c r="F511" s="20"/>
      <c r="G511" s="20"/>
      <c r="H511" s="20"/>
    </row>
    <row r="512" ht="22" customHeight="1" spans="1:8" x14ac:dyDescent="0.25">
      <c r="A512" s="21" t="s">
        <v>22</v>
      </c>
      <c r="B512" s="21" t="s">
        <v>23</v>
      </c>
      <c r="C512" s="21" t="s">
        <v>24</v>
      </c>
      <c r="D512" s="21" t="s">
        <v>25</v>
      </c>
      <c r="E512" s="21" t="s">
        <v>26</v>
      </c>
      <c r="F512" s="21" t="s">
        <v>27</v>
      </c>
      <c r="G512" s="21" t="s">
        <v>28</v>
      </c>
      <c r="H512" s="21" t="s">
        <v>29</v>
      </c>
    </row>
    <row r="513" ht="20" customHeight="1" spans="1:8" x14ac:dyDescent="0.25">
      <c r="A513" s="22" t="s">
        <v>30</v>
      </c>
      <c r="B513" s="22" t="s">
        <v>31</v>
      </c>
      <c r="C513" s="23" t="s">
        <v>71</v>
      </c>
      <c r="D513" s="6" t="s">
        <v>4</v>
      </c>
      <c r="E513" s="22" t="s">
        <v>196</v>
      </c>
      <c r="F513" s="22" t="s">
        <v>84</v>
      </c>
      <c r="G513" s="22" t="s">
        <v>240</v>
      </c>
      <c r="H513" s="29" t="s">
        <v>198</v>
      </c>
    </row>
    <row r="514" ht="20" customHeight="1" spans="1:8" x14ac:dyDescent="0.25">
      <c r="A514" s="24" t="s">
        <v>33</v>
      </c>
      <c r="B514" s="24" t="s">
        <v>34</v>
      </c>
      <c r="C514" s="25" t="s">
        <v>71</v>
      </c>
      <c r="D514" s="6" t="s">
        <v>4</v>
      </c>
      <c r="E514" s="24" t="s">
        <v>163</v>
      </c>
      <c r="F514" s="24" t="s">
        <v>519</v>
      </c>
      <c r="G514" s="24" t="s">
        <v>328</v>
      </c>
      <c r="H514" s="34" t="s">
        <v>166</v>
      </c>
    </row>
    <row r="515" ht="20" customHeight="1" spans="1:8" x14ac:dyDescent="0.25">
      <c r="A515" s="22" t="s">
        <v>35</v>
      </c>
      <c r="B515" s="22" t="s">
        <v>36</v>
      </c>
      <c r="C515" s="23" t="s">
        <v>71</v>
      </c>
      <c r="D515" s="6" t="s">
        <v>4</v>
      </c>
      <c r="E515" s="22" t="s">
        <v>152</v>
      </c>
      <c r="F515" s="22" t="s">
        <v>245</v>
      </c>
      <c r="G515" s="22" t="s">
        <v>154</v>
      </c>
      <c r="H515" s="29" t="s">
        <v>155</v>
      </c>
    </row>
    <row r="516" ht="20" customHeight="1" spans="1:8" x14ac:dyDescent="0.25">
      <c r="A516" s="24" t="s">
        <v>37</v>
      </c>
      <c r="B516" s="24" t="s">
        <v>38</v>
      </c>
      <c r="C516" s="25" t="s">
        <v>71</v>
      </c>
      <c r="D516" s="31" t="s">
        <v>11</v>
      </c>
      <c r="E516" s="24" t="s">
        <v>12</v>
      </c>
      <c r="F516" s="24" t="s">
        <v>12</v>
      </c>
      <c r="G516" s="24" t="s">
        <v>12</v>
      </c>
      <c r="H516" s="24" t="s">
        <v>32</v>
      </c>
    </row>
    <row r="517" ht="20" customHeight="1" spans="1:8" x14ac:dyDescent="0.25">
      <c r="A517" s="22" t="s">
        <v>39</v>
      </c>
      <c r="B517" s="22" t="s">
        <v>40</v>
      </c>
      <c r="C517" s="23" t="s">
        <v>71</v>
      </c>
      <c r="D517" s="6" t="s">
        <v>4</v>
      </c>
      <c r="E517" s="22" t="s">
        <v>635</v>
      </c>
      <c r="F517" s="22" t="s">
        <v>759</v>
      </c>
      <c r="G517" s="22" t="s">
        <v>1152</v>
      </c>
      <c r="H517" s="32" t="s">
        <v>79</v>
      </c>
    </row>
    <row r="518" ht="20" customHeight="1" spans="1:8" x14ac:dyDescent="0.25">
      <c r="A518" s="24" t="s">
        <v>41</v>
      </c>
      <c r="B518" s="24" t="s">
        <v>42</v>
      </c>
      <c r="C518" s="25" t="s">
        <v>71</v>
      </c>
      <c r="D518" s="33" t="s">
        <v>86</v>
      </c>
      <c r="E518" s="24" t="s">
        <v>12</v>
      </c>
      <c r="F518" s="24" t="s">
        <v>12</v>
      </c>
      <c r="G518" s="24" t="s">
        <v>12</v>
      </c>
      <c r="H518" s="24" t="s">
        <v>32</v>
      </c>
    </row>
    <row r="519" ht="20" customHeight="1" spans="1:8" x14ac:dyDescent="0.25">
      <c r="A519" s="22" t="s">
        <v>44</v>
      </c>
      <c r="B519" s="22" t="s">
        <v>45</v>
      </c>
      <c r="C519" s="23" t="s">
        <v>71</v>
      </c>
      <c r="D519" s="6" t="s">
        <v>4</v>
      </c>
      <c r="E519" s="22" t="s">
        <v>1088</v>
      </c>
      <c r="F519" s="22" t="s">
        <v>84</v>
      </c>
      <c r="G519" s="22" t="s">
        <v>1279</v>
      </c>
      <c r="H519" s="29" t="s">
        <v>1089</v>
      </c>
    </row>
    <row r="520" ht="20" customHeight="1" spans="1:8" x14ac:dyDescent="0.25">
      <c r="A520" s="24" t="s">
        <v>46</v>
      </c>
      <c r="B520" s="24" t="s">
        <v>31</v>
      </c>
      <c r="C520" s="25" t="s">
        <v>71</v>
      </c>
      <c r="D520" s="6" t="s">
        <v>4</v>
      </c>
      <c r="E520" s="24" t="s">
        <v>369</v>
      </c>
      <c r="F520" s="24" t="s">
        <v>562</v>
      </c>
      <c r="G520" s="24" t="s">
        <v>325</v>
      </c>
      <c r="H520" s="34" t="s">
        <v>371</v>
      </c>
    </row>
    <row r="521" ht="20" customHeight="1" spans="1:8" x14ac:dyDescent="0.25">
      <c r="A521" s="22" t="s">
        <v>47</v>
      </c>
      <c r="B521" s="22" t="s">
        <v>34</v>
      </c>
      <c r="C521" s="23" t="s">
        <v>71</v>
      </c>
      <c r="D521" s="6" t="s">
        <v>4</v>
      </c>
      <c r="E521" s="22" t="s">
        <v>173</v>
      </c>
      <c r="F521" s="22" t="s">
        <v>243</v>
      </c>
      <c r="G521" s="22" t="s">
        <v>240</v>
      </c>
      <c r="H521" s="29" t="s">
        <v>175</v>
      </c>
    </row>
    <row r="522" ht="20" customHeight="1" spans="1:8" x14ac:dyDescent="0.25">
      <c r="A522" s="24" t="s">
        <v>48</v>
      </c>
      <c r="B522" s="24" t="s">
        <v>36</v>
      </c>
      <c r="C522" s="25" t="s">
        <v>71</v>
      </c>
      <c r="D522" s="6" t="s">
        <v>4</v>
      </c>
      <c r="E522" s="24" t="s">
        <v>965</v>
      </c>
      <c r="F522" s="24" t="s">
        <v>153</v>
      </c>
      <c r="G522" s="24" t="s">
        <v>493</v>
      </c>
      <c r="H522" s="34" t="s">
        <v>966</v>
      </c>
    </row>
    <row r="523" ht="20" customHeight="1" spans="1:8" x14ac:dyDescent="0.25">
      <c r="A523" s="22" t="s">
        <v>49</v>
      </c>
      <c r="B523" s="22" t="s">
        <v>38</v>
      </c>
      <c r="C523" s="23" t="s">
        <v>71</v>
      </c>
      <c r="D523" s="6" t="s">
        <v>4</v>
      </c>
      <c r="E523" s="22" t="s">
        <v>181</v>
      </c>
      <c r="F523" s="22" t="s">
        <v>160</v>
      </c>
      <c r="G523" s="22" t="s">
        <v>238</v>
      </c>
      <c r="H523" s="29" t="s">
        <v>184</v>
      </c>
    </row>
    <row r="524" ht="20" customHeight="1" spans="1:8" x14ac:dyDescent="0.25">
      <c r="A524" s="24" t="s">
        <v>50</v>
      </c>
      <c r="B524" s="24" t="s">
        <v>40</v>
      </c>
      <c r="C524" s="25" t="s">
        <v>71</v>
      </c>
      <c r="D524" s="33" t="s">
        <v>86</v>
      </c>
      <c r="E524" s="24" t="s">
        <v>12</v>
      </c>
      <c r="F524" s="24" t="s">
        <v>12</v>
      </c>
      <c r="G524" s="24" t="s">
        <v>12</v>
      </c>
      <c r="H524" s="24" t="s">
        <v>32</v>
      </c>
    </row>
    <row r="525" ht="20" customHeight="1" spans="1:8" x14ac:dyDescent="0.25">
      <c r="A525" s="22" t="s">
        <v>51</v>
      </c>
      <c r="B525" s="22" t="s">
        <v>42</v>
      </c>
      <c r="C525" s="23" t="s">
        <v>71</v>
      </c>
      <c r="D525" s="35" t="s">
        <v>86</v>
      </c>
      <c r="E525" s="22" t="s">
        <v>12</v>
      </c>
      <c r="F525" s="22" t="s">
        <v>12</v>
      </c>
      <c r="G525" s="22" t="s">
        <v>12</v>
      </c>
      <c r="H525" s="22" t="s">
        <v>32</v>
      </c>
    </row>
    <row r="526" ht="20" customHeight="1" spans="1:8" x14ac:dyDescent="0.25">
      <c r="A526" s="24" t="s">
        <v>52</v>
      </c>
      <c r="B526" s="24" t="s">
        <v>45</v>
      </c>
      <c r="C526" s="25" t="s">
        <v>71</v>
      </c>
      <c r="D526" s="6" t="s">
        <v>4</v>
      </c>
      <c r="E526" s="24" t="s">
        <v>192</v>
      </c>
      <c r="F526" s="24" t="s">
        <v>1472</v>
      </c>
      <c r="G526" s="24" t="s">
        <v>1021</v>
      </c>
      <c r="H526" s="34" t="s">
        <v>195</v>
      </c>
    </row>
    <row r="527" ht="20" customHeight="1" spans="1:8" x14ac:dyDescent="0.25">
      <c r="A527" s="22" t="s">
        <v>53</v>
      </c>
      <c r="B527" s="22" t="s">
        <v>31</v>
      </c>
      <c r="C527" s="23" t="s">
        <v>71</v>
      </c>
      <c r="D527" s="6" t="s">
        <v>4</v>
      </c>
      <c r="E527" s="22" t="s">
        <v>205</v>
      </c>
      <c r="F527" s="22" t="s">
        <v>301</v>
      </c>
      <c r="G527" s="22" t="s">
        <v>505</v>
      </c>
      <c r="H527" s="29" t="s">
        <v>207</v>
      </c>
    </row>
    <row r="528" ht="20" customHeight="1" spans="1:8" x14ac:dyDescent="0.25">
      <c r="A528" s="24" t="s">
        <v>54</v>
      </c>
      <c r="B528" s="24" t="s">
        <v>34</v>
      </c>
      <c r="C528" s="25" t="s">
        <v>71</v>
      </c>
      <c r="D528" s="6" t="s">
        <v>4</v>
      </c>
      <c r="E528" s="24" t="s">
        <v>199</v>
      </c>
      <c r="F528" s="24" t="s">
        <v>182</v>
      </c>
      <c r="G528" s="24" t="s">
        <v>174</v>
      </c>
      <c r="H528" s="34" t="s">
        <v>200</v>
      </c>
    </row>
    <row r="529" ht="20" customHeight="1" spans="1:8" x14ac:dyDescent="0.25">
      <c r="A529" s="22" t="s">
        <v>55</v>
      </c>
      <c r="B529" s="22" t="s">
        <v>36</v>
      </c>
      <c r="C529" s="23" t="s">
        <v>71</v>
      </c>
      <c r="D529" s="6" t="s">
        <v>4</v>
      </c>
      <c r="E529" s="22" t="s">
        <v>979</v>
      </c>
      <c r="F529" s="22" t="s">
        <v>153</v>
      </c>
      <c r="G529" s="22" t="s">
        <v>579</v>
      </c>
      <c r="H529" s="29" t="s">
        <v>982</v>
      </c>
    </row>
    <row r="530" ht="20" customHeight="1" spans="1:8" x14ac:dyDescent="0.25">
      <c r="A530" s="24" t="s">
        <v>56</v>
      </c>
      <c r="B530" s="24" t="s">
        <v>38</v>
      </c>
      <c r="C530" s="25" t="s">
        <v>71</v>
      </c>
      <c r="D530" s="6" t="s">
        <v>4</v>
      </c>
      <c r="E530" s="24" t="s">
        <v>348</v>
      </c>
      <c r="F530" s="24" t="s">
        <v>112</v>
      </c>
      <c r="G530" s="24" t="s">
        <v>329</v>
      </c>
      <c r="H530" s="34" t="s">
        <v>351</v>
      </c>
    </row>
    <row r="531" ht="20" customHeight="1" spans="1:8" x14ac:dyDescent="0.25">
      <c r="A531" s="22" t="s">
        <v>57</v>
      </c>
      <c r="B531" s="22" t="s">
        <v>40</v>
      </c>
      <c r="C531" s="23" t="s">
        <v>71</v>
      </c>
      <c r="D531" s="6" t="s">
        <v>4</v>
      </c>
      <c r="E531" s="22" t="s">
        <v>152</v>
      </c>
      <c r="F531" s="22" t="s">
        <v>404</v>
      </c>
      <c r="G531" s="22" t="s">
        <v>367</v>
      </c>
      <c r="H531" s="29" t="s">
        <v>155</v>
      </c>
    </row>
    <row r="532" ht="20" customHeight="1" spans="1:8" x14ac:dyDescent="0.25">
      <c r="A532" s="24" t="s">
        <v>58</v>
      </c>
      <c r="B532" s="24" t="s">
        <v>42</v>
      </c>
      <c r="C532" s="25" t="s">
        <v>71</v>
      </c>
      <c r="D532" s="33" t="s">
        <v>86</v>
      </c>
      <c r="E532" s="24" t="s">
        <v>12</v>
      </c>
      <c r="F532" s="24" t="s">
        <v>12</v>
      </c>
      <c r="G532" s="24" t="s">
        <v>12</v>
      </c>
      <c r="H532" s="24" t="s">
        <v>32</v>
      </c>
    </row>
    <row r="533" ht="20" customHeight="1" spans="1:8" x14ac:dyDescent="0.25">
      <c r="A533" s="22" t="s">
        <v>59</v>
      </c>
      <c r="B533" s="22" t="s">
        <v>45</v>
      </c>
      <c r="C533" s="23" t="s">
        <v>71</v>
      </c>
      <c r="D533" s="6" t="s">
        <v>4</v>
      </c>
      <c r="E533" s="22" t="s">
        <v>1526</v>
      </c>
      <c r="F533" s="22" t="s">
        <v>439</v>
      </c>
      <c r="G533" s="22" t="s">
        <v>616</v>
      </c>
      <c r="H533" s="29" t="s">
        <v>1452</v>
      </c>
    </row>
    <row r="534" ht="20" customHeight="1" spans="1:8" x14ac:dyDescent="0.25">
      <c r="A534" s="24" t="s">
        <v>60</v>
      </c>
      <c r="B534" s="24" t="s">
        <v>31</v>
      </c>
      <c r="C534" s="25" t="s">
        <v>71</v>
      </c>
      <c r="D534" s="6" t="s">
        <v>4</v>
      </c>
      <c r="E534" s="24" t="s">
        <v>205</v>
      </c>
      <c r="F534" s="24" t="s">
        <v>255</v>
      </c>
      <c r="G534" s="24" t="s">
        <v>429</v>
      </c>
      <c r="H534" s="34" t="s">
        <v>207</v>
      </c>
    </row>
    <row r="535" ht="20" customHeight="1" spans="1:8" x14ac:dyDescent="0.25">
      <c r="A535" s="22" t="s">
        <v>61</v>
      </c>
      <c r="B535" s="22" t="s">
        <v>34</v>
      </c>
      <c r="C535" s="23" t="s">
        <v>71</v>
      </c>
      <c r="D535" s="6" t="s">
        <v>4</v>
      </c>
      <c r="E535" s="22" t="s">
        <v>152</v>
      </c>
      <c r="F535" s="22" t="s">
        <v>84</v>
      </c>
      <c r="G535" s="22" t="s">
        <v>99</v>
      </c>
      <c r="H535" s="29" t="s">
        <v>155</v>
      </c>
    </row>
    <row r="536" ht="20" customHeight="1" spans="1:8" x14ac:dyDescent="0.25">
      <c r="A536" s="24" t="s">
        <v>62</v>
      </c>
      <c r="B536" s="24" t="s">
        <v>36</v>
      </c>
      <c r="C536" s="25" t="s">
        <v>71</v>
      </c>
      <c r="D536" s="6" t="s">
        <v>4</v>
      </c>
      <c r="E536" s="24" t="s">
        <v>340</v>
      </c>
      <c r="F536" s="24" t="s">
        <v>636</v>
      </c>
      <c r="G536" s="24" t="s">
        <v>183</v>
      </c>
      <c r="H536" s="34" t="s">
        <v>342</v>
      </c>
    </row>
    <row r="537" ht="20" customHeight="1" spans="1:8" x14ac:dyDescent="0.25">
      <c r="A537" s="22" t="s">
        <v>63</v>
      </c>
      <c r="B537" s="22" t="s">
        <v>38</v>
      </c>
      <c r="C537" s="23" t="s">
        <v>71</v>
      </c>
      <c r="D537" s="6" t="s">
        <v>4</v>
      </c>
      <c r="E537" s="22" t="s">
        <v>466</v>
      </c>
      <c r="F537" s="22" t="s">
        <v>164</v>
      </c>
      <c r="G537" s="22" t="s">
        <v>339</v>
      </c>
      <c r="H537" s="29" t="s">
        <v>468</v>
      </c>
    </row>
    <row r="538" ht="20" customHeight="1" spans="1:8" x14ac:dyDescent="0.25">
      <c r="A538" s="24" t="s">
        <v>64</v>
      </c>
      <c r="B538" s="24" t="s">
        <v>40</v>
      </c>
      <c r="C538" s="25" t="s">
        <v>71</v>
      </c>
      <c r="D538" s="6" t="s">
        <v>4</v>
      </c>
      <c r="E538" s="24" t="s">
        <v>262</v>
      </c>
      <c r="F538" s="24" t="s">
        <v>562</v>
      </c>
      <c r="G538" s="24" t="s">
        <v>410</v>
      </c>
      <c r="H538" s="34" t="s">
        <v>264</v>
      </c>
    </row>
    <row r="539" ht="20" customHeight="1" spans="1:8" x14ac:dyDescent="0.25">
      <c r="A539" s="22" t="s">
        <v>65</v>
      </c>
      <c r="B539" s="22" t="s">
        <v>42</v>
      </c>
      <c r="C539" s="23" t="s">
        <v>71</v>
      </c>
      <c r="D539" s="35" t="s">
        <v>86</v>
      </c>
      <c r="E539" s="22" t="s">
        <v>12</v>
      </c>
      <c r="F539" s="22" t="s">
        <v>12</v>
      </c>
      <c r="G539" s="22" t="s">
        <v>12</v>
      </c>
      <c r="H539" s="22" t="s">
        <v>32</v>
      </c>
    </row>
    <row r="540" ht="20" customHeight="1" spans="1:8" x14ac:dyDescent="0.25">
      <c r="A540" s="24" t="s">
        <v>66</v>
      </c>
      <c r="B540" s="24" t="s">
        <v>45</v>
      </c>
      <c r="C540" s="25" t="s">
        <v>71</v>
      </c>
      <c r="D540" s="6" t="s">
        <v>4</v>
      </c>
      <c r="E540" s="24" t="s">
        <v>878</v>
      </c>
      <c r="F540" s="24" t="s">
        <v>182</v>
      </c>
      <c r="G540" s="24" t="s">
        <v>325</v>
      </c>
      <c r="H540" s="34" t="s">
        <v>879</v>
      </c>
    </row>
    <row r="541" ht="20" customHeight="1" spans="1:8" x14ac:dyDescent="0.25">
      <c r="A541" s="22" t="s">
        <v>67</v>
      </c>
      <c r="B541" s="22" t="s">
        <v>31</v>
      </c>
      <c r="C541" s="23" t="s">
        <v>71</v>
      </c>
      <c r="D541" s="6" t="s">
        <v>4</v>
      </c>
      <c r="E541" s="22" t="s">
        <v>466</v>
      </c>
      <c r="F541" s="22" t="s">
        <v>255</v>
      </c>
      <c r="G541" s="22" t="s">
        <v>496</v>
      </c>
      <c r="H541" s="29" t="s">
        <v>468</v>
      </c>
    </row>
    <row r="542" ht="20" customHeight="1" spans="1:8" x14ac:dyDescent="0.25">
      <c r="A542" s="24" t="s">
        <v>68</v>
      </c>
      <c r="B542" s="24" t="s">
        <v>34</v>
      </c>
      <c r="C542" s="25" t="s">
        <v>71</v>
      </c>
      <c r="D542" s="6" t="s">
        <v>4</v>
      </c>
      <c r="E542" s="24" t="s">
        <v>181</v>
      </c>
      <c r="F542" s="24" t="s">
        <v>252</v>
      </c>
      <c r="G542" s="24" t="s">
        <v>328</v>
      </c>
      <c r="H542" s="34" t="s">
        <v>184</v>
      </c>
    </row>
    <row r="543" ht="22" customHeight="1" spans="1:8" x14ac:dyDescent="0.25">
      <c r="A543" s="26" t="s">
        <v>69</v>
      </c>
      <c r="B543" s="26"/>
      <c r="C543" s="26"/>
      <c r="D543" s="26"/>
      <c r="E543" s="26"/>
      <c r="F543" s="26"/>
      <c r="G543" s="27" t="s">
        <v>1676</v>
      </c>
      <c r="H543" s="28" t="s">
        <v>12</v>
      </c>
    </row>
    <row r="545" ht="26" customHeight="1" spans="1:8" x14ac:dyDescent="0.25">
      <c r="A545" s="20" t="s">
        <v>1677</v>
      </c>
      <c r="B545" s="20"/>
      <c r="C545" s="20"/>
      <c r="D545" s="20"/>
      <c r="E545" s="20"/>
      <c r="F545" s="20"/>
      <c r="G545" s="20"/>
      <c r="H545" s="20"/>
    </row>
    <row r="546" ht="22" customHeight="1" spans="1:8" x14ac:dyDescent="0.25">
      <c r="A546" s="21" t="s">
        <v>22</v>
      </c>
      <c r="B546" s="21" t="s">
        <v>23</v>
      </c>
      <c r="C546" s="21" t="s">
        <v>24</v>
      </c>
      <c r="D546" s="21" t="s">
        <v>25</v>
      </c>
      <c r="E546" s="21" t="s">
        <v>26</v>
      </c>
      <c r="F546" s="21" t="s">
        <v>27</v>
      </c>
      <c r="G546" s="21" t="s">
        <v>28</v>
      </c>
      <c r="H546" s="21" t="s">
        <v>29</v>
      </c>
    </row>
    <row r="547" ht="20" customHeight="1" spans="1:8" x14ac:dyDescent="0.25">
      <c r="A547" s="22" t="s">
        <v>30</v>
      </c>
      <c r="B547" s="22" t="s">
        <v>31</v>
      </c>
      <c r="C547" s="23" t="s">
        <v>71</v>
      </c>
      <c r="D547" s="6" t="s">
        <v>4</v>
      </c>
      <c r="E547" s="22" t="s">
        <v>409</v>
      </c>
      <c r="F547" s="22" t="s">
        <v>193</v>
      </c>
      <c r="G547" s="22" t="s">
        <v>647</v>
      </c>
      <c r="H547" s="32" t="s">
        <v>79</v>
      </c>
    </row>
    <row r="548" ht="20" customHeight="1" spans="1:8" x14ac:dyDescent="0.25">
      <c r="A548" s="24" t="s">
        <v>33</v>
      </c>
      <c r="B548" s="24" t="s">
        <v>34</v>
      </c>
      <c r="C548" s="25" t="s">
        <v>71</v>
      </c>
      <c r="D548" s="6" t="s">
        <v>4</v>
      </c>
      <c r="E548" s="24" t="s">
        <v>372</v>
      </c>
      <c r="F548" s="24" t="s">
        <v>412</v>
      </c>
      <c r="G548" s="24" t="s">
        <v>313</v>
      </c>
      <c r="H548" s="30" t="s">
        <v>79</v>
      </c>
    </row>
    <row r="549" ht="20" customHeight="1" spans="1:8" x14ac:dyDescent="0.25">
      <c r="A549" s="22" t="s">
        <v>35</v>
      </c>
      <c r="B549" s="22" t="s">
        <v>36</v>
      </c>
      <c r="C549" s="23" t="s">
        <v>71</v>
      </c>
      <c r="D549" s="6" t="s">
        <v>4</v>
      </c>
      <c r="E549" s="22" t="s">
        <v>564</v>
      </c>
      <c r="F549" s="22" t="s">
        <v>343</v>
      </c>
      <c r="G549" s="22" t="s">
        <v>194</v>
      </c>
      <c r="H549" s="32" t="s">
        <v>79</v>
      </c>
    </row>
    <row r="550" ht="20" customHeight="1" spans="1:8" x14ac:dyDescent="0.25">
      <c r="A550" s="24" t="s">
        <v>37</v>
      </c>
      <c r="B550" s="24" t="s">
        <v>38</v>
      </c>
      <c r="C550" s="25" t="s">
        <v>71</v>
      </c>
      <c r="D550" s="31" t="s">
        <v>11</v>
      </c>
      <c r="E550" s="24" t="s">
        <v>12</v>
      </c>
      <c r="F550" s="24" t="s">
        <v>12</v>
      </c>
      <c r="G550" s="24" t="s">
        <v>12</v>
      </c>
      <c r="H550" s="24" t="s">
        <v>32</v>
      </c>
    </row>
    <row r="551" ht="20" customHeight="1" spans="1:8" x14ac:dyDescent="0.25">
      <c r="A551" s="22" t="s">
        <v>39</v>
      </c>
      <c r="B551" s="22" t="s">
        <v>40</v>
      </c>
      <c r="C551" s="23" t="s">
        <v>71</v>
      </c>
      <c r="D551" s="6" t="s">
        <v>4</v>
      </c>
      <c r="E551" s="22" t="s">
        <v>251</v>
      </c>
      <c r="F551" s="22" t="s">
        <v>193</v>
      </c>
      <c r="G551" s="22" t="s">
        <v>414</v>
      </c>
      <c r="H551" s="29" t="s">
        <v>253</v>
      </c>
    </row>
    <row r="552" ht="20" customHeight="1" spans="1:8" x14ac:dyDescent="0.25">
      <c r="A552" s="24" t="s">
        <v>41</v>
      </c>
      <c r="B552" s="24" t="s">
        <v>42</v>
      </c>
      <c r="C552" s="25" t="s">
        <v>71</v>
      </c>
      <c r="D552" s="33" t="s">
        <v>86</v>
      </c>
      <c r="E552" s="24" t="s">
        <v>12</v>
      </c>
      <c r="F552" s="24" t="s">
        <v>12</v>
      </c>
      <c r="G552" s="24" t="s">
        <v>12</v>
      </c>
      <c r="H552" s="24" t="s">
        <v>32</v>
      </c>
    </row>
    <row r="553" ht="20" customHeight="1" spans="1:8" x14ac:dyDescent="0.25">
      <c r="A553" s="22" t="s">
        <v>44</v>
      </c>
      <c r="B553" s="22" t="s">
        <v>45</v>
      </c>
      <c r="C553" s="23" t="s">
        <v>71</v>
      </c>
      <c r="D553" s="6" t="s">
        <v>4</v>
      </c>
      <c r="E553" s="22" t="s">
        <v>216</v>
      </c>
      <c r="F553" s="22" t="s">
        <v>157</v>
      </c>
      <c r="G553" s="22" t="s">
        <v>396</v>
      </c>
      <c r="H553" s="29" t="s">
        <v>217</v>
      </c>
    </row>
    <row r="554" ht="20" customHeight="1" spans="1:8" x14ac:dyDescent="0.25">
      <c r="A554" s="24" t="s">
        <v>46</v>
      </c>
      <c r="B554" s="24" t="s">
        <v>31</v>
      </c>
      <c r="C554" s="25" t="s">
        <v>71</v>
      </c>
      <c r="D554" s="6" t="s">
        <v>4</v>
      </c>
      <c r="E554" s="24" t="s">
        <v>251</v>
      </c>
      <c r="F554" s="24" t="s">
        <v>104</v>
      </c>
      <c r="G554" s="24" t="s">
        <v>203</v>
      </c>
      <c r="H554" s="34" t="s">
        <v>253</v>
      </c>
    </row>
    <row r="555" ht="20" customHeight="1" spans="1:8" x14ac:dyDescent="0.25">
      <c r="A555" s="22" t="s">
        <v>47</v>
      </c>
      <c r="B555" s="22" t="s">
        <v>34</v>
      </c>
      <c r="C555" s="23" t="s">
        <v>71</v>
      </c>
      <c r="D555" s="6" t="s">
        <v>4</v>
      </c>
      <c r="E555" s="22" t="s">
        <v>201</v>
      </c>
      <c r="F555" s="22" t="s">
        <v>170</v>
      </c>
      <c r="G555" s="22" t="s">
        <v>285</v>
      </c>
      <c r="H555" s="29" t="s">
        <v>204</v>
      </c>
    </row>
    <row r="556" ht="20" customHeight="1" spans="1:8" x14ac:dyDescent="0.25">
      <c r="A556" s="24" t="s">
        <v>48</v>
      </c>
      <c r="B556" s="24" t="s">
        <v>36</v>
      </c>
      <c r="C556" s="25" t="s">
        <v>71</v>
      </c>
      <c r="D556" s="6" t="s">
        <v>4</v>
      </c>
      <c r="E556" s="24" t="s">
        <v>216</v>
      </c>
      <c r="F556" s="24" t="s">
        <v>170</v>
      </c>
      <c r="G556" s="24" t="s">
        <v>161</v>
      </c>
      <c r="H556" s="34" t="s">
        <v>217</v>
      </c>
    </row>
    <row r="557" ht="20" customHeight="1" spans="1:8" x14ac:dyDescent="0.25">
      <c r="A557" s="22" t="s">
        <v>49</v>
      </c>
      <c r="B557" s="22" t="s">
        <v>38</v>
      </c>
      <c r="C557" s="23" t="s">
        <v>71</v>
      </c>
      <c r="D557" s="6" t="s">
        <v>4</v>
      </c>
      <c r="E557" s="22" t="s">
        <v>201</v>
      </c>
      <c r="F557" s="22" t="s">
        <v>759</v>
      </c>
      <c r="G557" s="22" t="s">
        <v>291</v>
      </c>
      <c r="H557" s="29" t="s">
        <v>204</v>
      </c>
    </row>
    <row r="558" ht="20" customHeight="1" spans="1:8" x14ac:dyDescent="0.25">
      <c r="A558" s="24" t="s">
        <v>50</v>
      </c>
      <c r="B558" s="24" t="s">
        <v>40</v>
      </c>
      <c r="C558" s="25" t="s">
        <v>71</v>
      </c>
      <c r="D558" s="33" t="s">
        <v>86</v>
      </c>
      <c r="E558" s="24" t="s">
        <v>12</v>
      </c>
      <c r="F558" s="24" t="s">
        <v>12</v>
      </c>
      <c r="G558" s="24" t="s">
        <v>12</v>
      </c>
      <c r="H558" s="24" t="s">
        <v>32</v>
      </c>
    </row>
    <row r="559" ht="20" customHeight="1" spans="1:8" x14ac:dyDescent="0.25">
      <c r="A559" s="22" t="s">
        <v>51</v>
      </c>
      <c r="B559" s="22" t="s">
        <v>42</v>
      </c>
      <c r="C559" s="23" t="s">
        <v>71</v>
      </c>
      <c r="D559" s="35" t="s">
        <v>86</v>
      </c>
      <c r="E559" s="22" t="s">
        <v>12</v>
      </c>
      <c r="F559" s="22" t="s">
        <v>12</v>
      </c>
      <c r="G559" s="22" t="s">
        <v>12</v>
      </c>
      <c r="H559" s="22" t="s">
        <v>32</v>
      </c>
    </row>
    <row r="560" ht="20" customHeight="1" spans="1:8" x14ac:dyDescent="0.25">
      <c r="A560" s="24" t="s">
        <v>52</v>
      </c>
      <c r="B560" s="24" t="s">
        <v>45</v>
      </c>
      <c r="C560" s="25" t="s">
        <v>71</v>
      </c>
      <c r="D560" s="6" t="s">
        <v>4</v>
      </c>
      <c r="E560" s="24" t="s">
        <v>262</v>
      </c>
      <c r="F560" s="24" t="s">
        <v>519</v>
      </c>
      <c r="G560" s="24" t="s">
        <v>514</v>
      </c>
      <c r="H560" s="34" t="s">
        <v>264</v>
      </c>
    </row>
    <row r="561" ht="20" customHeight="1" spans="1:8" x14ac:dyDescent="0.25">
      <c r="A561" s="22" t="s">
        <v>53</v>
      </c>
      <c r="B561" s="22" t="s">
        <v>31</v>
      </c>
      <c r="C561" s="23" t="s">
        <v>71</v>
      </c>
      <c r="D561" s="6" t="s">
        <v>4</v>
      </c>
      <c r="E561" s="22" t="s">
        <v>353</v>
      </c>
      <c r="F561" s="22" t="s">
        <v>701</v>
      </c>
      <c r="G561" s="22" t="s">
        <v>1624</v>
      </c>
      <c r="H561" s="29" t="s">
        <v>1678</v>
      </c>
    </row>
    <row r="562" ht="20" customHeight="1" spans="1:8" x14ac:dyDescent="0.25">
      <c r="A562" s="24" t="s">
        <v>54</v>
      </c>
      <c r="B562" s="24" t="s">
        <v>34</v>
      </c>
      <c r="C562" s="25" t="s">
        <v>71</v>
      </c>
      <c r="D562" s="6" t="s">
        <v>4</v>
      </c>
      <c r="E562" s="24" t="s">
        <v>201</v>
      </c>
      <c r="F562" s="24" t="s">
        <v>115</v>
      </c>
      <c r="G562" s="24" t="s">
        <v>190</v>
      </c>
      <c r="H562" s="34" t="s">
        <v>204</v>
      </c>
    </row>
    <row r="563" ht="20" customHeight="1" spans="1:8" x14ac:dyDescent="0.25">
      <c r="A563" s="22" t="s">
        <v>55</v>
      </c>
      <c r="B563" s="22" t="s">
        <v>36</v>
      </c>
      <c r="C563" s="23" t="s">
        <v>71</v>
      </c>
      <c r="D563" s="6" t="s">
        <v>4</v>
      </c>
      <c r="E563" s="22" t="s">
        <v>411</v>
      </c>
      <c r="F563" s="22" t="s">
        <v>235</v>
      </c>
      <c r="G563" s="22" t="s">
        <v>659</v>
      </c>
      <c r="H563" s="32" t="s">
        <v>79</v>
      </c>
    </row>
    <row r="564" ht="20" customHeight="1" spans="1:8" x14ac:dyDescent="0.25">
      <c r="A564" s="24" t="s">
        <v>56</v>
      </c>
      <c r="B564" s="24" t="s">
        <v>38</v>
      </c>
      <c r="C564" s="25" t="s">
        <v>71</v>
      </c>
      <c r="D564" s="36" t="s">
        <v>218</v>
      </c>
      <c r="E564" s="24" t="s">
        <v>392</v>
      </c>
      <c r="F564" s="24" t="s">
        <v>1679</v>
      </c>
      <c r="G564" s="24" t="s">
        <v>786</v>
      </c>
      <c r="H564" s="34" t="s">
        <v>1680</v>
      </c>
    </row>
    <row r="565" ht="20" customHeight="1" spans="1:8" x14ac:dyDescent="0.25">
      <c r="A565" s="22" t="s">
        <v>57</v>
      </c>
      <c r="B565" s="22" t="s">
        <v>40</v>
      </c>
      <c r="C565" s="23" t="s">
        <v>71</v>
      </c>
      <c r="D565" s="6" t="s">
        <v>4</v>
      </c>
      <c r="E565" s="22" t="s">
        <v>320</v>
      </c>
      <c r="F565" s="22" t="s">
        <v>1681</v>
      </c>
      <c r="G565" s="22" t="s">
        <v>1682</v>
      </c>
      <c r="H565" s="29" t="s">
        <v>1683</v>
      </c>
    </row>
    <row r="566" ht="20" customHeight="1" spans="1:8" x14ac:dyDescent="0.25">
      <c r="A566" s="24" t="s">
        <v>58</v>
      </c>
      <c r="B566" s="24" t="s">
        <v>42</v>
      </c>
      <c r="C566" s="25" t="s">
        <v>71</v>
      </c>
      <c r="D566" s="33" t="s">
        <v>86</v>
      </c>
      <c r="E566" s="24" t="s">
        <v>12</v>
      </c>
      <c r="F566" s="24" t="s">
        <v>12</v>
      </c>
      <c r="G566" s="24" t="s">
        <v>12</v>
      </c>
      <c r="H566" s="24" t="s">
        <v>32</v>
      </c>
    </row>
    <row r="567" ht="20" customHeight="1" spans="1:8" x14ac:dyDescent="0.25">
      <c r="A567" s="22" t="s">
        <v>59</v>
      </c>
      <c r="B567" s="22" t="s">
        <v>45</v>
      </c>
      <c r="C567" s="23" t="s">
        <v>71</v>
      </c>
      <c r="D567" s="10" t="s">
        <v>87</v>
      </c>
      <c r="E567" s="22" t="s">
        <v>12</v>
      </c>
      <c r="F567" s="22" t="s">
        <v>12</v>
      </c>
      <c r="G567" s="22" t="s">
        <v>12</v>
      </c>
      <c r="H567" s="22" t="s">
        <v>32</v>
      </c>
    </row>
    <row r="568" ht="20" customHeight="1" spans="1:8" x14ac:dyDescent="0.25">
      <c r="A568" s="24" t="s">
        <v>60</v>
      </c>
      <c r="B568" s="24" t="s">
        <v>31</v>
      </c>
      <c r="C568" s="25" t="s">
        <v>71</v>
      </c>
      <c r="D568" s="10" t="s">
        <v>87</v>
      </c>
      <c r="E568" s="24" t="s">
        <v>12</v>
      </c>
      <c r="F568" s="24" t="s">
        <v>12</v>
      </c>
      <c r="G568" s="24" t="s">
        <v>12</v>
      </c>
      <c r="H568" s="24" t="s">
        <v>32</v>
      </c>
    </row>
    <row r="569" ht="20" customHeight="1" spans="1:8" x14ac:dyDescent="0.25">
      <c r="A569" s="22" t="s">
        <v>61</v>
      </c>
      <c r="B569" s="22" t="s">
        <v>34</v>
      </c>
      <c r="C569" s="23" t="s">
        <v>71</v>
      </c>
      <c r="D569" s="10" t="s">
        <v>87</v>
      </c>
      <c r="E569" s="22" t="s">
        <v>12</v>
      </c>
      <c r="F569" s="22" t="s">
        <v>12</v>
      </c>
      <c r="G569" s="22" t="s">
        <v>12</v>
      </c>
      <c r="H569" s="22" t="s">
        <v>32</v>
      </c>
    </row>
    <row r="570" ht="20" customHeight="1" spans="1:8" x14ac:dyDescent="0.25">
      <c r="A570" s="24" t="s">
        <v>62</v>
      </c>
      <c r="B570" s="24" t="s">
        <v>36</v>
      </c>
      <c r="C570" s="25" t="s">
        <v>71</v>
      </c>
      <c r="D570" s="10" t="s">
        <v>87</v>
      </c>
      <c r="E570" s="24" t="s">
        <v>12</v>
      </c>
      <c r="F570" s="24" t="s">
        <v>12</v>
      </c>
      <c r="G570" s="24" t="s">
        <v>12</v>
      </c>
      <c r="H570" s="24" t="s">
        <v>32</v>
      </c>
    </row>
    <row r="571" ht="20" customHeight="1" spans="1:8" x14ac:dyDescent="0.25">
      <c r="A571" s="22" t="s">
        <v>63</v>
      </c>
      <c r="B571" s="22" t="s">
        <v>38</v>
      </c>
      <c r="C571" s="23" t="s">
        <v>71</v>
      </c>
      <c r="D571" s="10" t="s">
        <v>87</v>
      </c>
      <c r="E571" s="22" t="s">
        <v>12</v>
      </c>
      <c r="F571" s="22" t="s">
        <v>12</v>
      </c>
      <c r="G571" s="22" t="s">
        <v>12</v>
      </c>
      <c r="H571" s="22" t="s">
        <v>32</v>
      </c>
    </row>
    <row r="572" ht="20" customHeight="1" spans="1:8" x14ac:dyDescent="0.25">
      <c r="A572" s="24" t="s">
        <v>64</v>
      </c>
      <c r="B572" s="24" t="s">
        <v>40</v>
      </c>
      <c r="C572" s="25" t="s">
        <v>71</v>
      </c>
      <c r="D572" s="10" t="s">
        <v>87</v>
      </c>
      <c r="E572" s="24" t="s">
        <v>12</v>
      </c>
      <c r="F572" s="24" t="s">
        <v>12</v>
      </c>
      <c r="G572" s="24" t="s">
        <v>12</v>
      </c>
      <c r="H572" s="24" t="s">
        <v>32</v>
      </c>
    </row>
    <row r="573" ht="20" customHeight="1" spans="1:8" x14ac:dyDescent="0.25">
      <c r="A573" s="22" t="s">
        <v>65</v>
      </c>
      <c r="B573" s="22" t="s">
        <v>42</v>
      </c>
      <c r="C573" s="23" t="s">
        <v>71</v>
      </c>
      <c r="D573" s="10" t="s">
        <v>87</v>
      </c>
      <c r="E573" s="22" t="s">
        <v>12</v>
      </c>
      <c r="F573" s="22" t="s">
        <v>12</v>
      </c>
      <c r="G573" s="22" t="s">
        <v>12</v>
      </c>
      <c r="H573" s="22" t="s">
        <v>32</v>
      </c>
    </row>
    <row r="574" ht="20" customHeight="1" spans="1:8" x14ac:dyDescent="0.25">
      <c r="A574" s="24" t="s">
        <v>66</v>
      </c>
      <c r="B574" s="24" t="s">
        <v>45</v>
      </c>
      <c r="C574" s="25" t="s">
        <v>71</v>
      </c>
      <c r="D574" s="10" t="s">
        <v>87</v>
      </c>
      <c r="E574" s="24" t="s">
        <v>12</v>
      </c>
      <c r="F574" s="24" t="s">
        <v>12</v>
      </c>
      <c r="G574" s="24" t="s">
        <v>12</v>
      </c>
      <c r="H574" s="24" t="s">
        <v>32</v>
      </c>
    </row>
    <row r="575" ht="20" customHeight="1" spans="1:8" x14ac:dyDescent="0.25">
      <c r="A575" s="22" t="s">
        <v>67</v>
      </c>
      <c r="B575" s="22" t="s">
        <v>31</v>
      </c>
      <c r="C575" s="23" t="s">
        <v>71</v>
      </c>
      <c r="D575" s="10" t="s">
        <v>87</v>
      </c>
      <c r="E575" s="22" t="s">
        <v>12</v>
      </c>
      <c r="F575" s="22" t="s">
        <v>12</v>
      </c>
      <c r="G575" s="22" t="s">
        <v>12</v>
      </c>
      <c r="H575" s="22" t="s">
        <v>32</v>
      </c>
    </row>
    <row r="576" ht="20" customHeight="1" spans="1:8" x14ac:dyDescent="0.25">
      <c r="A576" s="24" t="s">
        <v>68</v>
      </c>
      <c r="B576" s="24" t="s">
        <v>34</v>
      </c>
      <c r="C576" s="25" t="s">
        <v>71</v>
      </c>
      <c r="D576" s="6" t="s">
        <v>4</v>
      </c>
      <c r="E576" s="24" t="s">
        <v>405</v>
      </c>
      <c r="F576" s="24" t="s">
        <v>376</v>
      </c>
      <c r="G576" s="24" t="s">
        <v>290</v>
      </c>
      <c r="H576" s="30" t="s">
        <v>79</v>
      </c>
    </row>
    <row r="577" ht="22" customHeight="1" spans="1:8" x14ac:dyDescent="0.25">
      <c r="A577" s="26" t="s">
        <v>69</v>
      </c>
      <c r="B577" s="26"/>
      <c r="C577" s="26"/>
      <c r="D577" s="26"/>
      <c r="E577" s="26"/>
      <c r="F577" s="26"/>
      <c r="G577" s="27" t="s">
        <v>1684</v>
      </c>
      <c r="H577" s="28" t="s">
        <v>12</v>
      </c>
    </row>
    <row r="579" ht="26" customHeight="1" spans="1:8" x14ac:dyDescent="0.25">
      <c r="A579" s="20" t="s">
        <v>1685</v>
      </c>
      <c r="B579" s="20"/>
      <c r="C579" s="20"/>
      <c r="D579" s="20"/>
      <c r="E579" s="20"/>
      <c r="F579" s="20"/>
      <c r="G579" s="20"/>
      <c r="H579" s="20"/>
    </row>
    <row r="580" ht="22" customHeight="1" spans="1:8" x14ac:dyDescent="0.25">
      <c r="A580" s="21" t="s">
        <v>22</v>
      </c>
      <c r="B580" s="21" t="s">
        <v>23</v>
      </c>
      <c r="C580" s="21" t="s">
        <v>24</v>
      </c>
      <c r="D580" s="21" t="s">
        <v>25</v>
      </c>
      <c r="E580" s="21" t="s">
        <v>26</v>
      </c>
      <c r="F580" s="21" t="s">
        <v>27</v>
      </c>
      <c r="G580" s="21" t="s">
        <v>28</v>
      </c>
      <c r="H580" s="21" t="s">
        <v>29</v>
      </c>
    </row>
    <row r="581" ht="20" customHeight="1" spans="1:8" x14ac:dyDescent="0.25">
      <c r="A581" s="22" t="s">
        <v>30</v>
      </c>
      <c r="B581" s="22" t="s">
        <v>31</v>
      </c>
      <c r="C581" s="23" t="s">
        <v>71</v>
      </c>
      <c r="D581" s="6" t="s">
        <v>4</v>
      </c>
      <c r="E581" s="22" t="s">
        <v>125</v>
      </c>
      <c r="F581" s="22" t="s">
        <v>136</v>
      </c>
      <c r="G581" s="22" t="s">
        <v>99</v>
      </c>
      <c r="H581" s="32" t="s">
        <v>79</v>
      </c>
    </row>
    <row r="582" ht="20" customHeight="1" spans="1:8" x14ac:dyDescent="0.25">
      <c r="A582" s="24" t="s">
        <v>33</v>
      </c>
      <c r="B582" s="24" t="s">
        <v>34</v>
      </c>
      <c r="C582" s="25" t="s">
        <v>32</v>
      </c>
      <c r="D582" s="6" t="s">
        <v>4</v>
      </c>
      <c r="E582" s="24" t="s">
        <v>125</v>
      </c>
      <c r="F582" s="24" t="s">
        <v>136</v>
      </c>
      <c r="G582" s="24" t="s">
        <v>99</v>
      </c>
      <c r="H582" s="30" t="s">
        <v>79</v>
      </c>
    </row>
    <row r="583" ht="20" customHeight="1" spans="1:8" x14ac:dyDescent="0.25">
      <c r="A583" s="22" t="s">
        <v>35</v>
      </c>
      <c r="B583" s="22" t="s">
        <v>36</v>
      </c>
      <c r="C583" s="23" t="s">
        <v>32</v>
      </c>
      <c r="D583" s="6" t="s">
        <v>4</v>
      </c>
      <c r="E583" s="22" t="s">
        <v>125</v>
      </c>
      <c r="F583" s="22" t="s">
        <v>136</v>
      </c>
      <c r="G583" s="22" t="s">
        <v>99</v>
      </c>
      <c r="H583" s="32" t="s">
        <v>79</v>
      </c>
    </row>
    <row r="584" ht="20" customHeight="1" spans="1:8" x14ac:dyDescent="0.25">
      <c r="A584" s="24" t="s">
        <v>37</v>
      </c>
      <c r="B584" s="24" t="s">
        <v>38</v>
      </c>
      <c r="C584" s="25" t="s">
        <v>32</v>
      </c>
      <c r="D584" s="31" t="s">
        <v>11</v>
      </c>
      <c r="E584" s="24" t="s">
        <v>12</v>
      </c>
      <c r="F584" s="24" t="s">
        <v>12</v>
      </c>
      <c r="G584" s="24" t="s">
        <v>12</v>
      </c>
      <c r="H584" s="24" t="s">
        <v>32</v>
      </c>
    </row>
    <row r="585" ht="20" customHeight="1" spans="1:8" x14ac:dyDescent="0.25">
      <c r="A585" s="22" t="s">
        <v>39</v>
      </c>
      <c r="B585" s="22" t="s">
        <v>40</v>
      </c>
      <c r="C585" s="23" t="s">
        <v>32</v>
      </c>
      <c r="D585" s="6" t="s">
        <v>4</v>
      </c>
      <c r="E585" s="22" t="s">
        <v>125</v>
      </c>
      <c r="F585" s="22" t="s">
        <v>136</v>
      </c>
      <c r="G585" s="22" t="s">
        <v>99</v>
      </c>
      <c r="H585" s="32" t="s">
        <v>79</v>
      </c>
    </row>
    <row r="586" ht="20" customHeight="1" spans="1:8" x14ac:dyDescent="0.25">
      <c r="A586" s="24" t="s">
        <v>41</v>
      </c>
      <c r="B586" s="24" t="s">
        <v>42</v>
      </c>
      <c r="C586" s="25" t="s">
        <v>32</v>
      </c>
      <c r="D586" s="33" t="s">
        <v>86</v>
      </c>
      <c r="E586" s="24" t="s">
        <v>12</v>
      </c>
      <c r="F586" s="24" t="s">
        <v>12</v>
      </c>
      <c r="G586" s="24" t="s">
        <v>12</v>
      </c>
      <c r="H586" s="24" t="s">
        <v>32</v>
      </c>
    </row>
    <row r="587" ht="20" customHeight="1" spans="1:8" x14ac:dyDescent="0.25">
      <c r="A587" s="22" t="s">
        <v>44</v>
      </c>
      <c r="B587" s="22" t="s">
        <v>45</v>
      </c>
      <c r="C587" s="23" t="s">
        <v>32</v>
      </c>
      <c r="D587" s="6" t="s">
        <v>4</v>
      </c>
      <c r="E587" s="22" t="s">
        <v>125</v>
      </c>
      <c r="F587" s="22" t="s">
        <v>136</v>
      </c>
      <c r="G587" s="22" t="s">
        <v>99</v>
      </c>
      <c r="H587" s="32" t="s">
        <v>79</v>
      </c>
    </row>
    <row r="588" ht="20" customHeight="1" spans="1:8" x14ac:dyDescent="0.25">
      <c r="A588" s="24" t="s">
        <v>46</v>
      </c>
      <c r="B588" s="24" t="s">
        <v>31</v>
      </c>
      <c r="C588" s="25" t="s">
        <v>32</v>
      </c>
      <c r="D588" s="6" t="s">
        <v>4</v>
      </c>
      <c r="E588" s="24" t="s">
        <v>125</v>
      </c>
      <c r="F588" s="24" t="s">
        <v>136</v>
      </c>
      <c r="G588" s="24" t="s">
        <v>99</v>
      </c>
      <c r="H588" s="30" t="s">
        <v>79</v>
      </c>
    </row>
    <row r="589" ht="20" customHeight="1" spans="1:8" x14ac:dyDescent="0.25">
      <c r="A589" s="22" t="s">
        <v>47</v>
      </c>
      <c r="B589" s="22" t="s">
        <v>34</v>
      </c>
      <c r="C589" s="23" t="s">
        <v>71</v>
      </c>
      <c r="D589" s="6" t="s">
        <v>4</v>
      </c>
      <c r="E589" s="22" t="s">
        <v>125</v>
      </c>
      <c r="F589" s="22" t="s">
        <v>136</v>
      </c>
      <c r="G589" s="22" t="s">
        <v>99</v>
      </c>
      <c r="H589" s="32" t="s">
        <v>79</v>
      </c>
    </row>
    <row r="590" ht="20" customHeight="1" spans="1:8" x14ac:dyDescent="0.25">
      <c r="A590" s="24" t="s">
        <v>48</v>
      </c>
      <c r="B590" s="24" t="s">
        <v>36</v>
      </c>
      <c r="C590" s="25" t="s">
        <v>32</v>
      </c>
      <c r="D590" s="6" t="s">
        <v>4</v>
      </c>
      <c r="E590" s="24" t="s">
        <v>125</v>
      </c>
      <c r="F590" s="24" t="s">
        <v>136</v>
      </c>
      <c r="G590" s="24" t="s">
        <v>99</v>
      </c>
      <c r="H590" s="30" t="s">
        <v>79</v>
      </c>
    </row>
    <row r="591" ht="20" customHeight="1" spans="1:8" x14ac:dyDescent="0.25">
      <c r="A591" s="22" t="s">
        <v>49</v>
      </c>
      <c r="B591" s="22" t="s">
        <v>38</v>
      </c>
      <c r="C591" s="23" t="s">
        <v>32</v>
      </c>
      <c r="D591" s="6" t="s">
        <v>4</v>
      </c>
      <c r="E591" s="22" t="s">
        <v>125</v>
      </c>
      <c r="F591" s="22" t="s">
        <v>136</v>
      </c>
      <c r="G591" s="22" t="s">
        <v>99</v>
      </c>
      <c r="H591" s="32" t="s">
        <v>79</v>
      </c>
    </row>
    <row r="592" ht="20" customHeight="1" spans="1:8" x14ac:dyDescent="0.25">
      <c r="A592" s="24" t="s">
        <v>50</v>
      </c>
      <c r="B592" s="24" t="s">
        <v>40</v>
      </c>
      <c r="C592" s="25" t="s">
        <v>32</v>
      </c>
      <c r="D592" s="33" t="s">
        <v>86</v>
      </c>
      <c r="E592" s="24" t="s">
        <v>12</v>
      </c>
      <c r="F592" s="24" t="s">
        <v>12</v>
      </c>
      <c r="G592" s="24" t="s">
        <v>12</v>
      </c>
      <c r="H592" s="24" t="s">
        <v>32</v>
      </c>
    </row>
    <row r="593" ht="20" customHeight="1" spans="1:8" x14ac:dyDescent="0.25">
      <c r="A593" s="22" t="s">
        <v>51</v>
      </c>
      <c r="B593" s="22" t="s">
        <v>42</v>
      </c>
      <c r="C593" s="23" t="s">
        <v>32</v>
      </c>
      <c r="D593" s="35" t="s">
        <v>86</v>
      </c>
      <c r="E593" s="22" t="s">
        <v>12</v>
      </c>
      <c r="F593" s="22" t="s">
        <v>12</v>
      </c>
      <c r="G593" s="22" t="s">
        <v>12</v>
      </c>
      <c r="H593" s="22" t="s">
        <v>32</v>
      </c>
    </row>
    <row r="594" ht="20" customHeight="1" spans="1:8" x14ac:dyDescent="0.25">
      <c r="A594" s="24" t="s">
        <v>52</v>
      </c>
      <c r="B594" s="24" t="s">
        <v>45</v>
      </c>
      <c r="C594" s="25" t="s">
        <v>71</v>
      </c>
      <c r="D594" s="6" t="s">
        <v>4</v>
      </c>
      <c r="E594" s="24" t="s">
        <v>125</v>
      </c>
      <c r="F594" s="24" t="s">
        <v>136</v>
      </c>
      <c r="G594" s="24" t="s">
        <v>99</v>
      </c>
      <c r="H594" s="30" t="s">
        <v>79</v>
      </c>
    </row>
    <row r="595" ht="20" customHeight="1" spans="1:8" x14ac:dyDescent="0.25">
      <c r="A595" s="22" t="s">
        <v>53</v>
      </c>
      <c r="B595" s="22" t="s">
        <v>31</v>
      </c>
      <c r="C595" s="23" t="s">
        <v>32</v>
      </c>
      <c r="D595" s="6" t="s">
        <v>4</v>
      </c>
      <c r="E595" s="22" t="s">
        <v>125</v>
      </c>
      <c r="F595" s="22" t="s">
        <v>136</v>
      </c>
      <c r="G595" s="22" t="s">
        <v>99</v>
      </c>
      <c r="H595" s="32" t="s">
        <v>79</v>
      </c>
    </row>
    <row r="596" ht="20" customHeight="1" spans="1:8" x14ac:dyDescent="0.25">
      <c r="A596" s="24" t="s">
        <v>54</v>
      </c>
      <c r="B596" s="24" t="s">
        <v>34</v>
      </c>
      <c r="C596" s="25" t="s">
        <v>32</v>
      </c>
      <c r="D596" s="6" t="s">
        <v>4</v>
      </c>
      <c r="E596" s="24" t="s">
        <v>125</v>
      </c>
      <c r="F596" s="24" t="s">
        <v>136</v>
      </c>
      <c r="G596" s="24" t="s">
        <v>99</v>
      </c>
      <c r="H596" s="30" t="s">
        <v>79</v>
      </c>
    </row>
    <row r="597" ht="20" customHeight="1" spans="1:8" x14ac:dyDescent="0.25">
      <c r="A597" s="22" t="s">
        <v>55</v>
      </c>
      <c r="B597" s="22" t="s">
        <v>36</v>
      </c>
      <c r="C597" s="23" t="s">
        <v>32</v>
      </c>
      <c r="D597" s="6" t="s">
        <v>4</v>
      </c>
      <c r="E597" s="22" t="s">
        <v>125</v>
      </c>
      <c r="F597" s="22" t="s">
        <v>136</v>
      </c>
      <c r="G597" s="22" t="s">
        <v>99</v>
      </c>
      <c r="H597" s="32" t="s">
        <v>79</v>
      </c>
    </row>
    <row r="598" ht="20" customHeight="1" spans="1:8" x14ac:dyDescent="0.25">
      <c r="A598" s="24" t="s">
        <v>56</v>
      </c>
      <c r="B598" s="24" t="s">
        <v>38</v>
      </c>
      <c r="C598" s="25" t="s">
        <v>32</v>
      </c>
      <c r="D598" s="6" t="s">
        <v>4</v>
      </c>
      <c r="E598" s="24" t="s">
        <v>125</v>
      </c>
      <c r="F598" s="24" t="s">
        <v>136</v>
      </c>
      <c r="G598" s="24" t="s">
        <v>99</v>
      </c>
      <c r="H598" s="30" t="s">
        <v>79</v>
      </c>
    </row>
    <row r="599" ht="20" customHeight="1" spans="1:8" x14ac:dyDescent="0.25">
      <c r="A599" s="22" t="s">
        <v>57</v>
      </c>
      <c r="B599" s="22" t="s">
        <v>40</v>
      </c>
      <c r="C599" s="23" t="s">
        <v>32</v>
      </c>
      <c r="D599" s="6" t="s">
        <v>4</v>
      </c>
      <c r="E599" s="22" t="s">
        <v>125</v>
      </c>
      <c r="F599" s="22" t="s">
        <v>136</v>
      </c>
      <c r="G599" s="22" t="s">
        <v>99</v>
      </c>
      <c r="H599" s="32" t="s">
        <v>79</v>
      </c>
    </row>
    <row r="600" ht="20" customHeight="1" spans="1:8" x14ac:dyDescent="0.25">
      <c r="A600" s="24" t="s">
        <v>58</v>
      </c>
      <c r="B600" s="24" t="s">
        <v>42</v>
      </c>
      <c r="C600" s="25" t="s">
        <v>32</v>
      </c>
      <c r="D600" s="33" t="s">
        <v>86</v>
      </c>
      <c r="E600" s="24" t="s">
        <v>12</v>
      </c>
      <c r="F600" s="24" t="s">
        <v>12</v>
      </c>
      <c r="G600" s="24" t="s">
        <v>12</v>
      </c>
      <c r="H600" s="24" t="s">
        <v>32</v>
      </c>
    </row>
    <row r="601" ht="20" customHeight="1" spans="1:8" x14ac:dyDescent="0.25">
      <c r="A601" s="22" t="s">
        <v>59</v>
      </c>
      <c r="B601" s="22" t="s">
        <v>45</v>
      </c>
      <c r="C601" s="23" t="s">
        <v>32</v>
      </c>
      <c r="D601" s="6" t="s">
        <v>4</v>
      </c>
      <c r="E601" s="22" t="s">
        <v>125</v>
      </c>
      <c r="F601" s="22" t="s">
        <v>136</v>
      </c>
      <c r="G601" s="22" t="s">
        <v>99</v>
      </c>
      <c r="H601" s="32" t="s">
        <v>79</v>
      </c>
    </row>
    <row r="602" ht="20" customHeight="1" spans="1:8" x14ac:dyDescent="0.25">
      <c r="A602" s="24" t="s">
        <v>60</v>
      </c>
      <c r="B602" s="24" t="s">
        <v>31</v>
      </c>
      <c r="C602" s="25" t="s">
        <v>32</v>
      </c>
      <c r="D602" s="6" t="s">
        <v>4</v>
      </c>
      <c r="E602" s="24" t="s">
        <v>125</v>
      </c>
      <c r="F602" s="24" t="s">
        <v>136</v>
      </c>
      <c r="G602" s="24" t="s">
        <v>99</v>
      </c>
      <c r="H602" s="30" t="s">
        <v>79</v>
      </c>
    </row>
    <row r="603" ht="20" customHeight="1" spans="1:8" x14ac:dyDescent="0.25">
      <c r="A603" s="22" t="s">
        <v>61</v>
      </c>
      <c r="B603" s="22" t="s">
        <v>34</v>
      </c>
      <c r="C603" s="23" t="s">
        <v>32</v>
      </c>
      <c r="D603" s="6" t="s">
        <v>4</v>
      </c>
      <c r="E603" s="22" t="s">
        <v>125</v>
      </c>
      <c r="F603" s="22" t="s">
        <v>136</v>
      </c>
      <c r="G603" s="22" t="s">
        <v>99</v>
      </c>
      <c r="H603" s="32" t="s">
        <v>79</v>
      </c>
    </row>
    <row r="604" ht="20" customHeight="1" spans="1:8" x14ac:dyDescent="0.25">
      <c r="A604" s="24" t="s">
        <v>62</v>
      </c>
      <c r="B604" s="24" t="s">
        <v>36</v>
      </c>
      <c r="C604" s="25" t="s">
        <v>32</v>
      </c>
      <c r="D604" s="6" t="s">
        <v>4</v>
      </c>
      <c r="E604" s="24" t="s">
        <v>125</v>
      </c>
      <c r="F604" s="24" t="s">
        <v>136</v>
      </c>
      <c r="G604" s="24" t="s">
        <v>99</v>
      </c>
      <c r="H604" s="30" t="s">
        <v>79</v>
      </c>
    </row>
    <row r="605" ht="20" customHeight="1" spans="1:8" x14ac:dyDescent="0.25">
      <c r="A605" s="22" t="s">
        <v>63</v>
      </c>
      <c r="B605" s="22" t="s">
        <v>38</v>
      </c>
      <c r="C605" s="23" t="s">
        <v>32</v>
      </c>
      <c r="D605" s="6" t="s">
        <v>4</v>
      </c>
      <c r="E605" s="22" t="s">
        <v>125</v>
      </c>
      <c r="F605" s="22" t="s">
        <v>136</v>
      </c>
      <c r="G605" s="22" t="s">
        <v>99</v>
      </c>
      <c r="H605" s="32" t="s">
        <v>79</v>
      </c>
    </row>
    <row r="606" ht="20" customHeight="1" spans="1:8" x14ac:dyDescent="0.25">
      <c r="A606" s="24" t="s">
        <v>64</v>
      </c>
      <c r="B606" s="24" t="s">
        <v>40</v>
      </c>
      <c r="C606" s="25" t="s">
        <v>32</v>
      </c>
      <c r="D606" s="6" t="s">
        <v>4</v>
      </c>
      <c r="E606" s="24" t="s">
        <v>125</v>
      </c>
      <c r="F606" s="24" t="s">
        <v>136</v>
      </c>
      <c r="G606" s="24" t="s">
        <v>99</v>
      </c>
      <c r="H606" s="30" t="s">
        <v>79</v>
      </c>
    </row>
    <row r="607" ht="20" customHeight="1" spans="1:8" x14ac:dyDescent="0.25">
      <c r="A607" s="22" t="s">
        <v>65</v>
      </c>
      <c r="B607" s="22" t="s">
        <v>42</v>
      </c>
      <c r="C607" s="23" t="s">
        <v>32</v>
      </c>
      <c r="D607" s="35" t="s">
        <v>86</v>
      </c>
      <c r="E607" s="22" t="s">
        <v>12</v>
      </c>
      <c r="F607" s="22" t="s">
        <v>12</v>
      </c>
      <c r="G607" s="22" t="s">
        <v>12</v>
      </c>
      <c r="H607" s="22" t="s">
        <v>32</v>
      </c>
    </row>
    <row r="608" ht="20" customHeight="1" spans="1:8" x14ac:dyDescent="0.25">
      <c r="A608" s="24" t="s">
        <v>66</v>
      </c>
      <c r="B608" s="24" t="s">
        <v>45</v>
      </c>
      <c r="C608" s="25" t="s">
        <v>32</v>
      </c>
      <c r="D608" s="6" t="s">
        <v>4</v>
      </c>
      <c r="E608" s="24" t="s">
        <v>125</v>
      </c>
      <c r="F608" s="24" t="s">
        <v>136</v>
      </c>
      <c r="G608" s="24" t="s">
        <v>99</v>
      </c>
      <c r="H608" s="30" t="s">
        <v>79</v>
      </c>
    </row>
    <row r="609" ht="20" customHeight="1" spans="1:8" x14ac:dyDescent="0.25">
      <c r="A609" s="22" t="s">
        <v>67</v>
      </c>
      <c r="B609" s="22" t="s">
        <v>31</v>
      </c>
      <c r="C609" s="23" t="s">
        <v>32</v>
      </c>
      <c r="D609" s="6" t="s">
        <v>4</v>
      </c>
      <c r="E609" s="22" t="s">
        <v>125</v>
      </c>
      <c r="F609" s="22" t="s">
        <v>136</v>
      </c>
      <c r="G609" s="22" t="s">
        <v>99</v>
      </c>
      <c r="H609" s="32" t="s">
        <v>79</v>
      </c>
    </row>
    <row r="610" ht="20" customHeight="1" spans="1:8" x14ac:dyDescent="0.25">
      <c r="A610" s="24" t="s">
        <v>68</v>
      </c>
      <c r="B610" s="24" t="s">
        <v>34</v>
      </c>
      <c r="C610" s="25" t="s">
        <v>32</v>
      </c>
      <c r="D610" s="6" t="s">
        <v>4</v>
      </c>
      <c r="E610" s="24" t="s">
        <v>125</v>
      </c>
      <c r="F610" s="24" t="s">
        <v>136</v>
      </c>
      <c r="G610" s="24" t="s">
        <v>99</v>
      </c>
      <c r="H610" s="30" t="s">
        <v>79</v>
      </c>
    </row>
    <row r="611" ht="22" customHeight="1" spans="1:8" x14ac:dyDescent="0.25">
      <c r="A611" s="26" t="s">
        <v>69</v>
      </c>
      <c r="B611" s="26"/>
      <c r="C611" s="26"/>
      <c r="D611" s="26"/>
      <c r="E611" s="26"/>
      <c r="F611" s="26"/>
      <c r="G611" s="27" t="s">
        <v>270</v>
      </c>
      <c r="H611" s="28" t="s">
        <v>12</v>
      </c>
    </row>
    <row r="613" ht="26" customHeight="1" spans="1:8" x14ac:dyDescent="0.25">
      <c r="A613" s="20" t="s">
        <v>1686</v>
      </c>
      <c r="B613" s="20"/>
      <c r="C613" s="20"/>
      <c r="D613" s="20"/>
      <c r="E613" s="20"/>
      <c r="F613" s="20"/>
      <c r="G613" s="20"/>
      <c r="H613" s="20"/>
    </row>
    <row r="614" ht="22" customHeight="1" spans="1:8" x14ac:dyDescent="0.25">
      <c r="A614" s="21" t="s">
        <v>22</v>
      </c>
      <c r="B614" s="21" t="s">
        <v>23</v>
      </c>
      <c r="C614" s="21" t="s">
        <v>24</v>
      </c>
      <c r="D614" s="21" t="s">
        <v>25</v>
      </c>
      <c r="E614" s="21" t="s">
        <v>26</v>
      </c>
      <c r="F614" s="21" t="s">
        <v>27</v>
      </c>
      <c r="G614" s="21" t="s">
        <v>28</v>
      </c>
      <c r="H614" s="21" t="s">
        <v>29</v>
      </c>
    </row>
    <row r="615" ht="20" customHeight="1" spans="1:8" x14ac:dyDescent="0.25">
      <c r="A615" s="22" t="s">
        <v>30</v>
      </c>
      <c r="B615" s="22" t="s">
        <v>31</v>
      </c>
      <c r="C615" s="23" t="s">
        <v>71</v>
      </c>
      <c r="D615" s="6" t="s">
        <v>4</v>
      </c>
      <c r="E615" s="22" t="s">
        <v>639</v>
      </c>
      <c r="F615" s="22" t="s">
        <v>225</v>
      </c>
      <c r="G615" s="22" t="s">
        <v>285</v>
      </c>
      <c r="H615" s="32" t="s">
        <v>79</v>
      </c>
    </row>
    <row r="616" ht="20" customHeight="1" spans="1:8" x14ac:dyDescent="0.25">
      <c r="A616" s="24" t="s">
        <v>33</v>
      </c>
      <c r="B616" s="24" t="s">
        <v>34</v>
      </c>
      <c r="C616" s="25" t="s">
        <v>71</v>
      </c>
      <c r="D616" s="6" t="s">
        <v>4</v>
      </c>
      <c r="E616" s="24" t="s">
        <v>297</v>
      </c>
      <c r="F616" s="24" t="s">
        <v>447</v>
      </c>
      <c r="G616" s="24" t="s">
        <v>190</v>
      </c>
      <c r="H616" s="30" t="s">
        <v>79</v>
      </c>
    </row>
    <row r="617" ht="20" customHeight="1" spans="1:8" x14ac:dyDescent="0.25">
      <c r="A617" s="22" t="s">
        <v>35</v>
      </c>
      <c r="B617" s="22" t="s">
        <v>36</v>
      </c>
      <c r="C617" s="23" t="s">
        <v>71</v>
      </c>
      <c r="D617" s="6" t="s">
        <v>4</v>
      </c>
      <c r="E617" s="22" t="s">
        <v>189</v>
      </c>
      <c r="F617" s="22" t="s">
        <v>237</v>
      </c>
      <c r="G617" s="22" t="s">
        <v>579</v>
      </c>
      <c r="H617" s="29" t="s">
        <v>191</v>
      </c>
    </row>
    <row r="618" ht="20" customHeight="1" spans="1:8" x14ac:dyDescent="0.25">
      <c r="A618" s="24" t="s">
        <v>37</v>
      </c>
      <c r="B618" s="24" t="s">
        <v>38</v>
      </c>
      <c r="C618" s="25" t="s">
        <v>71</v>
      </c>
      <c r="D618" s="31" t="s">
        <v>11</v>
      </c>
      <c r="E618" s="24" t="s">
        <v>12</v>
      </c>
      <c r="F618" s="24" t="s">
        <v>12</v>
      </c>
      <c r="G618" s="24" t="s">
        <v>12</v>
      </c>
      <c r="H618" s="24" t="s">
        <v>32</v>
      </c>
    </row>
    <row r="619" ht="20" customHeight="1" spans="1:8" x14ac:dyDescent="0.25">
      <c r="A619" s="22" t="s">
        <v>39</v>
      </c>
      <c r="B619" s="22" t="s">
        <v>40</v>
      </c>
      <c r="C619" s="23" t="s">
        <v>71</v>
      </c>
      <c r="D619" s="6" t="s">
        <v>4</v>
      </c>
      <c r="E619" s="22" t="s">
        <v>1273</v>
      </c>
      <c r="F619" s="22" t="s">
        <v>589</v>
      </c>
      <c r="G619" s="22" t="s">
        <v>1365</v>
      </c>
      <c r="H619" s="29" t="s">
        <v>1275</v>
      </c>
    </row>
    <row r="620" ht="20" customHeight="1" spans="1:8" x14ac:dyDescent="0.25">
      <c r="A620" s="24" t="s">
        <v>41</v>
      </c>
      <c r="B620" s="24" t="s">
        <v>42</v>
      </c>
      <c r="C620" s="25" t="s">
        <v>71</v>
      </c>
      <c r="D620" s="33" t="s">
        <v>86</v>
      </c>
      <c r="E620" s="24" t="s">
        <v>12</v>
      </c>
      <c r="F620" s="24" t="s">
        <v>12</v>
      </c>
      <c r="G620" s="24" t="s">
        <v>12</v>
      </c>
      <c r="H620" s="24" t="s">
        <v>32</v>
      </c>
    </row>
    <row r="621" ht="20" customHeight="1" spans="1:8" x14ac:dyDescent="0.25">
      <c r="A621" s="22" t="s">
        <v>44</v>
      </c>
      <c r="B621" s="22" t="s">
        <v>45</v>
      </c>
      <c r="C621" s="23" t="s">
        <v>71</v>
      </c>
      <c r="D621" s="6" t="s">
        <v>4</v>
      </c>
      <c r="E621" s="22" t="s">
        <v>76</v>
      </c>
      <c r="F621" s="22" t="s">
        <v>1121</v>
      </c>
      <c r="G621" s="22" t="s">
        <v>742</v>
      </c>
      <c r="H621" s="32" t="s">
        <v>79</v>
      </c>
    </row>
    <row r="622" ht="20" customHeight="1" spans="1:8" x14ac:dyDescent="0.25">
      <c r="A622" s="24" t="s">
        <v>46</v>
      </c>
      <c r="B622" s="24" t="s">
        <v>31</v>
      </c>
      <c r="C622" s="25" t="s">
        <v>71</v>
      </c>
      <c r="D622" s="6" t="s">
        <v>4</v>
      </c>
      <c r="E622" s="24" t="s">
        <v>1432</v>
      </c>
      <c r="F622" s="24" t="s">
        <v>525</v>
      </c>
      <c r="G622" s="24" t="s">
        <v>206</v>
      </c>
      <c r="H622" s="34" t="s">
        <v>526</v>
      </c>
    </row>
    <row r="623" ht="20" customHeight="1" spans="1:8" x14ac:dyDescent="0.25">
      <c r="A623" s="22" t="s">
        <v>47</v>
      </c>
      <c r="B623" s="22" t="s">
        <v>34</v>
      </c>
      <c r="C623" s="23" t="s">
        <v>71</v>
      </c>
      <c r="D623" s="6" t="s">
        <v>4</v>
      </c>
      <c r="E623" s="22" t="s">
        <v>1360</v>
      </c>
      <c r="F623" s="22" t="s">
        <v>534</v>
      </c>
      <c r="G623" s="22" t="s">
        <v>180</v>
      </c>
      <c r="H623" s="29" t="s">
        <v>1499</v>
      </c>
    </row>
    <row r="624" ht="20" customHeight="1" spans="1:8" x14ac:dyDescent="0.25">
      <c r="A624" s="24" t="s">
        <v>48</v>
      </c>
      <c r="B624" s="24" t="s">
        <v>36</v>
      </c>
      <c r="C624" s="25" t="s">
        <v>71</v>
      </c>
      <c r="D624" s="6" t="s">
        <v>4</v>
      </c>
      <c r="E624" s="24" t="s">
        <v>76</v>
      </c>
      <c r="F624" s="24" t="s">
        <v>534</v>
      </c>
      <c r="G624" s="24" t="s">
        <v>161</v>
      </c>
      <c r="H624" s="34" t="s">
        <v>1499</v>
      </c>
    </row>
    <row r="625" ht="20" customHeight="1" spans="1:8" x14ac:dyDescent="0.25">
      <c r="A625" s="22" t="s">
        <v>49</v>
      </c>
      <c r="B625" s="22" t="s">
        <v>38</v>
      </c>
      <c r="C625" s="23" t="s">
        <v>71</v>
      </c>
      <c r="D625" s="6" t="s">
        <v>4</v>
      </c>
      <c r="E625" s="22" t="s">
        <v>408</v>
      </c>
      <c r="F625" s="22" t="s">
        <v>1497</v>
      </c>
      <c r="G625" s="22" t="s">
        <v>285</v>
      </c>
      <c r="H625" s="29" t="s">
        <v>537</v>
      </c>
    </row>
    <row r="626" ht="20" customHeight="1" spans="1:8" x14ac:dyDescent="0.25">
      <c r="A626" s="24" t="s">
        <v>50</v>
      </c>
      <c r="B626" s="24" t="s">
        <v>40</v>
      </c>
      <c r="C626" s="25" t="s">
        <v>71</v>
      </c>
      <c r="D626" s="33" t="s">
        <v>86</v>
      </c>
      <c r="E626" s="24" t="s">
        <v>12</v>
      </c>
      <c r="F626" s="24" t="s">
        <v>12</v>
      </c>
      <c r="G626" s="24" t="s">
        <v>12</v>
      </c>
      <c r="H626" s="24" t="s">
        <v>32</v>
      </c>
    </row>
    <row r="627" ht="20" customHeight="1" spans="1:8" x14ac:dyDescent="0.25">
      <c r="A627" s="22" t="s">
        <v>51</v>
      </c>
      <c r="B627" s="22" t="s">
        <v>42</v>
      </c>
      <c r="C627" s="23" t="s">
        <v>71</v>
      </c>
      <c r="D627" s="35" t="s">
        <v>86</v>
      </c>
      <c r="E627" s="22" t="s">
        <v>12</v>
      </c>
      <c r="F627" s="22" t="s">
        <v>12</v>
      </c>
      <c r="G627" s="22" t="s">
        <v>12</v>
      </c>
      <c r="H627" s="22" t="s">
        <v>32</v>
      </c>
    </row>
    <row r="628" ht="20" customHeight="1" spans="1:8" x14ac:dyDescent="0.25">
      <c r="A628" s="24" t="s">
        <v>52</v>
      </c>
      <c r="B628" s="24" t="s">
        <v>45</v>
      </c>
      <c r="C628" s="25" t="s">
        <v>71</v>
      </c>
      <c r="D628" s="10" t="s">
        <v>87</v>
      </c>
      <c r="E628" s="24" t="s">
        <v>12</v>
      </c>
      <c r="F628" s="24" t="s">
        <v>12</v>
      </c>
      <c r="G628" s="24" t="s">
        <v>12</v>
      </c>
      <c r="H628" s="24" t="s">
        <v>32</v>
      </c>
    </row>
    <row r="629" ht="20" customHeight="1" spans="1:8" x14ac:dyDescent="0.25">
      <c r="A629" s="22" t="s">
        <v>53</v>
      </c>
      <c r="B629" s="22" t="s">
        <v>31</v>
      </c>
      <c r="C629" s="23" t="s">
        <v>71</v>
      </c>
      <c r="D629" s="6" t="s">
        <v>4</v>
      </c>
      <c r="E629" s="22" t="s">
        <v>114</v>
      </c>
      <c r="F629" s="22" t="s">
        <v>628</v>
      </c>
      <c r="G629" s="22" t="s">
        <v>396</v>
      </c>
      <c r="H629" s="29" t="s">
        <v>535</v>
      </c>
    </row>
    <row r="630" ht="20" customHeight="1" spans="1:8" x14ac:dyDescent="0.25">
      <c r="A630" s="24" t="s">
        <v>54</v>
      </c>
      <c r="B630" s="24" t="s">
        <v>34</v>
      </c>
      <c r="C630" s="25" t="s">
        <v>71</v>
      </c>
      <c r="D630" s="6" t="s">
        <v>4</v>
      </c>
      <c r="E630" s="24" t="s">
        <v>132</v>
      </c>
      <c r="F630" s="24" t="s">
        <v>623</v>
      </c>
      <c r="G630" s="24" t="s">
        <v>194</v>
      </c>
      <c r="H630" s="34" t="s">
        <v>624</v>
      </c>
    </row>
    <row r="631" ht="20" customHeight="1" spans="1:8" x14ac:dyDescent="0.25">
      <c r="A631" s="22" t="s">
        <v>55</v>
      </c>
      <c r="B631" s="22" t="s">
        <v>36</v>
      </c>
      <c r="C631" s="23" t="s">
        <v>71</v>
      </c>
      <c r="D631" s="6" t="s">
        <v>4</v>
      </c>
      <c r="E631" s="22" t="s">
        <v>307</v>
      </c>
      <c r="F631" s="22" t="s">
        <v>508</v>
      </c>
      <c r="G631" s="22" t="s">
        <v>396</v>
      </c>
      <c r="H631" s="29" t="s">
        <v>709</v>
      </c>
    </row>
    <row r="632" ht="20" customHeight="1" spans="1:8" x14ac:dyDescent="0.25">
      <c r="A632" s="24" t="s">
        <v>56</v>
      </c>
      <c r="B632" s="24" t="s">
        <v>38</v>
      </c>
      <c r="C632" s="25" t="s">
        <v>71</v>
      </c>
      <c r="D632" s="6" t="s">
        <v>4</v>
      </c>
      <c r="E632" s="24" t="s">
        <v>95</v>
      </c>
      <c r="F632" s="24" t="s">
        <v>552</v>
      </c>
      <c r="G632" s="24" t="s">
        <v>414</v>
      </c>
      <c r="H632" s="34" t="s">
        <v>553</v>
      </c>
    </row>
    <row r="633" ht="20" customHeight="1" spans="1:8" x14ac:dyDescent="0.25">
      <c r="A633" s="22" t="s">
        <v>57</v>
      </c>
      <c r="B633" s="22" t="s">
        <v>40</v>
      </c>
      <c r="C633" s="23" t="s">
        <v>71</v>
      </c>
      <c r="D633" s="6" t="s">
        <v>4</v>
      </c>
      <c r="E633" s="22" t="s">
        <v>408</v>
      </c>
      <c r="F633" s="22" t="s">
        <v>1687</v>
      </c>
      <c r="G633" s="22" t="s">
        <v>981</v>
      </c>
      <c r="H633" s="32" t="s">
        <v>79</v>
      </c>
    </row>
    <row r="634" ht="20" customHeight="1" spans="1:8" x14ac:dyDescent="0.25">
      <c r="A634" s="24" t="s">
        <v>58</v>
      </c>
      <c r="B634" s="24" t="s">
        <v>42</v>
      </c>
      <c r="C634" s="25" t="s">
        <v>71</v>
      </c>
      <c r="D634" s="33" t="s">
        <v>86</v>
      </c>
      <c r="E634" s="24" t="s">
        <v>12</v>
      </c>
      <c r="F634" s="24" t="s">
        <v>12</v>
      </c>
      <c r="G634" s="24" t="s">
        <v>12</v>
      </c>
      <c r="H634" s="24" t="s">
        <v>32</v>
      </c>
    </row>
    <row r="635" ht="20" customHeight="1" spans="1:8" x14ac:dyDescent="0.25">
      <c r="A635" s="22" t="s">
        <v>59</v>
      </c>
      <c r="B635" s="22" t="s">
        <v>45</v>
      </c>
      <c r="C635" s="23" t="s">
        <v>71</v>
      </c>
      <c r="D635" s="6" t="s">
        <v>4</v>
      </c>
      <c r="E635" s="22" t="s">
        <v>348</v>
      </c>
      <c r="F635" s="22" t="s">
        <v>110</v>
      </c>
      <c r="G635" s="22" t="s">
        <v>183</v>
      </c>
      <c r="H635" s="29" t="s">
        <v>351</v>
      </c>
    </row>
    <row r="636" ht="20" customHeight="1" spans="1:8" x14ac:dyDescent="0.25">
      <c r="A636" s="24" t="s">
        <v>60</v>
      </c>
      <c r="B636" s="24" t="s">
        <v>31</v>
      </c>
      <c r="C636" s="25" t="s">
        <v>71</v>
      </c>
      <c r="D636" s="6" t="s">
        <v>4</v>
      </c>
      <c r="E636" s="24" t="s">
        <v>297</v>
      </c>
      <c r="F636" s="24" t="s">
        <v>626</v>
      </c>
      <c r="G636" s="24" t="s">
        <v>174</v>
      </c>
      <c r="H636" s="34" t="s">
        <v>627</v>
      </c>
    </row>
    <row r="637" ht="20" customHeight="1" spans="1:8" x14ac:dyDescent="0.25">
      <c r="A637" s="22" t="s">
        <v>61</v>
      </c>
      <c r="B637" s="22" t="s">
        <v>34</v>
      </c>
      <c r="C637" s="23" t="s">
        <v>71</v>
      </c>
      <c r="D637" s="6" t="s">
        <v>4</v>
      </c>
      <c r="E637" s="22" t="s">
        <v>408</v>
      </c>
      <c r="F637" s="22" t="s">
        <v>544</v>
      </c>
      <c r="G637" s="22" t="s">
        <v>267</v>
      </c>
      <c r="H637" s="29" t="s">
        <v>665</v>
      </c>
    </row>
    <row r="638" ht="20" customHeight="1" spans="1:8" x14ac:dyDescent="0.25">
      <c r="A638" s="24" t="s">
        <v>62</v>
      </c>
      <c r="B638" s="24" t="s">
        <v>36</v>
      </c>
      <c r="C638" s="25" t="s">
        <v>71</v>
      </c>
      <c r="D638" s="6" t="s">
        <v>4</v>
      </c>
      <c r="E638" s="24" t="s">
        <v>511</v>
      </c>
      <c r="F638" s="24" t="s">
        <v>555</v>
      </c>
      <c r="G638" s="24" t="s">
        <v>259</v>
      </c>
      <c r="H638" s="34" t="s">
        <v>556</v>
      </c>
    </row>
    <row r="639" ht="20" customHeight="1" spans="1:8" x14ac:dyDescent="0.25">
      <c r="A639" s="22" t="s">
        <v>63</v>
      </c>
      <c r="B639" s="22" t="s">
        <v>38</v>
      </c>
      <c r="C639" s="23" t="s">
        <v>71</v>
      </c>
      <c r="D639" s="10" t="s">
        <v>87</v>
      </c>
      <c r="E639" s="22" t="s">
        <v>12</v>
      </c>
      <c r="F639" s="22" t="s">
        <v>12</v>
      </c>
      <c r="G639" s="22" t="s">
        <v>12</v>
      </c>
      <c r="H639" s="22" t="s">
        <v>32</v>
      </c>
    </row>
    <row r="640" ht="20" customHeight="1" spans="1:8" x14ac:dyDescent="0.25">
      <c r="A640" s="24" t="s">
        <v>64</v>
      </c>
      <c r="B640" s="24" t="s">
        <v>40</v>
      </c>
      <c r="C640" s="25" t="s">
        <v>71</v>
      </c>
      <c r="D640" s="6" t="s">
        <v>4</v>
      </c>
      <c r="E640" s="24" t="s">
        <v>275</v>
      </c>
      <c r="F640" s="24" t="s">
        <v>1497</v>
      </c>
      <c r="G640" s="24" t="s">
        <v>329</v>
      </c>
      <c r="H640" s="34" t="s">
        <v>537</v>
      </c>
    </row>
    <row r="641" ht="20" customHeight="1" spans="1:8" x14ac:dyDescent="0.25">
      <c r="A641" s="22" t="s">
        <v>65</v>
      </c>
      <c r="B641" s="22" t="s">
        <v>42</v>
      </c>
      <c r="C641" s="23" t="s">
        <v>71</v>
      </c>
      <c r="D641" s="35" t="s">
        <v>86</v>
      </c>
      <c r="E641" s="22" t="s">
        <v>12</v>
      </c>
      <c r="F641" s="22" t="s">
        <v>12</v>
      </c>
      <c r="G641" s="22" t="s">
        <v>12</v>
      </c>
      <c r="H641" s="22" t="s">
        <v>32</v>
      </c>
    </row>
    <row r="642" ht="20" customHeight="1" spans="1:8" x14ac:dyDescent="0.25">
      <c r="A642" s="24" t="s">
        <v>66</v>
      </c>
      <c r="B642" s="24" t="s">
        <v>45</v>
      </c>
      <c r="C642" s="25" t="s">
        <v>71</v>
      </c>
      <c r="D642" s="6" t="s">
        <v>4</v>
      </c>
      <c r="E642" s="24" t="s">
        <v>408</v>
      </c>
      <c r="F642" s="24" t="s">
        <v>73</v>
      </c>
      <c r="G642" s="24" t="s">
        <v>180</v>
      </c>
      <c r="H642" s="34" t="s">
        <v>75</v>
      </c>
    </row>
    <row r="643" ht="20" customHeight="1" spans="1:8" x14ac:dyDescent="0.25">
      <c r="A643" s="22" t="s">
        <v>67</v>
      </c>
      <c r="B643" s="22" t="s">
        <v>31</v>
      </c>
      <c r="C643" s="23" t="s">
        <v>71</v>
      </c>
      <c r="D643" s="6" t="s">
        <v>4</v>
      </c>
      <c r="E643" s="22" t="s">
        <v>76</v>
      </c>
      <c r="F643" s="22" t="s">
        <v>282</v>
      </c>
      <c r="G643" s="22" t="s">
        <v>137</v>
      </c>
      <c r="H643" s="32" t="s">
        <v>79</v>
      </c>
    </row>
    <row r="644" ht="20" customHeight="1" spans="1:8" x14ac:dyDescent="0.25">
      <c r="A644" s="24" t="s">
        <v>68</v>
      </c>
      <c r="B644" s="24" t="s">
        <v>34</v>
      </c>
      <c r="C644" s="25" t="s">
        <v>71</v>
      </c>
      <c r="D644" s="6" t="s">
        <v>4</v>
      </c>
      <c r="E644" s="24" t="s">
        <v>297</v>
      </c>
      <c r="F644" s="24" t="s">
        <v>508</v>
      </c>
      <c r="G644" s="24" t="s">
        <v>396</v>
      </c>
      <c r="H644" s="34" t="s">
        <v>709</v>
      </c>
    </row>
    <row r="645" ht="22" customHeight="1" spans="1:8" x14ac:dyDescent="0.25">
      <c r="A645" s="26" t="s">
        <v>69</v>
      </c>
      <c r="B645" s="26"/>
      <c r="C645" s="26"/>
      <c r="D645" s="26"/>
      <c r="E645" s="26"/>
      <c r="F645" s="26"/>
      <c r="G645" s="27" t="s">
        <v>1688</v>
      </c>
      <c r="H645" s="28" t="s">
        <v>12</v>
      </c>
    </row>
    <row r="647" ht="26" customHeight="1" spans="1:8" x14ac:dyDescent="0.25">
      <c r="A647" s="20" t="s">
        <v>1689</v>
      </c>
      <c r="B647" s="20"/>
      <c r="C647" s="20"/>
      <c r="D647" s="20"/>
      <c r="E647" s="20"/>
      <c r="F647" s="20"/>
      <c r="G647" s="20"/>
      <c r="H647" s="20"/>
    </row>
    <row r="648" ht="22" customHeight="1" spans="1:8" x14ac:dyDescent="0.25">
      <c r="A648" s="21" t="s">
        <v>22</v>
      </c>
      <c r="B648" s="21" t="s">
        <v>23</v>
      </c>
      <c r="C648" s="21" t="s">
        <v>24</v>
      </c>
      <c r="D648" s="21" t="s">
        <v>25</v>
      </c>
      <c r="E648" s="21" t="s">
        <v>26</v>
      </c>
      <c r="F648" s="21" t="s">
        <v>27</v>
      </c>
      <c r="G648" s="21" t="s">
        <v>28</v>
      </c>
      <c r="H648" s="21" t="s">
        <v>29</v>
      </c>
    </row>
    <row r="649" ht="20" customHeight="1" spans="1:8" x14ac:dyDescent="0.25">
      <c r="A649" s="22" t="s">
        <v>30</v>
      </c>
      <c r="B649" s="22" t="s">
        <v>31</v>
      </c>
      <c r="C649" s="23" t="s">
        <v>71</v>
      </c>
      <c r="D649" s="6" t="s">
        <v>4</v>
      </c>
      <c r="E649" s="22" t="s">
        <v>297</v>
      </c>
      <c r="F649" s="22" t="s">
        <v>555</v>
      </c>
      <c r="G649" s="22" t="s">
        <v>279</v>
      </c>
      <c r="H649" s="29" t="s">
        <v>556</v>
      </c>
    </row>
    <row r="650" ht="20" customHeight="1" spans="1:8" x14ac:dyDescent="0.25">
      <c r="A650" s="24" t="s">
        <v>33</v>
      </c>
      <c r="B650" s="24" t="s">
        <v>34</v>
      </c>
      <c r="C650" s="25" t="s">
        <v>71</v>
      </c>
      <c r="D650" s="6" t="s">
        <v>4</v>
      </c>
      <c r="E650" s="24" t="s">
        <v>303</v>
      </c>
      <c r="F650" s="24" t="s">
        <v>438</v>
      </c>
      <c r="G650" s="24" t="s">
        <v>407</v>
      </c>
      <c r="H650" s="30" t="s">
        <v>79</v>
      </c>
    </row>
    <row r="651" ht="20" customHeight="1" spans="1:8" x14ac:dyDescent="0.25">
      <c r="A651" s="22" t="s">
        <v>35</v>
      </c>
      <c r="B651" s="22" t="s">
        <v>36</v>
      </c>
      <c r="C651" s="23" t="s">
        <v>71</v>
      </c>
      <c r="D651" s="6" t="s">
        <v>4</v>
      </c>
      <c r="E651" s="22" t="s">
        <v>230</v>
      </c>
      <c r="F651" s="22" t="s">
        <v>444</v>
      </c>
      <c r="G651" s="22" t="s">
        <v>1580</v>
      </c>
      <c r="H651" s="29" t="s">
        <v>1690</v>
      </c>
    </row>
    <row r="652" ht="20" customHeight="1" spans="1:8" x14ac:dyDescent="0.25">
      <c r="A652" s="24" t="s">
        <v>37</v>
      </c>
      <c r="B652" s="24" t="s">
        <v>38</v>
      </c>
      <c r="C652" s="25" t="s">
        <v>71</v>
      </c>
      <c r="D652" s="31" t="s">
        <v>11</v>
      </c>
      <c r="E652" s="24" t="s">
        <v>12</v>
      </c>
      <c r="F652" s="24" t="s">
        <v>12</v>
      </c>
      <c r="G652" s="24" t="s">
        <v>12</v>
      </c>
      <c r="H652" s="24" t="s">
        <v>32</v>
      </c>
    </row>
    <row r="653" ht="20" customHeight="1" spans="1:8" x14ac:dyDescent="0.25">
      <c r="A653" s="22" t="s">
        <v>39</v>
      </c>
      <c r="B653" s="22" t="s">
        <v>40</v>
      </c>
      <c r="C653" s="23" t="s">
        <v>71</v>
      </c>
      <c r="D653" s="6" t="s">
        <v>4</v>
      </c>
      <c r="E653" s="22" t="s">
        <v>289</v>
      </c>
      <c r="F653" s="22" t="s">
        <v>438</v>
      </c>
      <c r="G653" s="22" t="s">
        <v>250</v>
      </c>
      <c r="H653" s="32" t="s">
        <v>79</v>
      </c>
    </row>
    <row r="654" ht="20" customHeight="1" spans="1:8" x14ac:dyDescent="0.25">
      <c r="A654" s="24" t="s">
        <v>41</v>
      </c>
      <c r="B654" s="24" t="s">
        <v>42</v>
      </c>
      <c r="C654" s="25" t="s">
        <v>71</v>
      </c>
      <c r="D654" s="33" t="s">
        <v>86</v>
      </c>
      <c r="E654" s="24" t="s">
        <v>12</v>
      </c>
      <c r="F654" s="24" t="s">
        <v>12</v>
      </c>
      <c r="G654" s="24" t="s">
        <v>12</v>
      </c>
      <c r="H654" s="24" t="s">
        <v>32</v>
      </c>
    </row>
    <row r="655" ht="20" customHeight="1" spans="1:8" x14ac:dyDescent="0.25">
      <c r="A655" s="22" t="s">
        <v>44</v>
      </c>
      <c r="B655" s="22" t="s">
        <v>45</v>
      </c>
      <c r="C655" s="23" t="s">
        <v>71</v>
      </c>
      <c r="D655" s="6" t="s">
        <v>4</v>
      </c>
      <c r="E655" s="22" t="s">
        <v>289</v>
      </c>
      <c r="F655" s="22" t="s">
        <v>442</v>
      </c>
      <c r="G655" s="22" t="s">
        <v>329</v>
      </c>
      <c r="H655" s="32" t="s">
        <v>79</v>
      </c>
    </row>
    <row r="656" ht="20" customHeight="1" spans="1:8" x14ac:dyDescent="0.25">
      <c r="A656" s="24" t="s">
        <v>46</v>
      </c>
      <c r="B656" s="24" t="s">
        <v>31</v>
      </c>
      <c r="C656" s="25" t="s">
        <v>71</v>
      </c>
      <c r="D656" s="6" t="s">
        <v>4</v>
      </c>
      <c r="E656" s="24" t="s">
        <v>401</v>
      </c>
      <c r="F656" s="24" t="s">
        <v>536</v>
      </c>
      <c r="G656" s="24" t="s">
        <v>226</v>
      </c>
      <c r="H656" s="34" t="s">
        <v>795</v>
      </c>
    </row>
    <row r="657" ht="20" customHeight="1" spans="1:8" x14ac:dyDescent="0.25">
      <c r="A657" s="22" t="s">
        <v>47</v>
      </c>
      <c r="B657" s="22" t="s">
        <v>34</v>
      </c>
      <c r="C657" s="23" t="s">
        <v>71</v>
      </c>
      <c r="D657" s="6" t="s">
        <v>4</v>
      </c>
      <c r="E657" s="22" t="s">
        <v>466</v>
      </c>
      <c r="F657" s="22" t="s">
        <v>623</v>
      </c>
      <c r="G657" s="22" t="s">
        <v>1626</v>
      </c>
      <c r="H657" s="29" t="s">
        <v>1691</v>
      </c>
    </row>
    <row r="658" ht="20" customHeight="1" spans="1:8" x14ac:dyDescent="0.25">
      <c r="A658" s="24" t="s">
        <v>48</v>
      </c>
      <c r="B658" s="24" t="s">
        <v>36</v>
      </c>
      <c r="C658" s="25" t="s">
        <v>71</v>
      </c>
      <c r="D658" s="6" t="s">
        <v>4</v>
      </c>
      <c r="E658" s="24" t="s">
        <v>441</v>
      </c>
      <c r="F658" s="24" t="s">
        <v>623</v>
      </c>
      <c r="G658" s="24" t="s">
        <v>514</v>
      </c>
      <c r="H658" s="34" t="s">
        <v>526</v>
      </c>
    </row>
    <row r="659" ht="20" customHeight="1" spans="1:8" x14ac:dyDescent="0.25">
      <c r="A659" s="22" t="s">
        <v>49</v>
      </c>
      <c r="B659" s="22" t="s">
        <v>38</v>
      </c>
      <c r="C659" s="23" t="s">
        <v>71</v>
      </c>
      <c r="D659" s="6" t="s">
        <v>4</v>
      </c>
      <c r="E659" s="22" t="s">
        <v>391</v>
      </c>
      <c r="F659" s="22" t="s">
        <v>972</v>
      </c>
      <c r="G659" s="22" t="s">
        <v>339</v>
      </c>
      <c r="H659" s="29" t="s">
        <v>974</v>
      </c>
    </row>
    <row r="660" ht="20" customHeight="1" spans="1:8" x14ac:dyDescent="0.25">
      <c r="A660" s="24" t="s">
        <v>50</v>
      </c>
      <c r="B660" s="24" t="s">
        <v>40</v>
      </c>
      <c r="C660" s="25" t="s">
        <v>71</v>
      </c>
      <c r="D660" s="33" t="s">
        <v>86</v>
      </c>
      <c r="E660" s="24" t="s">
        <v>12</v>
      </c>
      <c r="F660" s="24" t="s">
        <v>12</v>
      </c>
      <c r="G660" s="24" t="s">
        <v>12</v>
      </c>
      <c r="H660" s="24" t="s">
        <v>32</v>
      </c>
    </row>
    <row r="661" ht="20" customHeight="1" spans="1:8" x14ac:dyDescent="0.25">
      <c r="A661" s="22" t="s">
        <v>51</v>
      </c>
      <c r="B661" s="22" t="s">
        <v>42</v>
      </c>
      <c r="C661" s="23" t="s">
        <v>71</v>
      </c>
      <c r="D661" s="35" t="s">
        <v>86</v>
      </c>
      <c r="E661" s="22" t="s">
        <v>12</v>
      </c>
      <c r="F661" s="22" t="s">
        <v>12</v>
      </c>
      <c r="G661" s="22" t="s">
        <v>12</v>
      </c>
      <c r="H661" s="22" t="s">
        <v>32</v>
      </c>
    </row>
    <row r="662" ht="20" customHeight="1" spans="1:8" x14ac:dyDescent="0.25">
      <c r="A662" s="24" t="s">
        <v>52</v>
      </c>
      <c r="B662" s="24" t="s">
        <v>45</v>
      </c>
      <c r="C662" s="25" t="s">
        <v>71</v>
      </c>
      <c r="D662" s="6" t="s">
        <v>4</v>
      </c>
      <c r="E662" s="24" t="s">
        <v>303</v>
      </c>
      <c r="F662" s="24" t="s">
        <v>1692</v>
      </c>
      <c r="G662" s="24" t="s">
        <v>367</v>
      </c>
      <c r="H662" s="34" t="s">
        <v>1693</v>
      </c>
    </row>
    <row r="663" ht="20" customHeight="1" spans="1:8" x14ac:dyDescent="0.25">
      <c r="A663" s="22" t="s">
        <v>53</v>
      </c>
      <c r="B663" s="22" t="s">
        <v>31</v>
      </c>
      <c r="C663" s="23" t="s">
        <v>71</v>
      </c>
      <c r="D663" s="6" t="s">
        <v>4</v>
      </c>
      <c r="E663" s="22" t="s">
        <v>518</v>
      </c>
      <c r="F663" s="22" t="s">
        <v>623</v>
      </c>
      <c r="G663" s="22" t="s">
        <v>571</v>
      </c>
      <c r="H663" s="29" t="s">
        <v>624</v>
      </c>
    </row>
    <row r="664" ht="20" customHeight="1" spans="1:8" x14ac:dyDescent="0.25">
      <c r="A664" s="24" t="s">
        <v>54</v>
      </c>
      <c r="B664" s="24" t="s">
        <v>34</v>
      </c>
      <c r="C664" s="25" t="s">
        <v>71</v>
      </c>
      <c r="D664" s="6" t="s">
        <v>4</v>
      </c>
      <c r="E664" s="24" t="s">
        <v>300</v>
      </c>
      <c r="F664" s="24" t="s">
        <v>444</v>
      </c>
      <c r="G664" s="24" t="s">
        <v>165</v>
      </c>
      <c r="H664" s="34" t="s">
        <v>445</v>
      </c>
    </row>
    <row r="665" ht="20" customHeight="1" spans="1:8" x14ac:dyDescent="0.25">
      <c r="A665" s="22" t="s">
        <v>55</v>
      </c>
      <c r="B665" s="22" t="s">
        <v>36</v>
      </c>
      <c r="C665" s="23" t="s">
        <v>71</v>
      </c>
      <c r="D665" s="6" t="s">
        <v>4</v>
      </c>
      <c r="E665" s="22" t="s">
        <v>300</v>
      </c>
      <c r="F665" s="22" t="s">
        <v>118</v>
      </c>
      <c r="G665" s="22" t="s">
        <v>261</v>
      </c>
      <c r="H665" s="29" t="s">
        <v>120</v>
      </c>
    </row>
    <row r="666" ht="20" customHeight="1" spans="1:8" x14ac:dyDescent="0.25">
      <c r="A666" s="24" t="s">
        <v>56</v>
      </c>
      <c r="B666" s="24" t="s">
        <v>38</v>
      </c>
      <c r="C666" s="25" t="s">
        <v>71</v>
      </c>
      <c r="D666" s="6" t="s">
        <v>4</v>
      </c>
      <c r="E666" s="24" t="s">
        <v>390</v>
      </c>
      <c r="F666" s="24" t="s">
        <v>1694</v>
      </c>
      <c r="G666" s="24" t="s">
        <v>183</v>
      </c>
      <c r="H666" s="34" t="s">
        <v>1695</v>
      </c>
    </row>
    <row r="667" ht="20" customHeight="1" spans="1:8" x14ac:dyDescent="0.25">
      <c r="A667" s="22" t="s">
        <v>57</v>
      </c>
      <c r="B667" s="22" t="s">
        <v>40</v>
      </c>
      <c r="C667" s="23" t="s">
        <v>71</v>
      </c>
      <c r="D667" s="10" t="s">
        <v>87</v>
      </c>
      <c r="E667" s="22" t="s">
        <v>12</v>
      </c>
      <c r="F667" s="22" t="s">
        <v>12</v>
      </c>
      <c r="G667" s="22" t="s">
        <v>12</v>
      </c>
      <c r="H667" s="22" t="s">
        <v>32</v>
      </c>
    </row>
    <row r="668" ht="20" customHeight="1" spans="1:8" x14ac:dyDescent="0.25">
      <c r="A668" s="24" t="s">
        <v>58</v>
      </c>
      <c r="B668" s="24" t="s">
        <v>42</v>
      </c>
      <c r="C668" s="25" t="s">
        <v>71</v>
      </c>
      <c r="D668" s="33" t="s">
        <v>86</v>
      </c>
      <c r="E668" s="24" t="s">
        <v>12</v>
      </c>
      <c r="F668" s="24" t="s">
        <v>12</v>
      </c>
      <c r="G668" s="24" t="s">
        <v>12</v>
      </c>
      <c r="H668" s="24" t="s">
        <v>32</v>
      </c>
    </row>
    <row r="669" ht="20" customHeight="1" spans="1:8" x14ac:dyDescent="0.25">
      <c r="A669" s="22" t="s">
        <v>59</v>
      </c>
      <c r="B669" s="22" t="s">
        <v>45</v>
      </c>
      <c r="C669" s="23" t="s">
        <v>71</v>
      </c>
      <c r="D669" s="6" t="s">
        <v>4</v>
      </c>
      <c r="E669" s="22" t="s">
        <v>446</v>
      </c>
      <c r="F669" s="22" t="s">
        <v>1622</v>
      </c>
      <c r="G669" s="22" t="s">
        <v>959</v>
      </c>
      <c r="H669" s="29" t="s">
        <v>1696</v>
      </c>
    </row>
    <row r="670" ht="20" customHeight="1" spans="1:8" x14ac:dyDescent="0.25">
      <c r="A670" s="24" t="s">
        <v>60</v>
      </c>
      <c r="B670" s="24" t="s">
        <v>31</v>
      </c>
      <c r="C670" s="25" t="s">
        <v>71</v>
      </c>
      <c r="D670" s="6" t="s">
        <v>4</v>
      </c>
      <c r="E670" s="24" t="s">
        <v>300</v>
      </c>
      <c r="F670" s="24" t="s">
        <v>436</v>
      </c>
      <c r="G670" s="24" t="s">
        <v>267</v>
      </c>
      <c r="H670" s="30" t="s">
        <v>79</v>
      </c>
    </row>
    <row r="671" ht="20" customHeight="1" spans="1:8" x14ac:dyDescent="0.25">
      <c r="A671" s="22" t="s">
        <v>61</v>
      </c>
      <c r="B671" s="22" t="s">
        <v>34</v>
      </c>
      <c r="C671" s="23" t="s">
        <v>71</v>
      </c>
      <c r="D671" s="6" t="s">
        <v>4</v>
      </c>
      <c r="E671" s="22" t="s">
        <v>774</v>
      </c>
      <c r="F671" s="22" t="s">
        <v>529</v>
      </c>
      <c r="G671" s="22" t="s">
        <v>261</v>
      </c>
      <c r="H671" s="32" t="s">
        <v>79</v>
      </c>
    </row>
    <row r="672" ht="20" customHeight="1" spans="1:8" x14ac:dyDescent="0.25">
      <c r="A672" s="24" t="s">
        <v>62</v>
      </c>
      <c r="B672" s="24" t="s">
        <v>36</v>
      </c>
      <c r="C672" s="25" t="s">
        <v>71</v>
      </c>
      <c r="D672" s="6" t="s">
        <v>4</v>
      </c>
      <c r="E672" s="24" t="s">
        <v>300</v>
      </c>
      <c r="F672" s="24" t="s">
        <v>438</v>
      </c>
      <c r="G672" s="24" t="s">
        <v>171</v>
      </c>
      <c r="H672" s="30" t="s">
        <v>79</v>
      </c>
    </row>
    <row r="673" ht="20" customHeight="1" spans="1:8" x14ac:dyDescent="0.25">
      <c r="A673" s="22" t="s">
        <v>63</v>
      </c>
      <c r="B673" s="22" t="s">
        <v>38</v>
      </c>
      <c r="C673" s="23" t="s">
        <v>71</v>
      </c>
      <c r="D673" s="6" t="s">
        <v>4</v>
      </c>
      <c r="E673" s="22" t="s">
        <v>300</v>
      </c>
      <c r="F673" s="22" t="s">
        <v>1697</v>
      </c>
      <c r="G673" s="22" t="s">
        <v>174</v>
      </c>
      <c r="H673" s="32" t="s">
        <v>79</v>
      </c>
    </row>
    <row r="674" ht="20" customHeight="1" spans="1:8" x14ac:dyDescent="0.25">
      <c r="A674" s="24" t="s">
        <v>64</v>
      </c>
      <c r="B674" s="24" t="s">
        <v>40</v>
      </c>
      <c r="C674" s="25" t="s">
        <v>71</v>
      </c>
      <c r="D674" s="6" t="s">
        <v>4</v>
      </c>
      <c r="E674" s="24" t="s">
        <v>300</v>
      </c>
      <c r="F674" s="24" t="s">
        <v>717</v>
      </c>
      <c r="G674" s="24" t="s">
        <v>1278</v>
      </c>
      <c r="H674" s="34" t="s">
        <v>532</v>
      </c>
    </row>
    <row r="675" ht="20" customHeight="1" spans="1:8" x14ac:dyDescent="0.25">
      <c r="A675" s="22" t="s">
        <v>65</v>
      </c>
      <c r="B675" s="22" t="s">
        <v>42</v>
      </c>
      <c r="C675" s="23" t="s">
        <v>71</v>
      </c>
      <c r="D675" s="35" t="s">
        <v>86</v>
      </c>
      <c r="E675" s="22" t="s">
        <v>12</v>
      </c>
      <c r="F675" s="22" t="s">
        <v>12</v>
      </c>
      <c r="G675" s="22" t="s">
        <v>12</v>
      </c>
      <c r="H675" s="22" t="s">
        <v>32</v>
      </c>
    </row>
    <row r="676" ht="20" customHeight="1" spans="1:8" x14ac:dyDescent="0.25">
      <c r="A676" s="24" t="s">
        <v>66</v>
      </c>
      <c r="B676" s="24" t="s">
        <v>45</v>
      </c>
      <c r="C676" s="25" t="s">
        <v>71</v>
      </c>
      <c r="D676" s="6" t="s">
        <v>4</v>
      </c>
      <c r="E676" s="24" t="s">
        <v>434</v>
      </c>
      <c r="F676" s="24" t="s">
        <v>438</v>
      </c>
      <c r="G676" s="24" t="s">
        <v>577</v>
      </c>
      <c r="H676" s="30" t="s">
        <v>79</v>
      </c>
    </row>
    <row r="677" ht="20" customHeight="1" spans="1:8" x14ac:dyDescent="0.25">
      <c r="A677" s="22" t="s">
        <v>67</v>
      </c>
      <c r="B677" s="22" t="s">
        <v>31</v>
      </c>
      <c r="C677" s="23" t="s">
        <v>71</v>
      </c>
      <c r="D677" s="6" t="s">
        <v>4</v>
      </c>
      <c r="E677" s="22" t="s">
        <v>503</v>
      </c>
      <c r="F677" s="22" t="s">
        <v>438</v>
      </c>
      <c r="G677" s="22" t="s">
        <v>261</v>
      </c>
      <c r="H677" s="32" t="s">
        <v>79</v>
      </c>
    </row>
    <row r="678" ht="20" customHeight="1" spans="1:8" x14ac:dyDescent="0.25">
      <c r="A678" s="24" t="s">
        <v>68</v>
      </c>
      <c r="B678" s="24" t="s">
        <v>34</v>
      </c>
      <c r="C678" s="25" t="s">
        <v>71</v>
      </c>
      <c r="D678" s="6" t="s">
        <v>4</v>
      </c>
      <c r="E678" s="24" t="s">
        <v>300</v>
      </c>
      <c r="F678" s="24" t="s">
        <v>504</v>
      </c>
      <c r="G678" s="24" t="s">
        <v>238</v>
      </c>
      <c r="H678" s="34" t="s">
        <v>506</v>
      </c>
    </row>
    <row r="679" ht="22" customHeight="1" spans="1:8" x14ac:dyDescent="0.25">
      <c r="A679" s="26" t="s">
        <v>69</v>
      </c>
      <c r="B679" s="26"/>
      <c r="C679" s="26"/>
      <c r="D679" s="26"/>
      <c r="E679" s="26"/>
      <c r="F679" s="26"/>
      <c r="G679" s="27" t="s">
        <v>1698</v>
      </c>
      <c r="H679" s="28" t="s">
        <v>12</v>
      </c>
    </row>
    <row r="681" ht="26" customHeight="1" spans="1:8" x14ac:dyDescent="0.25">
      <c r="A681" s="20" t="s">
        <v>1699</v>
      </c>
      <c r="B681" s="20"/>
      <c r="C681" s="20"/>
      <c r="D681" s="20"/>
      <c r="E681" s="20"/>
      <c r="F681" s="20"/>
      <c r="G681" s="20"/>
      <c r="H681" s="20"/>
    </row>
    <row r="682" ht="22" customHeight="1" spans="1:8" x14ac:dyDescent="0.25">
      <c r="A682" s="21" t="s">
        <v>22</v>
      </c>
      <c r="B682" s="21" t="s">
        <v>23</v>
      </c>
      <c r="C682" s="21" t="s">
        <v>24</v>
      </c>
      <c r="D682" s="21" t="s">
        <v>25</v>
      </c>
      <c r="E682" s="21" t="s">
        <v>26</v>
      </c>
      <c r="F682" s="21" t="s">
        <v>27</v>
      </c>
      <c r="G682" s="21" t="s">
        <v>28</v>
      </c>
      <c r="H682" s="21" t="s">
        <v>29</v>
      </c>
    </row>
    <row r="683" ht="20" customHeight="1" spans="1:8" x14ac:dyDescent="0.25">
      <c r="A683" s="22" t="s">
        <v>30</v>
      </c>
      <c r="B683" s="22" t="s">
        <v>31</v>
      </c>
      <c r="C683" s="23" t="s">
        <v>71</v>
      </c>
      <c r="D683" s="6" t="s">
        <v>4</v>
      </c>
      <c r="E683" s="22" t="s">
        <v>561</v>
      </c>
      <c r="F683" s="22" t="s">
        <v>384</v>
      </c>
      <c r="G683" s="22" t="s">
        <v>726</v>
      </c>
      <c r="H683" s="32" t="s">
        <v>79</v>
      </c>
    </row>
    <row r="684" ht="20" customHeight="1" spans="1:8" x14ac:dyDescent="0.25">
      <c r="A684" s="24" t="s">
        <v>33</v>
      </c>
      <c r="B684" s="24" t="s">
        <v>34</v>
      </c>
      <c r="C684" s="25" t="s">
        <v>71</v>
      </c>
      <c r="D684" s="6" t="s">
        <v>4</v>
      </c>
      <c r="E684" s="24" t="s">
        <v>1432</v>
      </c>
      <c r="F684" s="24" t="s">
        <v>12</v>
      </c>
      <c r="G684" s="24" t="s">
        <v>12</v>
      </c>
      <c r="H684" s="30" t="s">
        <v>79</v>
      </c>
    </row>
    <row r="685" ht="20" customHeight="1" spans="1:8" x14ac:dyDescent="0.25">
      <c r="A685" s="22" t="s">
        <v>35</v>
      </c>
      <c r="B685" s="22" t="s">
        <v>36</v>
      </c>
      <c r="C685" s="23" t="s">
        <v>71</v>
      </c>
      <c r="D685" s="6" t="s">
        <v>4</v>
      </c>
      <c r="E685" s="22" t="s">
        <v>774</v>
      </c>
      <c r="F685" s="22" t="s">
        <v>12</v>
      </c>
      <c r="G685" s="22" t="s">
        <v>12</v>
      </c>
      <c r="H685" s="32" t="s">
        <v>79</v>
      </c>
    </row>
    <row r="686" ht="20" customHeight="1" spans="1:8" x14ac:dyDescent="0.25">
      <c r="A686" s="24" t="s">
        <v>37</v>
      </c>
      <c r="B686" s="24" t="s">
        <v>38</v>
      </c>
      <c r="C686" s="25" t="s">
        <v>71</v>
      </c>
      <c r="D686" s="31" t="s">
        <v>11</v>
      </c>
      <c r="E686" s="24" t="s">
        <v>12</v>
      </c>
      <c r="F686" s="24" t="s">
        <v>12</v>
      </c>
      <c r="G686" s="24" t="s">
        <v>12</v>
      </c>
      <c r="H686" s="24" t="s">
        <v>32</v>
      </c>
    </row>
    <row r="687" ht="20" customHeight="1" spans="1:8" x14ac:dyDescent="0.25">
      <c r="A687" s="22" t="s">
        <v>39</v>
      </c>
      <c r="B687" s="22" t="s">
        <v>40</v>
      </c>
      <c r="C687" s="23" t="s">
        <v>71</v>
      </c>
      <c r="D687" s="6" t="s">
        <v>4</v>
      </c>
      <c r="E687" s="22" t="s">
        <v>391</v>
      </c>
      <c r="F687" s="22" t="s">
        <v>12</v>
      </c>
      <c r="G687" s="22" t="s">
        <v>12</v>
      </c>
      <c r="H687" s="32" t="s">
        <v>79</v>
      </c>
    </row>
    <row r="688" ht="20" customHeight="1" spans="1:8" x14ac:dyDescent="0.25">
      <c r="A688" s="24" t="s">
        <v>41</v>
      </c>
      <c r="B688" s="24" t="s">
        <v>42</v>
      </c>
      <c r="C688" s="25" t="s">
        <v>71</v>
      </c>
      <c r="D688" s="33" t="s">
        <v>86</v>
      </c>
      <c r="E688" s="24" t="s">
        <v>12</v>
      </c>
      <c r="F688" s="24" t="s">
        <v>12</v>
      </c>
      <c r="G688" s="24" t="s">
        <v>12</v>
      </c>
      <c r="H688" s="24" t="s">
        <v>32</v>
      </c>
    </row>
    <row r="689" ht="20" customHeight="1" spans="1:8" x14ac:dyDescent="0.25">
      <c r="A689" s="22" t="s">
        <v>44</v>
      </c>
      <c r="B689" s="22" t="s">
        <v>45</v>
      </c>
      <c r="C689" s="23" t="s">
        <v>71</v>
      </c>
      <c r="D689" s="6" t="s">
        <v>4</v>
      </c>
      <c r="E689" s="22" t="s">
        <v>185</v>
      </c>
      <c r="F689" s="22" t="s">
        <v>293</v>
      </c>
      <c r="G689" s="22" t="s">
        <v>1391</v>
      </c>
      <c r="H689" s="29" t="s">
        <v>188</v>
      </c>
    </row>
    <row r="690" ht="20" customHeight="1" spans="1:8" x14ac:dyDescent="0.25">
      <c r="A690" s="24" t="s">
        <v>46</v>
      </c>
      <c r="B690" s="24" t="s">
        <v>31</v>
      </c>
      <c r="C690" s="25" t="s">
        <v>71</v>
      </c>
      <c r="D690" s="10" t="s">
        <v>87</v>
      </c>
      <c r="E690" s="24" t="s">
        <v>12</v>
      </c>
      <c r="F690" s="24" t="s">
        <v>12</v>
      </c>
      <c r="G690" s="24" t="s">
        <v>12</v>
      </c>
      <c r="H690" s="24" t="s">
        <v>32</v>
      </c>
    </row>
    <row r="691" ht="20" customHeight="1" spans="1:8" x14ac:dyDescent="0.25">
      <c r="A691" s="22" t="s">
        <v>47</v>
      </c>
      <c r="B691" s="22" t="s">
        <v>34</v>
      </c>
      <c r="C691" s="23" t="s">
        <v>71</v>
      </c>
      <c r="D691" s="6" t="s">
        <v>4</v>
      </c>
      <c r="E691" s="22" t="s">
        <v>948</v>
      </c>
      <c r="F691" s="22" t="s">
        <v>384</v>
      </c>
      <c r="G691" s="22" t="s">
        <v>1620</v>
      </c>
      <c r="H691" s="29" t="s">
        <v>949</v>
      </c>
    </row>
    <row r="692" ht="20" customHeight="1" spans="1:8" x14ac:dyDescent="0.25">
      <c r="A692" s="24" t="s">
        <v>48</v>
      </c>
      <c r="B692" s="24" t="s">
        <v>36</v>
      </c>
      <c r="C692" s="25" t="s">
        <v>71</v>
      </c>
      <c r="D692" s="6" t="s">
        <v>4</v>
      </c>
      <c r="E692" s="24" t="s">
        <v>362</v>
      </c>
      <c r="F692" s="24" t="s">
        <v>12</v>
      </c>
      <c r="G692" s="24" t="s">
        <v>12</v>
      </c>
      <c r="H692" s="30" t="s">
        <v>79</v>
      </c>
    </row>
    <row r="693" ht="20" customHeight="1" spans="1:8" x14ac:dyDescent="0.25">
      <c r="A693" s="22" t="s">
        <v>49</v>
      </c>
      <c r="B693" s="22" t="s">
        <v>38</v>
      </c>
      <c r="C693" s="23" t="s">
        <v>71</v>
      </c>
      <c r="D693" s="10" t="s">
        <v>87</v>
      </c>
      <c r="E693" s="22" t="s">
        <v>12</v>
      </c>
      <c r="F693" s="22" t="s">
        <v>12</v>
      </c>
      <c r="G693" s="22" t="s">
        <v>12</v>
      </c>
      <c r="H693" s="22" t="s">
        <v>32</v>
      </c>
    </row>
    <row r="694" ht="20" customHeight="1" spans="1:8" x14ac:dyDescent="0.25">
      <c r="A694" s="24" t="s">
        <v>50</v>
      </c>
      <c r="B694" s="24" t="s">
        <v>40</v>
      </c>
      <c r="C694" s="25" t="s">
        <v>71</v>
      </c>
      <c r="D694" s="33" t="s">
        <v>86</v>
      </c>
      <c r="E694" s="24" t="s">
        <v>12</v>
      </c>
      <c r="F694" s="24" t="s">
        <v>12</v>
      </c>
      <c r="G694" s="24" t="s">
        <v>12</v>
      </c>
      <c r="H694" s="24" t="s">
        <v>32</v>
      </c>
    </row>
    <row r="695" ht="20" customHeight="1" spans="1:8" x14ac:dyDescent="0.25">
      <c r="A695" s="22" t="s">
        <v>51</v>
      </c>
      <c r="B695" s="22" t="s">
        <v>42</v>
      </c>
      <c r="C695" s="23" t="s">
        <v>71</v>
      </c>
      <c r="D695" s="35" t="s">
        <v>86</v>
      </c>
      <c r="E695" s="22" t="s">
        <v>12</v>
      </c>
      <c r="F695" s="22" t="s">
        <v>12</v>
      </c>
      <c r="G695" s="22" t="s">
        <v>12</v>
      </c>
      <c r="H695" s="22" t="s">
        <v>32</v>
      </c>
    </row>
    <row r="696" ht="20" customHeight="1" spans="1:8" x14ac:dyDescent="0.25">
      <c r="A696" s="24" t="s">
        <v>52</v>
      </c>
      <c r="B696" s="24" t="s">
        <v>45</v>
      </c>
      <c r="C696" s="25" t="s">
        <v>71</v>
      </c>
      <c r="D696" s="6" t="s">
        <v>4</v>
      </c>
      <c r="E696" s="24" t="s">
        <v>234</v>
      </c>
      <c r="F696" s="24" t="s">
        <v>228</v>
      </c>
      <c r="G696" s="24" t="s">
        <v>852</v>
      </c>
      <c r="H696" s="34" t="s">
        <v>1700</v>
      </c>
    </row>
    <row r="697" ht="20" customHeight="1" spans="1:8" x14ac:dyDescent="0.25">
      <c r="A697" s="22" t="s">
        <v>53</v>
      </c>
      <c r="B697" s="22" t="s">
        <v>31</v>
      </c>
      <c r="C697" s="23" t="s">
        <v>71</v>
      </c>
      <c r="D697" s="6" t="s">
        <v>4</v>
      </c>
      <c r="E697" s="22" t="s">
        <v>567</v>
      </c>
      <c r="F697" s="22" t="s">
        <v>276</v>
      </c>
      <c r="G697" s="22" t="s">
        <v>226</v>
      </c>
      <c r="H697" s="32" t="s">
        <v>79</v>
      </c>
    </row>
    <row r="698" ht="20" customHeight="1" spans="1:8" x14ac:dyDescent="0.25">
      <c r="A698" s="24" t="s">
        <v>54</v>
      </c>
      <c r="B698" s="24" t="s">
        <v>34</v>
      </c>
      <c r="C698" s="25" t="s">
        <v>71</v>
      </c>
      <c r="D698" s="6" t="s">
        <v>4</v>
      </c>
      <c r="E698" s="24" t="s">
        <v>385</v>
      </c>
      <c r="F698" s="24" t="s">
        <v>386</v>
      </c>
      <c r="G698" s="24" t="s">
        <v>277</v>
      </c>
      <c r="H698" s="30" t="s">
        <v>79</v>
      </c>
    </row>
    <row r="699" ht="20" customHeight="1" spans="1:8" x14ac:dyDescent="0.25">
      <c r="A699" s="22" t="s">
        <v>55</v>
      </c>
      <c r="B699" s="22" t="s">
        <v>36</v>
      </c>
      <c r="C699" s="23" t="s">
        <v>71</v>
      </c>
      <c r="D699" s="6" t="s">
        <v>4</v>
      </c>
      <c r="E699" s="22" t="s">
        <v>1701</v>
      </c>
      <c r="F699" s="22" t="s">
        <v>293</v>
      </c>
      <c r="G699" s="22" t="s">
        <v>1702</v>
      </c>
      <c r="H699" s="29" t="s">
        <v>1703</v>
      </c>
    </row>
    <row r="700" ht="20" customHeight="1" spans="1:8" x14ac:dyDescent="0.25">
      <c r="A700" s="24" t="s">
        <v>56</v>
      </c>
      <c r="B700" s="24" t="s">
        <v>38</v>
      </c>
      <c r="C700" s="25" t="s">
        <v>71</v>
      </c>
      <c r="D700" s="6" t="s">
        <v>4</v>
      </c>
      <c r="E700" s="24" t="s">
        <v>567</v>
      </c>
      <c r="F700" s="24" t="s">
        <v>395</v>
      </c>
      <c r="G700" s="24" t="s">
        <v>263</v>
      </c>
      <c r="H700" s="30" t="s">
        <v>79</v>
      </c>
    </row>
    <row r="701" ht="20" customHeight="1" spans="1:8" x14ac:dyDescent="0.25">
      <c r="A701" s="22" t="s">
        <v>57</v>
      </c>
      <c r="B701" s="22" t="s">
        <v>40</v>
      </c>
      <c r="C701" s="23" t="s">
        <v>71</v>
      </c>
      <c r="D701" s="6" t="s">
        <v>4</v>
      </c>
      <c r="E701" s="22" t="s">
        <v>1433</v>
      </c>
      <c r="F701" s="22" t="s">
        <v>293</v>
      </c>
      <c r="G701" s="22" t="s">
        <v>203</v>
      </c>
      <c r="H701" s="32" t="s">
        <v>79</v>
      </c>
    </row>
    <row r="702" ht="20" customHeight="1" spans="1:8" x14ac:dyDescent="0.25">
      <c r="A702" s="24" t="s">
        <v>58</v>
      </c>
      <c r="B702" s="24" t="s">
        <v>42</v>
      </c>
      <c r="C702" s="25" t="s">
        <v>71</v>
      </c>
      <c r="D702" s="33" t="s">
        <v>86</v>
      </c>
      <c r="E702" s="24" t="s">
        <v>12</v>
      </c>
      <c r="F702" s="24" t="s">
        <v>12</v>
      </c>
      <c r="G702" s="24" t="s">
        <v>12</v>
      </c>
      <c r="H702" s="24" t="s">
        <v>32</v>
      </c>
    </row>
    <row r="703" ht="20" customHeight="1" spans="1:8" x14ac:dyDescent="0.25">
      <c r="A703" s="22" t="s">
        <v>59</v>
      </c>
      <c r="B703" s="22" t="s">
        <v>45</v>
      </c>
      <c r="C703" s="23" t="s">
        <v>71</v>
      </c>
      <c r="D703" s="6" t="s">
        <v>4</v>
      </c>
      <c r="E703" s="22" t="s">
        <v>135</v>
      </c>
      <c r="F703" s="22" t="s">
        <v>398</v>
      </c>
      <c r="G703" s="22" t="s">
        <v>302</v>
      </c>
      <c r="H703" s="32" t="s">
        <v>79</v>
      </c>
    </row>
    <row r="704" ht="20" customHeight="1" spans="1:8" x14ac:dyDescent="0.25">
      <c r="A704" s="24" t="s">
        <v>60</v>
      </c>
      <c r="B704" s="24" t="s">
        <v>31</v>
      </c>
      <c r="C704" s="25" t="s">
        <v>71</v>
      </c>
      <c r="D704" s="6" t="s">
        <v>4</v>
      </c>
      <c r="E704" s="24" t="s">
        <v>437</v>
      </c>
      <c r="F704" s="24" t="s">
        <v>293</v>
      </c>
      <c r="G704" s="24" t="s">
        <v>659</v>
      </c>
      <c r="H704" s="30" t="s">
        <v>79</v>
      </c>
    </row>
    <row r="705" ht="20" customHeight="1" spans="1:8" x14ac:dyDescent="0.25">
      <c r="A705" s="22" t="s">
        <v>61</v>
      </c>
      <c r="B705" s="22" t="s">
        <v>34</v>
      </c>
      <c r="C705" s="23" t="s">
        <v>71</v>
      </c>
      <c r="D705" s="6" t="s">
        <v>4</v>
      </c>
      <c r="E705" s="22" t="s">
        <v>446</v>
      </c>
      <c r="F705" s="22" t="s">
        <v>384</v>
      </c>
      <c r="G705" s="22" t="s">
        <v>142</v>
      </c>
      <c r="H705" s="32" t="s">
        <v>79</v>
      </c>
    </row>
    <row r="706" ht="20" customHeight="1" spans="1:8" x14ac:dyDescent="0.25">
      <c r="A706" s="24" t="s">
        <v>62</v>
      </c>
      <c r="B706" s="24" t="s">
        <v>36</v>
      </c>
      <c r="C706" s="25" t="s">
        <v>71</v>
      </c>
      <c r="D706" s="6" t="s">
        <v>4</v>
      </c>
      <c r="E706" s="24" t="s">
        <v>405</v>
      </c>
      <c r="F706" s="24" t="s">
        <v>321</v>
      </c>
      <c r="G706" s="24" t="s">
        <v>410</v>
      </c>
      <c r="H706" s="30" t="s">
        <v>79</v>
      </c>
    </row>
    <row r="707" ht="20" customHeight="1" spans="1:8" x14ac:dyDescent="0.25">
      <c r="A707" s="22" t="s">
        <v>63</v>
      </c>
      <c r="B707" s="22" t="s">
        <v>38</v>
      </c>
      <c r="C707" s="23" t="s">
        <v>71</v>
      </c>
      <c r="D707" s="6" t="s">
        <v>4</v>
      </c>
      <c r="E707" s="22" t="s">
        <v>228</v>
      </c>
      <c r="F707" s="22" t="s">
        <v>136</v>
      </c>
      <c r="G707" s="22" t="s">
        <v>328</v>
      </c>
      <c r="H707" s="29" t="s">
        <v>229</v>
      </c>
    </row>
    <row r="708" ht="20" customHeight="1" spans="1:8" x14ac:dyDescent="0.25">
      <c r="A708" s="24" t="s">
        <v>64</v>
      </c>
      <c r="B708" s="24" t="s">
        <v>40</v>
      </c>
      <c r="C708" s="25" t="s">
        <v>71</v>
      </c>
      <c r="D708" s="10" t="s">
        <v>87</v>
      </c>
      <c r="E708" s="24" t="s">
        <v>12</v>
      </c>
      <c r="F708" s="24" t="s">
        <v>12</v>
      </c>
      <c r="G708" s="24" t="s">
        <v>12</v>
      </c>
      <c r="H708" s="24" t="s">
        <v>32</v>
      </c>
    </row>
    <row r="709" ht="20" customHeight="1" spans="1:8" x14ac:dyDescent="0.25">
      <c r="A709" s="22" t="s">
        <v>65</v>
      </c>
      <c r="B709" s="22" t="s">
        <v>42</v>
      </c>
      <c r="C709" s="23" t="s">
        <v>71</v>
      </c>
      <c r="D709" s="10" t="s">
        <v>87</v>
      </c>
      <c r="E709" s="22" t="s">
        <v>12</v>
      </c>
      <c r="F709" s="22" t="s">
        <v>12</v>
      </c>
      <c r="G709" s="22" t="s">
        <v>12</v>
      </c>
      <c r="H709" s="22" t="s">
        <v>32</v>
      </c>
    </row>
    <row r="710" ht="20" customHeight="1" spans="1:8" x14ac:dyDescent="0.25">
      <c r="A710" s="24" t="s">
        <v>66</v>
      </c>
      <c r="B710" s="24" t="s">
        <v>45</v>
      </c>
      <c r="C710" s="25" t="s">
        <v>71</v>
      </c>
      <c r="D710" s="10" t="s">
        <v>87</v>
      </c>
      <c r="E710" s="24" t="s">
        <v>12</v>
      </c>
      <c r="F710" s="24" t="s">
        <v>12</v>
      </c>
      <c r="G710" s="24" t="s">
        <v>12</v>
      </c>
      <c r="H710" s="24" t="s">
        <v>32</v>
      </c>
    </row>
    <row r="711" ht="20" customHeight="1" spans="1:8" x14ac:dyDescent="0.25">
      <c r="A711" s="22" t="s">
        <v>67</v>
      </c>
      <c r="B711" s="22" t="s">
        <v>31</v>
      </c>
      <c r="C711" s="23" t="s">
        <v>71</v>
      </c>
      <c r="D711" s="6" t="s">
        <v>4</v>
      </c>
      <c r="E711" s="22" t="s">
        <v>320</v>
      </c>
      <c r="F711" s="22" t="s">
        <v>374</v>
      </c>
      <c r="G711" s="22" t="s">
        <v>261</v>
      </c>
      <c r="H711" s="32" t="s">
        <v>79</v>
      </c>
    </row>
    <row r="712" ht="20" customHeight="1" spans="1:8" x14ac:dyDescent="0.25">
      <c r="A712" s="24" t="s">
        <v>68</v>
      </c>
      <c r="B712" s="24" t="s">
        <v>34</v>
      </c>
      <c r="C712" s="25" t="s">
        <v>71</v>
      </c>
      <c r="D712" s="6" t="s">
        <v>4</v>
      </c>
      <c r="E712" s="24" t="s">
        <v>774</v>
      </c>
      <c r="F712" s="24" t="s">
        <v>276</v>
      </c>
      <c r="G712" s="24" t="s">
        <v>147</v>
      </c>
      <c r="H712" s="30" t="s">
        <v>79</v>
      </c>
    </row>
    <row r="713" ht="22" customHeight="1" spans="1:8" x14ac:dyDescent="0.25">
      <c r="A713" s="26" t="s">
        <v>69</v>
      </c>
      <c r="B713" s="26"/>
      <c r="C713" s="26"/>
      <c r="D713" s="26"/>
      <c r="E713" s="26"/>
      <c r="F713" s="26"/>
      <c r="G713" s="27" t="s">
        <v>1704</v>
      </c>
      <c r="H713" s="28" t="s">
        <v>12</v>
      </c>
    </row>
    <row r="715" ht="26" customHeight="1" spans="1:8" x14ac:dyDescent="0.25">
      <c r="A715" s="20" t="s">
        <v>1705</v>
      </c>
      <c r="B715" s="20"/>
      <c r="C715" s="20"/>
      <c r="D715" s="20"/>
      <c r="E715" s="20"/>
      <c r="F715" s="20"/>
      <c r="G715" s="20"/>
      <c r="H715" s="20"/>
    </row>
    <row r="716" ht="22" customHeight="1" spans="1:8" x14ac:dyDescent="0.25">
      <c r="A716" s="21" t="s">
        <v>22</v>
      </c>
      <c r="B716" s="21" t="s">
        <v>23</v>
      </c>
      <c r="C716" s="21" t="s">
        <v>24</v>
      </c>
      <c r="D716" s="21" t="s">
        <v>25</v>
      </c>
      <c r="E716" s="21" t="s">
        <v>26</v>
      </c>
      <c r="F716" s="21" t="s">
        <v>27</v>
      </c>
      <c r="G716" s="21" t="s">
        <v>28</v>
      </c>
      <c r="H716" s="21" t="s">
        <v>29</v>
      </c>
    </row>
    <row r="717" ht="20" customHeight="1" spans="1:8" x14ac:dyDescent="0.25">
      <c r="A717" s="22" t="s">
        <v>30</v>
      </c>
      <c r="B717" s="22" t="s">
        <v>31</v>
      </c>
      <c r="C717" s="23" t="s">
        <v>71</v>
      </c>
      <c r="D717" s="6" t="s">
        <v>4</v>
      </c>
      <c r="E717" s="22" t="s">
        <v>152</v>
      </c>
      <c r="F717" s="22" t="s">
        <v>12</v>
      </c>
      <c r="G717" s="22" t="s">
        <v>12</v>
      </c>
      <c r="H717" s="29" t="s">
        <v>155</v>
      </c>
    </row>
    <row r="718" ht="20" customHeight="1" spans="1:8" x14ac:dyDescent="0.25">
      <c r="A718" s="24" t="s">
        <v>33</v>
      </c>
      <c r="B718" s="24" t="s">
        <v>34</v>
      </c>
      <c r="C718" s="25" t="s">
        <v>71</v>
      </c>
      <c r="D718" s="6" t="s">
        <v>4</v>
      </c>
      <c r="E718" s="24" t="s">
        <v>173</v>
      </c>
      <c r="F718" s="24" t="s">
        <v>193</v>
      </c>
      <c r="G718" s="24" t="s">
        <v>194</v>
      </c>
      <c r="H718" s="34" t="s">
        <v>175</v>
      </c>
    </row>
    <row r="719" ht="20" customHeight="1" spans="1:8" x14ac:dyDescent="0.25">
      <c r="A719" s="22" t="s">
        <v>35</v>
      </c>
      <c r="B719" s="22" t="s">
        <v>36</v>
      </c>
      <c r="C719" s="23" t="s">
        <v>71</v>
      </c>
      <c r="D719" s="6" t="s">
        <v>4</v>
      </c>
      <c r="E719" s="22" t="s">
        <v>216</v>
      </c>
      <c r="F719" s="22" t="s">
        <v>96</v>
      </c>
      <c r="G719" s="22" t="s">
        <v>142</v>
      </c>
      <c r="H719" s="29" t="s">
        <v>217</v>
      </c>
    </row>
    <row r="720" ht="20" customHeight="1" spans="1:8" x14ac:dyDescent="0.25">
      <c r="A720" s="24" t="s">
        <v>37</v>
      </c>
      <c r="B720" s="24" t="s">
        <v>38</v>
      </c>
      <c r="C720" s="25" t="s">
        <v>71</v>
      </c>
      <c r="D720" s="31" t="s">
        <v>11</v>
      </c>
      <c r="E720" s="24" t="s">
        <v>12</v>
      </c>
      <c r="F720" s="24" t="s">
        <v>12</v>
      </c>
      <c r="G720" s="24" t="s">
        <v>12</v>
      </c>
      <c r="H720" s="24" t="s">
        <v>32</v>
      </c>
    </row>
    <row r="721" ht="20" customHeight="1" spans="1:8" x14ac:dyDescent="0.25">
      <c r="A721" s="22" t="s">
        <v>39</v>
      </c>
      <c r="B721" s="22" t="s">
        <v>40</v>
      </c>
      <c r="C721" s="23" t="s">
        <v>71</v>
      </c>
      <c r="D721" s="6" t="s">
        <v>4</v>
      </c>
      <c r="E721" s="22" t="s">
        <v>224</v>
      </c>
      <c r="F721" s="22" t="s">
        <v>107</v>
      </c>
      <c r="G721" s="22" t="s">
        <v>277</v>
      </c>
      <c r="H721" s="29" t="s">
        <v>227</v>
      </c>
    </row>
    <row r="722" ht="20" customHeight="1" spans="1:8" x14ac:dyDescent="0.25">
      <c r="A722" s="24" t="s">
        <v>41</v>
      </c>
      <c r="B722" s="24" t="s">
        <v>42</v>
      </c>
      <c r="C722" s="25" t="s">
        <v>71</v>
      </c>
      <c r="D722" s="33" t="s">
        <v>86</v>
      </c>
      <c r="E722" s="24" t="s">
        <v>12</v>
      </c>
      <c r="F722" s="24" t="s">
        <v>12</v>
      </c>
      <c r="G722" s="24" t="s">
        <v>12</v>
      </c>
      <c r="H722" s="24" t="s">
        <v>32</v>
      </c>
    </row>
    <row r="723" ht="20" customHeight="1" spans="1:8" x14ac:dyDescent="0.25">
      <c r="A723" s="22" t="s">
        <v>44</v>
      </c>
      <c r="B723" s="22" t="s">
        <v>45</v>
      </c>
      <c r="C723" s="23" t="s">
        <v>71</v>
      </c>
      <c r="D723" s="6" t="s">
        <v>4</v>
      </c>
      <c r="E723" s="22" t="s">
        <v>755</v>
      </c>
      <c r="F723" s="22" t="s">
        <v>157</v>
      </c>
      <c r="G723" s="22" t="s">
        <v>267</v>
      </c>
      <c r="H723" s="29" t="s">
        <v>756</v>
      </c>
    </row>
    <row r="724" ht="20" customHeight="1" spans="1:8" x14ac:dyDescent="0.25">
      <c r="A724" s="24" t="s">
        <v>46</v>
      </c>
      <c r="B724" s="24" t="s">
        <v>31</v>
      </c>
      <c r="C724" s="25" t="s">
        <v>71</v>
      </c>
      <c r="D724" s="6" t="s">
        <v>4</v>
      </c>
      <c r="E724" s="24" t="s">
        <v>176</v>
      </c>
      <c r="F724" s="24" t="s">
        <v>641</v>
      </c>
      <c r="G724" s="24" t="s">
        <v>410</v>
      </c>
      <c r="H724" s="34" t="s">
        <v>178</v>
      </c>
    </row>
    <row r="725" ht="20" customHeight="1" spans="1:8" x14ac:dyDescent="0.25">
      <c r="A725" s="22" t="s">
        <v>47</v>
      </c>
      <c r="B725" s="22" t="s">
        <v>34</v>
      </c>
      <c r="C725" s="23" t="s">
        <v>71</v>
      </c>
      <c r="D725" s="6" t="s">
        <v>4</v>
      </c>
      <c r="E725" s="22" t="s">
        <v>169</v>
      </c>
      <c r="F725" s="22" t="s">
        <v>126</v>
      </c>
      <c r="G725" s="22" t="s">
        <v>290</v>
      </c>
      <c r="H725" s="29" t="s">
        <v>1706</v>
      </c>
    </row>
    <row r="726" ht="20" customHeight="1" spans="1:8" x14ac:dyDescent="0.25">
      <c r="A726" s="24" t="s">
        <v>48</v>
      </c>
      <c r="B726" s="24" t="s">
        <v>36</v>
      </c>
      <c r="C726" s="25" t="s">
        <v>71</v>
      </c>
      <c r="D726" s="6" t="s">
        <v>4</v>
      </c>
      <c r="E726" s="24" t="s">
        <v>167</v>
      </c>
      <c r="F726" s="24" t="s">
        <v>1121</v>
      </c>
      <c r="G726" s="24" t="s">
        <v>142</v>
      </c>
      <c r="H726" s="34" t="s">
        <v>168</v>
      </c>
    </row>
    <row r="727" ht="20" customHeight="1" spans="1:8" x14ac:dyDescent="0.25">
      <c r="A727" s="22" t="s">
        <v>49</v>
      </c>
      <c r="B727" s="22" t="s">
        <v>38</v>
      </c>
      <c r="C727" s="23" t="s">
        <v>71</v>
      </c>
      <c r="D727" s="6" t="s">
        <v>4</v>
      </c>
      <c r="E727" s="22" t="s">
        <v>466</v>
      </c>
      <c r="F727" s="22" t="s">
        <v>1121</v>
      </c>
      <c r="G727" s="22" t="s">
        <v>174</v>
      </c>
      <c r="H727" s="29" t="s">
        <v>468</v>
      </c>
    </row>
    <row r="728" ht="20" customHeight="1" spans="1:8" x14ac:dyDescent="0.25">
      <c r="A728" s="24" t="s">
        <v>50</v>
      </c>
      <c r="B728" s="24" t="s">
        <v>40</v>
      </c>
      <c r="C728" s="25" t="s">
        <v>71</v>
      </c>
      <c r="D728" s="33" t="s">
        <v>86</v>
      </c>
      <c r="E728" s="24" t="s">
        <v>1215</v>
      </c>
      <c r="F728" s="24" t="s">
        <v>1707</v>
      </c>
      <c r="G728" s="24" t="s">
        <v>1708</v>
      </c>
      <c r="H728" s="30" t="s">
        <v>79</v>
      </c>
    </row>
    <row r="729" ht="20" customHeight="1" spans="1:8" x14ac:dyDescent="0.25">
      <c r="A729" s="22" t="s">
        <v>51</v>
      </c>
      <c r="B729" s="22" t="s">
        <v>42</v>
      </c>
      <c r="C729" s="23" t="s">
        <v>71</v>
      </c>
      <c r="D729" s="35" t="s">
        <v>86</v>
      </c>
      <c r="E729" s="22" t="s">
        <v>12</v>
      </c>
      <c r="F729" s="22" t="s">
        <v>12</v>
      </c>
      <c r="G729" s="22" t="s">
        <v>12</v>
      </c>
      <c r="H729" s="22" t="s">
        <v>32</v>
      </c>
    </row>
    <row r="730" ht="20" customHeight="1" spans="1:8" x14ac:dyDescent="0.25">
      <c r="A730" s="24" t="s">
        <v>52</v>
      </c>
      <c r="B730" s="24" t="s">
        <v>45</v>
      </c>
      <c r="C730" s="25" t="s">
        <v>71</v>
      </c>
      <c r="D730" s="6" t="s">
        <v>4</v>
      </c>
      <c r="E730" s="24" t="s">
        <v>159</v>
      </c>
      <c r="F730" s="24" t="s">
        <v>1421</v>
      </c>
      <c r="G730" s="24" t="s">
        <v>285</v>
      </c>
      <c r="H730" s="30" t="s">
        <v>79</v>
      </c>
    </row>
    <row r="731" ht="20" customHeight="1" spans="1:8" x14ac:dyDescent="0.25">
      <c r="A731" s="22" t="s">
        <v>53</v>
      </c>
      <c r="B731" s="22" t="s">
        <v>31</v>
      </c>
      <c r="C731" s="23" t="s">
        <v>71</v>
      </c>
      <c r="D731" s="6" t="s">
        <v>4</v>
      </c>
      <c r="E731" s="22" t="s">
        <v>163</v>
      </c>
      <c r="F731" s="22" t="s">
        <v>170</v>
      </c>
      <c r="G731" s="22" t="s">
        <v>174</v>
      </c>
      <c r="H731" s="29" t="s">
        <v>166</v>
      </c>
    </row>
    <row r="732" ht="20" customHeight="1" spans="1:8" x14ac:dyDescent="0.25">
      <c r="A732" s="24" t="s">
        <v>54</v>
      </c>
      <c r="B732" s="24" t="s">
        <v>34</v>
      </c>
      <c r="C732" s="25" t="s">
        <v>71</v>
      </c>
      <c r="D732" s="6" t="s">
        <v>4</v>
      </c>
      <c r="E732" s="24" t="s">
        <v>359</v>
      </c>
      <c r="F732" s="24" t="s">
        <v>772</v>
      </c>
      <c r="G732" s="24" t="s">
        <v>410</v>
      </c>
      <c r="H732" s="34" t="s">
        <v>360</v>
      </c>
    </row>
    <row r="733" ht="20" customHeight="1" spans="1:8" x14ac:dyDescent="0.25">
      <c r="A733" s="22" t="s">
        <v>55</v>
      </c>
      <c r="B733" s="22" t="s">
        <v>36</v>
      </c>
      <c r="C733" s="23" t="s">
        <v>71</v>
      </c>
      <c r="D733" s="6" t="s">
        <v>4</v>
      </c>
      <c r="E733" s="22" t="s">
        <v>262</v>
      </c>
      <c r="F733" s="22" t="s">
        <v>179</v>
      </c>
      <c r="G733" s="22" t="s">
        <v>290</v>
      </c>
      <c r="H733" s="29" t="s">
        <v>264</v>
      </c>
    </row>
    <row r="734" ht="20" customHeight="1" spans="1:8" x14ac:dyDescent="0.25">
      <c r="A734" s="24" t="s">
        <v>56</v>
      </c>
      <c r="B734" s="24" t="s">
        <v>38</v>
      </c>
      <c r="C734" s="25" t="s">
        <v>71</v>
      </c>
      <c r="D734" s="6" t="s">
        <v>4</v>
      </c>
      <c r="E734" s="24" t="s">
        <v>159</v>
      </c>
      <c r="F734" s="24" t="s">
        <v>641</v>
      </c>
      <c r="G734" s="24" t="s">
        <v>414</v>
      </c>
      <c r="H734" s="34" t="s">
        <v>162</v>
      </c>
    </row>
    <row r="735" ht="20" customHeight="1" spans="1:8" x14ac:dyDescent="0.25">
      <c r="A735" s="22" t="s">
        <v>57</v>
      </c>
      <c r="B735" s="22" t="s">
        <v>40</v>
      </c>
      <c r="C735" s="23" t="s">
        <v>71</v>
      </c>
      <c r="D735" s="6" t="s">
        <v>4</v>
      </c>
      <c r="E735" s="22" t="s">
        <v>755</v>
      </c>
      <c r="F735" s="22" t="s">
        <v>213</v>
      </c>
      <c r="G735" s="22" t="s">
        <v>574</v>
      </c>
      <c r="H735" s="29" t="s">
        <v>756</v>
      </c>
    </row>
    <row r="736" ht="20" customHeight="1" spans="1:8" x14ac:dyDescent="0.25">
      <c r="A736" s="24" t="s">
        <v>58</v>
      </c>
      <c r="B736" s="24" t="s">
        <v>42</v>
      </c>
      <c r="C736" s="25" t="s">
        <v>71</v>
      </c>
      <c r="D736" s="33" t="s">
        <v>86</v>
      </c>
      <c r="E736" s="24" t="s">
        <v>12</v>
      </c>
      <c r="F736" s="24" t="s">
        <v>12</v>
      </c>
      <c r="G736" s="24" t="s">
        <v>12</v>
      </c>
      <c r="H736" s="24" t="s">
        <v>32</v>
      </c>
    </row>
    <row r="737" ht="20" customHeight="1" spans="1:8" x14ac:dyDescent="0.25">
      <c r="A737" s="22" t="s">
        <v>59</v>
      </c>
      <c r="B737" s="22" t="s">
        <v>45</v>
      </c>
      <c r="C737" s="23" t="s">
        <v>71</v>
      </c>
      <c r="D737" s="6" t="s">
        <v>4</v>
      </c>
      <c r="E737" s="22" t="s">
        <v>979</v>
      </c>
      <c r="F737" s="22" t="s">
        <v>12</v>
      </c>
      <c r="G737" s="22" t="s">
        <v>12</v>
      </c>
      <c r="H737" s="29" t="s">
        <v>982</v>
      </c>
    </row>
    <row r="738" ht="20" customHeight="1" spans="1:8" x14ac:dyDescent="0.25">
      <c r="A738" s="24" t="s">
        <v>60</v>
      </c>
      <c r="B738" s="24" t="s">
        <v>31</v>
      </c>
      <c r="C738" s="25" t="s">
        <v>71</v>
      </c>
      <c r="D738" s="6" t="s">
        <v>4</v>
      </c>
      <c r="E738" s="24" t="s">
        <v>359</v>
      </c>
      <c r="F738" s="24" t="s">
        <v>345</v>
      </c>
      <c r="G738" s="24" t="s">
        <v>171</v>
      </c>
      <c r="H738" s="34" t="s">
        <v>360</v>
      </c>
    </row>
    <row r="739" ht="20" customHeight="1" spans="1:8" x14ac:dyDescent="0.25">
      <c r="A739" s="22" t="s">
        <v>61</v>
      </c>
      <c r="B739" s="22" t="s">
        <v>34</v>
      </c>
      <c r="C739" s="23" t="s">
        <v>71</v>
      </c>
      <c r="D739" s="6" t="s">
        <v>4</v>
      </c>
      <c r="E739" s="22" t="s">
        <v>196</v>
      </c>
      <c r="F739" s="22" t="s">
        <v>370</v>
      </c>
      <c r="G739" s="22" t="s">
        <v>285</v>
      </c>
      <c r="H739" s="29" t="s">
        <v>198</v>
      </c>
    </row>
    <row r="740" ht="20" customHeight="1" spans="1:8" x14ac:dyDescent="0.25">
      <c r="A740" s="24" t="s">
        <v>62</v>
      </c>
      <c r="B740" s="24" t="s">
        <v>36</v>
      </c>
      <c r="C740" s="25" t="s">
        <v>71</v>
      </c>
      <c r="D740" s="6" t="s">
        <v>4</v>
      </c>
      <c r="E740" s="24" t="s">
        <v>163</v>
      </c>
      <c r="F740" s="24" t="s">
        <v>641</v>
      </c>
      <c r="G740" s="24" t="s">
        <v>161</v>
      </c>
      <c r="H740" s="34" t="s">
        <v>166</v>
      </c>
    </row>
    <row r="741" ht="20" customHeight="1" spans="1:8" x14ac:dyDescent="0.25">
      <c r="A741" s="22" t="s">
        <v>63</v>
      </c>
      <c r="B741" s="22" t="s">
        <v>38</v>
      </c>
      <c r="C741" s="23" t="s">
        <v>71</v>
      </c>
      <c r="D741" s="6" t="s">
        <v>4</v>
      </c>
      <c r="E741" s="22" t="s">
        <v>205</v>
      </c>
      <c r="F741" s="22" t="s">
        <v>107</v>
      </c>
      <c r="G741" s="22" t="s">
        <v>290</v>
      </c>
      <c r="H741" s="29" t="s">
        <v>207</v>
      </c>
    </row>
    <row r="742" ht="20" customHeight="1" spans="1:8" x14ac:dyDescent="0.25">
      <c r="A742" s="24" t="s">
        <v>64</v>
      </c>
      <c r="B742" s="24" t="s">
        <v>40</v>
      </c>
      <c r="C742" s="25" t="s">
        <v>71</v>
      </c>
      <c r="D742" s="6" t="s">
        <v>4</v>
      </c>
      <c r="E742" s="24" t="s">
        <v>239</v>
      </c>
      <c r="F742" s="24" t="s">
        <v>164</v>
      </c>
      <c r="G742" s="24" t="s">
        <v>285</v>
      </c>
      <c r="H742" s="34" t="s">
        <v>241</v>
      </c>
    </row>
    <row r="743" ht="20" customHeight="1" spans="1:8" x14ac:dyDescent="0.25">
      <c r="A743" s="22" t="s">
        <v>65</v>
      </c>
      <c r="B743" s="22" t="s">
        <v>42</v>
      </c>
      <c r="C743" s="23" t="s">
        <v>71</v>
      </c>
      <c r="D743" s="35" t="s">
        <v>86</v>
      </c>
      <c r="E743" s="22" t="s">
        <v>12</v>
      </c>
      <c r="F743" s="22" t="s">
        <v>12</v>
      </c>
      <c r="G743" s="22" t="s">
        <v>12</v>
      </c>
      <c r="H743" s="22" t="s">
        <v>32</v>
      </c>
    </row>
    <row r="744" ht="20" customHeight="1" spans="1:8" x14ac:dyDescent="0.25">
      <c r="A744" s="24" t="s">
        <v>66</v>
      </c>
      <c r="B744" s="24" t="s">
        <v>45</v>
      </c>
      <c r="C744" s="25" t="s">
        <v>71</v>
      </c>
      <c r="D744" s="6" t="s">
        <v>4</v>
      </c>
      <c r="E744" s="24" t="s">
        <v>359</v>
      </c>
      <c r="F744" s="24" t="s">
        <v>1421</v>
      </c>
      <c r="G744" s="24" t="s">
        <v>154</v>
      </c>
      <c r="H744" s="34" t="s">
        <v>360</v>
      </c>
    </row>
    <row r="745" ht="20" customHeight="1" spans="1:8" x14ac:dyDescent="0.25">
      <c r="A745" s="22" t="s">
        <v>67</v>
      </c>
      <c r="B745" s="22" t="s">
        <v>31</v>
      </c>
      <c r="C745" s="23" t="s">
        <v>71</v>
      </c>
      <c r="D745" s="6" t="s">
        <v>4</v>
      </c>
      <c r="E745" s="22" t="s">
        <v>932</v>
      </c>
      <c r="F745" s="22" t="s">
        <v>209</v>
      </c>
      <c r="G745" s="22" t="s">
        <v>505</v>
      </c>
      <c r="H745" s="29" t="s">
        <v>935</v>
      </c>
    </row>
    <row r="746" ht="20" customHeight="1" spans="1:8" x14ac:dyDescent="0.25">
      <c r="A746" s="24" t="s">
        <v>68</v>
      </c>
      <c r="B746" s="24" t="s">
        <v>34</v>
      </c>
      <c r="C746" s="25" t="s">
        <v>71</v>
      </c>
      <c r="D746" s="6" t="s">
        <v>4</v>
      </c>
      <c r="E746" s="24" t="s">
        <v>216</v>
      </c>
      <c r="F746" s="24" t="s">
        <v>641</v>
      </c>
      <c r="G746" s="24" t="s">
        <v>177</v>
      </c>
      <c r="H746" s="34" t="s">
        <v>217</v>
      </c>
    </row>
    <row r="747" ht="22" customHeight="1" spans="1:8" x14ac:dyDescent="0.25">
      <c r="A747" s="26" t="s">
        <v>69</v>
      </c>
      <c r="B747" s="26"/>
      <c r="C747" s="26"/>
      <c r="D747" s="26"/>
      <c r="E747" s="26"/>
      <c r="F747" s="26"/>
      <c r="G747" s="27" t="s">
        <v>1709</v>
      </c>
      <c r="H747" s="28" t="s">
        <v>12</v>
      </c>
    </row>
    <row r="749" ht="26" customHeight="1" spans="1:8" x14ac:dyDescent="0.25">
      <c r="A749" s="20" t="s">
        <v>1710</v>
      </c>
      <c r="B749" s="20"/>
      <c r="C749" s="20"/>
      <c r="D749" s="20"/>
      <c r="E749" s="20"/>
      <c r="F749" s="20"/>
      <c r="G749" s="20"/>
      <c r="H749" s="20"/>
    </row>
    <row r="750" ht="22" customHeight="1" spans="1:8" x14ac:dyDescent="0.25">
      <c r="A750" s="21" t="s">
        <v>22</v>
      </c>
      <c r="B750" s="21" t="s">
        <v>23</v>
      </c>
      <c r="C750" s="21" t="s">
        <v>24</v>
      </c>
      <c r="D750" s="21" t="s">
        <v>25</v>
      </c>
      <c r="E750" s="21" t="s">
        <v>26</v>
      </c>
      <c r="F750" s="21" t="s">
        <v>27</v>
      </c>
      <c r="G750" s="21" t="s">
        <v>28</v>
      </c>
      <c r="H750" s="21" t="s">
        <v>29</v>
      </c>
    </row>
    <row r="751" ht="20" customHeight="1" spans="1:8" x14ac:dyDescent="0.25">
      <c r="A751" s="22" t="s">
        <v>30</v>
      </c>
      <c r="B751" s="22" t="s">
        <v>31</v>
      </c>
      <c r="C751" s="23" t="s">
        <v>71</v>
      </c>
      <c r="D751" s="6" t="s">
        <v>4</v>
      </c>
      <c r="E751" s="22" t="s">
        <v>1436</v>
      </c>
      <c r="F751" s="22" t="s">
        <v>1443</v>
      </c>
      <c r="G751" s="22" t="s">
        <v>414</v>
      </c>
      <c r="H751" s="29" t="s">
        <v>1437</v>
      </c>
    </row>
    <row r="752" ht="20" customHeight="1" spans="1:8" x14ac:dyDescent="0.25">
      <c r="A752" s="24" t="s">
        <v>33</v>
      </c>
      <c r="B752" s="24" t="s">
        <v>34</v>
      </c>
      <c r="C752" s="25" t="s">
        <v>71</v>
      </c>
      <c r="D752" s="6" t="s">
        <v>4</v>
      </c>
      <c r="E752" s="24" t="s">
        <v>330</v>
      </c>
      <c r="F752" s="24" t="s">
        <v>750</v>
      </c>
      <c r="G752" s="24" t="s">
        <v>165</v>
      </c>
      <c r="H752" s="34" t="s">
        <v>333</v>
      </c>
    </row>
    <row r="753" ht="20" customHeight="1" spans="1:8" x14ac:dyDescent="0.25">
      <c r="A753" s="22" t="s">
        <v>35</v>
      </c>
      <c r="B753" s="22" t="s">
        <v>36</v>
      </c>
      <c r="C753" s="23" t="s">
        <v>71</v>
      </c>
      <c r="D753" s="6" t="s">
        <v>4</v>
      </c>
      <c r="E753" s="22" t="s">
        <v>1273</v>
      </c>
      <c r="F753" s="22" t="s">
        <v>748</v>
      </c>
      <c r="G753" s="22" t="s">
        <v>614</v>
      </c>
      <c r="H753" s="29" t="s">
        <v>1275</v>
      </c>
    </row>
    <row r="754" ht="20" customHeight="1" spans="1:8" x14ac:dyDescent="0.25">
      <c r="A754" s="24" t="s">
        <v>37</v>
      </c>
      <c r="B754" s="24" t="s">
        <v>38</v>
      </c>
      <c r="C754" s="25" t="s">
        <v>71</v>
      </c>
      <c r="D754" s="31" t="s">
        <v>11</v>
      </c>
      <c r="E754" s="24" t="s">
        <v>12</v>
      </c>
      <c r="F754" s="24" t="s">
        <v>12</v>
      </c>
      <c r="G754" s="24" t="s">
        <v>12</v>
      </c>
      <c r="H754" s="24" t="s">
        <v>32</v>
      </c>
    </row>
    <row r="755" ht="20" customHeight="1" spans="1:8" x14ac:dyDescent="0.25">
      <c r="A755" s="22" t="s">
        <v>39</v>
      </c>
      <c r="B755" s="22" t="s">
        <v>40</v>
      </c>
      <c r="C755" s="23" t="s">
        <v>71</v>
      </c>
      <c r="D755" s="6" t="s">
        <v>4</v>
      </c>
      <c r="E755" s="22" t="s">
        <v>176</v>
      </c>
      <c r="F755" s="22" t="s">
        <v>231</v>
      </c>
      <c r="G755" s="22" t="s">
        <v>393</v>
      </c>
      <c r="H755" s="29" t="s">
        <v>178</v>
      </c>
    </row>
    <row r="756" ht="20" customHeight="1" spans="1:8" x14ac:dyDescent="0.25">
      <c r="A756" s="24" t="s">
        <v>41</v>
      </c>
      <c r="B756" s="24" t="s">
        <v>42</v>
      </c>
      <c r="C756" s="25" t="s">
        <v>71</v>
      </c>
      <c r="D756" s="33" t="s">
        <v>86</v>
      </c>
      <c r="E756" s="24" t="s">
        <v>12</v>
      </c>
      <c r="F756" s="24" t="s">
        <v>12</v>
      </c>
      <c r="G756" s="24" t="s">
        <v>12</v>
      </c>
      <c r="H756" s="24" t="s">
        <v>32</v>
      </c>
    </row>
    <row r="757" ht="20" customHeight="1" spans="1:8" x14ac:dyDescent="0.25">
      <c r="A757" s="22" t="s">
        <v>44</v>
      </c>
      <c r="B757" s="22" t="s">
        <v>45</v>
      </c>
      <c r="C757" s="23" t="s">
        <v>71</v>
      </c>
      <c r="D757" s="6" t="s">
        <v>4</v>
      </c>
      <c r="E757" s="22" t="s">
        <v>330</v>
      </c>
      <c r="F757" s="22" t="s">
        <v>179</v>
      </c>
      <c r="G757" s="22" t="s">
        <v>226</v>
      </c>
      <c r="H757" s="29" t="s">
        <v>333</v>
      </c>
    </row>
    <row r="758" ht="20" customHeight="1" spans="1:8" x14ac:dyDescent="0.25">
      <c r="A758" s="24" t="s">
        <v>46</v>
      </c>
      <c r="B758" s="24" t="s">
        <v>31</v>
      </c>
      <c r="C758" s="25" t="s">
        <v>71</v>
      </c>
      <c r="D758" s="6" t="s">
        <v>4</v>
      </c>
      <c r="E758" s="24" t="s">
        <v>257</v>
      </c>
      <c r="F758" s="24" t="s">
        <v>338</v>
      </c>
      <c r="G758" s="24" t="s">
        <v>226</v>
      </c>
      <c r="H758" s="34" t="s">
        <v>260</v>
      </c>
    </row>
    <row r="759" ht="20" customHeight="1" spans="1:8" x14ac:dyDescent="0.25">
      <c r="A759" s="22" t="s">
        <v>47</v>
      </c>
      <c r="B759" s="22" t="s">
        <v>34</v>
      </c>
      <c r="C759" s="23" t="s">
        <v>71</v>
      </c>
      <c r="D759" s="6" t="s">
        <v>4</v>
      </c>
      <c r="E759" s="22" t="s">
        <v>457</v>
      </c>
      <c r="F759" s="22" t="s">
        <v>331</v>
      </c>
      <c r="G759" s="22" t="s">
        <v>99</v>
      </c>
      <c r="H759" s="29" t="s">
        <v>459</v>
      </c>
    </row>
    <row r="760" ht="20" customHeight="1" spans="1:8" x14ac:dyDescent="0.25">
      <c r="A760" s="24" t="s">
        <v>48</v>
      </c>
      <c r="B760" s="24" t="s">
        <v>36</v>
      </c>
      <c r="C760" s="25" t="s">
        <v>71</v>
      </c>
      <c r="D760" s="6" t="s">
        <v>4</v>
      </c>
      <c r="E760" s="24" t="s">
        <v>1286</v>
      </c>
      <c r="F760" s="24" t="s">
        <v>115</v>
      </c>
      <c r="G760" s="24" t="s">
        <v>505</v>
      </c>
      <c r="H760" s="34" t="s">
        <v>1287</v>
      </c>
    </row>
    <row r="761" ht="20" customHeight="1" spans="1:8" x14ac:dyDescent="0.25">
      <c r="A761" s="22" t="s">
        <v>49</v>
      </c>
      <c r="B761" s="22" t="s">
        <v>38</v>
      </c>
      <c r="C761" s="23" t="s">
        <v>71</v>
      </c>
      <c r="D761" s="6" t="s">
        <v>4</v>
      </c>
      <c r="E761" s="22" t="s">
        <v>938</v>
      </c>
      <c r="F761" s="22" t="s">
        <v>997</v>
      </c>
      <c r="G761" s="22" t="s">
        <v>240</v>
      </c>
      <c r="H761" s="29" t="s">
        <v>840</v>
      </c>
    </row>
    <row r="762" ht="20" customHeight="1" spans="1:8" x14ac:dyDescent="0.25">
      <c r="A762" s="24" t="s">
        <v>50</v>
      </c>
      <c r="B762" s="24" t="s">
        <v>40</v>
      </c>
      <c r="C762" s="25" t="s">
        <v>71</v>
      </c>
      <c r="D762" s="6" t="s">
        <v>4</v>
      </c>
      <c r="E762" s="24" t="s">
        <v>1711</v>
      </c>
      <c r="F762" s="24" t="s">
        <v>1614</v>
      </c>
      <c r="G762" s="24" t="s">
        <v>1712</v>
      </c>
      <c r="H762" s="34" t="s">
        <v>1713</v>
      </c>
    </row>
    <row r="763" ht="20" customHeight="1" spans="1:8" x14ac:dyDescent="0.25">
      <c r="A763" s="22" t="s">
        <v>51</v>
      </c>
      <c r="B763" s="22" t="s">
        <v>42</v>
      </c>
      <c r="C763" s="23" t="s">
        <v>71</v>
      </c>
      <c r="D763" s="35" t="s">
        <v>86</v>
      </c>
      <c r="E763" s="22" t="s">
        <v>12</v>
      </c>
      <c r="F763" s="22" t="s">
        <v>12</v>
      </c>
      <c r="G763" s="22" t="s">
        <v>12</v>
      </c>
      <c r="H763" s="22" t="s">
        <v>32</v>
      </c>
    </row>
    <row r="764" ht="20" customHeight="1" spans="1:8" x14ac:dyDescent="0.25">
      <c r="A764" s="24" t="s">
        <v>52</v>
      </c>
      <c r="B764" s="24" t="s">
        <v>45</v>
      </c>
      <c r="C764" s="25" t="s">
        <v>71</v>
      </c>
      <c r="D764" s="6" t="s">
        <v>4</v>
      </c>
      <c r="E764" s="24" t="s">
        <v>876</v>
      </c>
      <c r="F764" s="24" t="s">
        <v>1598</v>
      </c>
      <c r="G764" s="24" t="s">
        <v>81</v>
      </c>
      <c r="H764" s="34" t="s">
        <v>877</v>
      </c>
    </row>
    <row r="765" ht="20" customHeight="1" spans="1:8" x14ac:dyDescent="0.25">
      <c r="A765" s="22" t="s">
        <v>53</v>
      </c>
      <c r="B765" s="22" t="s">
        <v>31</v>
      </c>
      <c r="C765" s="23" t="s">
        <v>71</v>
      </c>
      <c r="D765" s="6" t="s">
        <v>4</v>
      </c>
      <c r="E765" s="22" t="s">
        <v>1117</v>
      </c>
      <c r="F765" s="22" t="s">
        <v>331</v>
      </c>
      <c r="G765" s="22" t="s">
        <v>475</v>
      </c>
      <c r="H765" s="29" t="s">
        <v>850</v>
      </c>
    </row>
    <row r="766" ht="20" customHeight="1" spans="1:8" x14ac:dyDescent="0.25">
      <c r="A766" s="24" t="s">
        <v>54</v>
      </c>
      <c r="B766" s="24" t="s">
        <v>34</v>
      </c>
      <c r="C766" s="25" t="s">
        <v>71</v>
      </c>
      <c r="D766" s="6" t="s">
        <v>4</v>
      </c>
      <c r="E766" s="24" t="s">
        <v>1210</v>
      </c>
      <c r="F766" s="24" t="s">
        <v>312</v>
      </c>
      <c r="G766" s="24" t="s">
        <v>99</v>
      </c>
      <c r="H766" s="34" t="s">
        <v>1212</v>
      </c>
    </row>
    <row r="767" ht="20" customHeight="1" spans="1:8" x14ac:dyDescent="0.25">
      <c r="A767" s="22" t="s">
        <v>55</v>
      </c>
      <c r="B767" s="22" t="s">
        <v>36</v>
      </c>
      <c r="C767" s="23" t="s">
        <v>71</v>
      </c>
      <c r="D767" s="6" t="s">
        <v>4</v>
      </c>
      <c r="E767" s="22" t="s">
        <v>923</v>
      </c>
      <c r="F767" s="22" t="s">
        <v>455</v>
      </c>
      <c r="G767" s="22" t="s">
        <v>277</v>
      </c>
      <c r="H767" s="29" t="s">
        <v>926</v>
      </c>
    </row>
    <row r="768" ht="20" customHeight="1" spans="1:8" x14ac:dyDescent="0.25">
      <c r="A768" s="24" t="s">
        <v>56</v>
      </c>
      <c r="B768" s="24" t="s">
        <v>38</v>
      </c>
      <c r="C768" s="25" t="s">
        <v>71</v>
      </c>
      <c r="D768" s="36" t="s">
        <v>1714</v>
      </c>
      <c r="E768" s="24" t="s">
        <v>1715</v>
      </c>
      <c r="F768" s="24" t="s">
        <v>761</v>
      </c>
      <c r="G768" s="24" t="s">
        <v>1716</v>
      </c>
      <c r="H768" s="34" t="s">
        <v>1717</v>
      </c>
    </row>
    <row r="769" ht="20" customHeight="1" spans="1:8" x14ac:dyDescent="0.25">
      <c r="A769" s="22" t="s">
        <v>57</v>
      </c>
      <c r="B769" s="22" t="s">
        <v>40</v>
      </c>
      <c r="C769" s="23" t="s">
        <v>71</v>
      </c>
      <c r="D769" s="6" t="s">
        <v>4</v>
      </c>
      <c r="E769" s="22" t="s">
        <v>454</v>
      </c>
      <c r="F769" s="22" t="s">
        <v>341</v>
      </c>
      <c r="G769" s="22" t="s">
        <v>240</v>
      </c>
      <c r="H769" s="29" t="s">
        <v>456</v>
      </c>
    </row>
    <row r="770" ht="20" customHeight="1" spans="1:8" x14ac:dyDescent="0.25">
      <c r="A770" s="24" t="s">
        <v>58</v>
      </c>
      <c r="B770" s="24" t="s">
        <v>42</v>
      </c>
      <c r="C770" s="25" t="s">
        <v>71</v>
      </c>
      <c r="D770" s="33" t="s">
        <v>86</v>
      </c>
      <c r="E770" s="24" t="s">
        <v>12</v>
      </c>
      <c r="F770" s="24" t="s">
        <v>12</v>
      </c>
      <c r="G770" s="24" t="s">
        <v>12</v>
      </c>
      <c r="H770" s="24" t="s">
        <v>32</v>
      </c>
    </row>
    <row r="771" ht="20" customHeight="1" spans="1:8" x14ac:dyDescent="0.25">
      <c r="A771" s="22" t="s">
        <v>59</v>
      </c>
      <c r="B771" s="22" t="s">
        <v>45</v>
      </c>
      <c r="C771" s="23" t="s">
        <v>71</v>
      </c>
      <c r="D771" s="6" t="s">
        <v>4</v>
      </c>
      <c r="E771" s="22" t="s">
        <v>411</v>
      </c>
      <c r="F771" s="22" t="s">
        <v>1497</v>
      </c>
      <c r="G771" s="22" t="s">
        <v>496</v>
      </c>
      <c r="H771" s="29" t="s">
        <v>537</v>
      </c>
    </row>
    <row r="772" ht="20" customHeight="1" spans="1:8" x14ac:dyDescent="0.25">
      <c r="A772" s="24" t="s">
        <v>60</v>
      </c>
      <c r="B772" s="24" t="s">
        <v>31</v>
      </c>
      <c r="C772" s="25" t="s">
        <v>71</v>
      </c>
      <c r="D772" s="6" t="s">
        <v>4</v>
      </c>
      <c r="E772" s="24" t="s">
        <v>1208</v>
      </c>
      <c r="F772" s="24" t="s">
        <v>202</v>
      </c>
      <c r="G772" s="24" t="s">
        <v>187</v>
      </c>
      <c r="H772" s="34" t="s">
        <v>1209</v>
      </c>
    </row>
    <row r="773" ht="20" customHeight="1" spans="1:8" x14ac:dyDescent="0.25">
      <c r="A773" s="22" t="s">
        <v>61</v>
      </c>
      <c r="B773" s="22" t="s">
        <v>34</v>
      </c>
      <c r="C773" s="23" t="s">
        <v>71</v>
      </c>
      <c r="D773" s="6" t="s">
        <v>4</v>
      </c>
      <c r="E773" s="22" t="s">
        <v>1518</v>
      </c>
      <c r="F773" s="22" t="s">
        <v>486</v>
      </c>
      <c r="G773" s="22" t="s">
        <v>154</v>
      </c>
      <c r="H773" s="29" t="s">
        <v>1519</v>
      </c>
    </row>
    <row r="774" ht="20" customHeight="1" spans="1:8" x14ac:dyDescent="0.25">
      <c r="A774" s="24" t="s">
        <v>62</v>
      </c>
      <c r="B774" s="24" t="s">
        <v>36</v>
      </c>
      <c r="C774" s="25" t="s">
        <v>71</v>
      </c>
      <c r="D774" s="6" t="s">
        <v>4</v>
      </c>
      <c r="E774" s="24" t="s">
        <v>1282</v>
      </c>
      <c r="F774" s="24" t="s">
        <v>992</v>
      </c>
      <c r="G774" s="24" t="s">
        <v>762</v>
      </c>
      <c r="H774" s="34" t="s">
        <v>1283</v>
      </c>
    </row>
    <row r="775" ht="20" customHeight="1" spans="1:8" x14ac:dyDescent="0.25">
      <c r="A775" s="22" t="s">
        <v>63</v>
      </c>
      <c r="B775" s="22" t="s">
        <v>38</v>
      </c>
      <c r="C775" s="23" t="s">
        <v>71</v>
      </c>
      <c r="D775" s="6" t="s">
        <v>4</v>
      </c>
      <c r="E775" s="22" t="s">
        <v>12</v>
      </c>
      <c r="F775" s="22" t="s">
        <v>12</v>
      </c>
      <c r="G775" s="22" t="s">
        <v>12</v>
      </c>
      <c r="H775" s="22" t="s">
        <v>32</v>
      </c>
    </row>
    <row r="776" ht="20" customHeight="1" spans="1:8" x14ac:dyDescent="0.25">
      <c r="A776" s="24" t="s">
        <v>64</v>
      </c>
      <c r="B776" s="24" t="s">
        <v>40</v>
      </c>
      <c r="C776" s="25" t="s">
        <v>71</v>
      </c>
      <c r="D776" s="6" t="s">
        <v>4</v>
      </c>
      <c r="E776" s="24" t="s">
        <v>1718</v>
      </c>
      <c r="F776" s="24" t="s">
        <v>1394</v>
      </c>
      <c r="G776" s="24" t="s">
        <v>177</v>
      </c>
      <c r="H776" s="34" t="s">
        <v>837</v>
      </c>
    </row>
    <row r="777" ht="20" customHeight="1" spans="1:8" x14ac:dyDescent="0.25">
      <c r="A777" s="22" t="s">
        <v>65</v>
      </c>
      <c r="B777" s="22" t="s">
        <v>42</v>
      </c>
      <c r="C777" s="23" t="s">
        <v>71</v>
      </c>
      <c r="D777" s="35" t="s">
        <v>86</v>
      </c>
      <c r="E777" s="22" t="s">
        <v>12</v>
      </c>
      <c r="F777" s="22" t="s">
        <v>12</v>
      </c>
      <c r="G777" s="22" t="s">
        <v>12</v>
      </c>
      <c r="H777" s="22" t="s">
        <v>32</v>
      </c>
    </row>
    <row r="778" ht="20" customHeight="1" spans="1:8" x14ac:dyDescent="0.25">
      <c r="A778" s="24" t="s">
        <v>66</v>
      </c>
      <c r="B778" s="24" t="s">
        <v>45</v>
      </c>
      <c r="C778" s="25" t="s">
        <v>71</v>
      </c>
      <c r="D778" s="6" t="s">
        <v>4</v>
      </c>
      <c r="E778" s="24" t="s">
        <v>212</v>
      </c>
      <c r="F778" s="24" t="s">
        <v>352</v>
      </c>
      <c r="G778" s="24" t="s">
        <v>563</v>
      </c>
      <c r="H778" s="34" t="s">
        <v>215</v>
      </c>
    </row>
    <row r="779" ht="20" customHeight="1" spans="1:8" x14ac:dyDescent="0.25">
      <c r="A779" s="22" t="s">
        <v>67</v>
      </c>
      <c r="B779" s="22" t="s">
        <v>31</v>
      </c>
      <c r="C779" s="23" t="s">
        <v>71</v>
      </c>
      <c r="D779" s="6" t="s">
        <v>4</v>
      </c>
      <c r="E779" s="22" t="s">
        <v>1719</v>
      </c>
      <c r="F779" s="22" t="s">
        <v>648</v>
      </c>
      <c r="G779" s="22" t="s">
        <v>505</v>
      </c>
      <c r="H779" s="29" t="s">
        <v>1448</v>
      </c>
    </row>
    <row r="780" ht="20" customHeight="1" spans="1:8" x14ac:dyDescent="0.25">
      <c r="A780" s="24" t="s">
        <v>68</v>
      </c>
      <c r="B780" s="24" t="s">
        <v>34</v>
      </c>
      <c r="C780" s="25" t="s">
        <v>71</v>
      </c>
      <c r="D780" s="6" t="s">
        <v>4</v>
      </c>
      <c r="E780" s="24" t="s">
        <v>1208</v>
      </c>
      <c r="F780" s="24" t="s">
        <v>759</v>
      </c>
      <c r="G780" s="24" t="s">
        <v>577</v>
      </c>
      <c r="H780" s="34" t="s">
        <v>1209</v>
      </c>
    </row>
    <row r="781" ht="22" customHeight="1" spans="1:8" x14ac:dyDescent="0.25">
      <c r="A781" s="26" t="s">
        <v>69</v>
      </c>
      <c r="B781" s="26"/>
      <c r="C781" s="26"/>
      <c r="D781" s="26"/>
      <c r="E781" s="26"/>
      <c r="F781" s="26"/>
      <c r="G781" s="27" t="s">
        <v>1720</v>
      </c>
      <c r="H781" s="28" t="s">
        <v>12</v>
      </c>
    </row>
    <row r="783" ht="26" customHeight="1" spans="1:8" x14ac:dyDescent="0.25">
      <c r="A783" s="20" t="s">
        <v>1721</v>
      </c>
      <c r="B783" s="20"/>
      <c r="C783" s="20"/>
      <c r="D783" s="20"/>
      <c r="E783" s="20"/>
      <c r="F783" s="20"/>
      <c r="G783" s="20"/>
      <c r="H783" s="20"/>
    </row>
    <row r="784" ht="22" customHeight="1" spans="1:8" x14ac:dyDescent="0.25">
      <c r="A784" s="21" t="s">
        <v>22</v>
      </c>
      <c r="B784" s="21" t="s">
        <v>23</v>
      </c>
      <c r="C784" s="21" t="s">
        <v>24</v>
      </c>
      <c r="D784" s="21" t="s">
        <v>25</v>
      </c>
      <c r="E784" s="21" t="s">
        <v>26</v>
      </c>
      <c r="F784" s="21" t="s">
        <v>27</v>
      </c>
      <c r="G784" s="21" t="s">
        <v>28</v>
      </c>
      <c r="H784" s="21" t="s">
        <v>29</v>
      </c>
    </row>
    <row r="785" ht="20" customHeight="1" spans="1:8" x14ac:dyDescent="0.25">
      <c r="A785" s="22" t="s">
        <v>30</v>
      </c>
      <c r="B785" s="22" t="s">
        <v>31</v>
      </c>
      <c r="C785" s="23" t="s">
        <v>71</v>
      </c>
      <c r="D785" s="6" t="s">
        <v>4</v>
      </c>
      <c r="E785" s="22" t="s">
        <v>538</v>
      </c>
      <c r="F785" s="22" t="s">
        <v>1722</v>
      </c>
      <c r="G785" s="22" t="s">
        <v>147</v>
      </c>
      <c r="H785" s="29" t="s">
        <v>1723</v>
      </c>
    </row>
    <row r="786" ht="20" customHeight="1" spans="1:8" x14ac:dyDescent="0.25">
      <c r="A786" s="24" t="s">
        <v>33</v>
      </c>
      <c r="B786" s="24" t="s">
        <v>34</v>
      </c>
      <c r="C786" s="25" t="s">
        <v>71</v>
      </c>
      <c r="D786" s="6" t="s">
        <v>4</v>
      </c>
      <c r="E786" s="24" t="s">
        <v>639</v>
      </c>
      <c r="F786" s="24" t="s">
        <v>344</v>
      </c>
      <c r="G786" s="24" t="s">
        <v>250</v>
      </c>
      <c r="H786" s="30" t="s">
        <v>79</v>
      </c>
    </row>
    <row r="787" ht="20" customHeight="1" spans="1:8" x14ac:dyDescent="0.25">
      <c r="A787" s="22" t="s">
        <v>35</v>
      </c>
      <c r="B787" s="22" t="s">
        <v>36</v>
      </c>
      <c r="C787" s="23" t="s">
        <v>71</v>
      </c>
      <c r="D787" s="6" t="s">
        <v>4</v>
      </c>
      <c r="E787" s="22" t="s">
        <v>538</v>
      </c>
      <c r="F787" s="22" t="s">
        <v>536</v>
      </c>
      <c r="G787" s="22" t="s">
        <v>137</v>
      </c>
      <c r="H787" s="29" t="s">
        <v>795</v>
      </c>
    </row>
    <row r="788" ht="20" customHeight="1" spans="1:8" x14ac:dyDescent="0.25">
      <c r="A788" s="24" t="s">
        <v>37</v>
      </c>
      <c r="B788" s="24" t="s">
        <v>38</v>
      </c>
      <c r="C788" s="25" t="s">
        <v>71</v>
      </c>
      <c r="D788" s="31" t="s">
        <v>11</v>
      </c>
      <c r="E788" s="24" t="s">
        <v>12</v>
      </c>
      <c r="F788" s="24" t="s">
        <v>12</v>
      </c>
      <c r="G788" s="24" t="s">
        <v>12</v>
      </c>
      <c r="H788" s="24" t="s">
        <v>32</v>
      </c>
    </row>
    <row r="789" ht="20" customHeight="1" spans="1:8" x14ac:dyDescent="0.25">
      <c r="A789" s="22" t="s">
        <v>39</v>
      </c>
      <c r="B789" s="22" t="s">
        <v>40</v>
      </c>
      <c r="C789" s="23" t="s">
        <v>71</v>
      </c>
      <c r="D789" s="6" t="s">
        <v>4</v>
      </c>
      <c r="E789" s="22" t="s">
        <v>832</v>
      </c>
      <c r="F789" s="22" t="s">
        <v>1497</v>
      </c>
      <c r="G789" s="22" t="s">
        <v>190</v>
      </c>
      <c r="H789" s="29" t="s">
        <v>537</v>
      </c>
    </row>
    <row r="790" ht="20" customHeight="1" spans="1:8" x14ac:dyDescent="0.25">
      <c r="A790" s="24" t="s">
        <v>41</v>
      </c>
      <c r="B790" s="24" t="s">
        <v>42</v>
      </c>
      <c r="C790" s="25" t="s">
        <v>71</v>
      </c>
      <c r="D790" s="33" t="s">
        <v>86</v>
      </c>
      <c r="E790" s="24" t="s">
        <v>12</v>
      </c>
      <c r="F790" s="24" t="s">
        <v>12</v>
      </c>
      <c r="G790" s="24" t="s">
        <v>12</v>
      </c>
      <c r="H790" s="24" t="s">
        <v>32</v>
      </c>
    </row>
    <row r="791" ht="20" customHeight="1" spans="1:8" x14ac:dyDescent="0.25">
      <c r="A791" s="22" t="s">
        <v>44</v>
      </c>
      <c r="B791" s="22" t="s">
        <v>45</v>
      </c>
      <c r="C791" s="23" t="s">
        <v>71</v>
      </c>
      <c r="D791" s="6" t="s">
        <v>4</v>
      </c>
      <c r="E791" s="22" t="s">
        <v>1369</v>
      </c>
      <c r="F791" s="22" t="s">
        <v>523</v>
      </c>
      <c r="G791" s="22" t="s">
        <v>406</v>
      </c>
      <c r="H791" s="29" t="s">
        <v>524</v>
      </c>
    </row>
    <row r="792" ht="20" customHeight="1" spans="1:8" x14ac:dyDescent="0.25">
      <c r="A792" s="24" t="s">
        <v>46</v>
      </c>
      <c r="B792" s="24" t="s">
        <v>31</v>
      </c>
      <c r="C792" s="25" t="s">
        <v>71</v>
      </c>
      <c r="D792" s="6" t="s">
        <v>4</v>
      </c>
      <c r="E792" s="24" t="s">
        <v>1361</v>
      </c>
      <c r="F792" s="24" t="s">
        <v>389</v>
      </c>
      <c r="G792" s="24" t="s">
        <v>1248</v>
      </c>
      <c r="H792" s="30" t="s">
        <v>79</v>
      </c>
    </row>
    <row r="793" ht="20" customHeight="1" spans="1:8" x14ac:dyDescent="0.25">
      <c r="A793" s="22" t="s">
        <v>47</v>
      </c>
      <c r="B793" s="22" t="s">
        <v>34</v>
      </c>
      <c r="C793" s="23" t="s">
        <v>71</v>
      </c>
      <c r="D793" s="6" t="s">
        <v>4</v>
      </c>
      <c r="E793" s="22" t="s">
        <v>1361</v>
      </c>
      <c r="F793" s="22" t="s">
        <v>447</v>
      </c>
      <c r="G793" s="22" t="s">
        <v>831</v>
      </c>
      <c r="H793" s="32" t="s">
        <v>79</v>
      </c>
    </row>
    <row r="794" ht="20" customHeight="1" spans="1:8" x14ac:dyDescent="0.25">
      <c r="A794" s="24" t="s">
        <v>48</v>
      </c>
      <c r="B794" s="24" t="s">
        <v>36</v>
      </c>
      <c r="C794" s="25" t="s">
        <v>71</v>
      </c>
      <c r="D794" s="6" t="s">
        <v>4</v>
      </c>
      <c r="E794" s="24" t="s">
        <v>674</v>
      </c>
      <c r="F794" s="24" t="s">
        <v>436</v>
      </c>
      <c r="G794" s="24" t="s">
        <v>111</v>
      </c>
      <c r="H794" s="30" t="s">
        <v>79</v>
      </c>
    </row>
    <row r="795" ht="20" customHeight="1" spans="1:8" x14ac:dyDescent="0.25">
      <c r="A795" s="22" t="s">
        <v>49</v>
      </c>
      <c r="B795" s="22" t="s">
        <v>38</v>
      </c>
      <c r="C795" s="23" t="s">
        <v>71</v>
      </c>
      <c r="D795" s="6" t="s">
        <v>4</v>
      </c>
      <c r="E795" s="22" t="s">
        <v>1724</v>
      </c>
      <c r="F795" s="22" t="s">
        <v>272</v>
      </c>
      <c r="G795" s="22" t="s">
        <v>646</v>
      </c>
      <c r="H795" s="29" t="s">
        <v>274</v>
      </c>
    </row>
    <row r="796" ht="20" customHeight="1" spans="1:8" x14ac:dyDescent="0.25">
      <c r="A796" s="24" t="s">
        <v>50</v>
      </c>
      <c r="B796" s="24" t="s">
        <v>40</v>
      </c>
      <c r="C796" s="25" t="s">
        <v>71</v>
      </c>
      <c r="D796" s="33" t="s">
        <v>86</v>
      </c>
      <c r="E796" s="24" t="s">
        <v>12</v>
      </c>
      <c r="F796" s="24" t="s">
        <v>12</v>
      </c>
      <c r="G796" s="24" t="s">
        <v>12</v>
      </c>
      <c r="H796" s="24" t="s">
        <v>32</v>
      </c>
    </row>
    <row r="797" ht="20" customHeight="1" spans="1:8" x14ac:dyDescent="0.25">
      <c r="A797" s="22" t="s">
        <v>51</v>
      </c>
      <c r="B797" s="22" t="s">
        <v>42</v>
      </c>
      <c r="C797" s="23" t="s">
        <v>71</v>
      </c>
      <c r="D797" s="35" t="s">
        <v>86</v>
      </c>
      <c r="E797" s="22" t="s">
        <v>12</v>
      </c>
      <c r="F797" s="22" t="s">
        <v>12</v>
      </c>
      <c r="G797" s="22" t="s">
        <v>12</v>
      </c>
      <c r="H797" s="22" t="s">
        <v>32</v>
      </c>
    </row>
    <row r="798" ht="20" customHeight="1" spans="1:8" x14ac:dyDescent="0.25">
      <c r="A798" s="24" t="s">
        <v>52</v>
      </c>
      <c r="B798" s="24" t="s">
        <v>45</v>
      </c>
      <c r="C798" s="25" t="s">
        <v>71</v>
      </c>
      <c r="D798" s="6" t="s">
        <v>4</v>
      </c>
      <c r="E798" s="24" t="s">
        <v>664</v>
      </c>
      <c r="F798" s="24" t="s">
        <v>164</v>
      </c>
      <c r="G798" s="24" t="s">
        <v>1605</v>
      </c>
      <c r="H798" s="30" t="s">
        <v>79</v>
      </c>
    </row>
    <row r="799" ht="20" customHeight="1" spans="1:8" x14ac:dyDescent="0.25">
      <c r="A799" s="22" t="s">
        <v>53</v>
      </c>
      <c r="B799" s="22" t="s">
        <v>31</v>
      </c>
      <c r="C799" s="23" t="s">
        <v>71</v>
      </c>
      <c r="D799" s="6" t="s">
        <v>4</v>
      </c>
      <c r="E799" s="22" t="s">
        <v>101</v>
      </c>
      <c r="F799" s="22" t="s">
        <v>444</v>
      </c>
      <c r="G799" s="22" t="s">
        <v>190</v>
      </c>
      <c r="H799" s="29" t="s">
        <v>445</v>
      </c>
    </row>
    <row r="800" ht="20" customHeight="1" spans="1:8" x14ac:dyDescent="0.25">
      <c r="A800" s="24" t="s">
        <v>54</v>
      </c>
      <c r="B800" s="24" t="s">
        <v>34</v>
      </c>
      <c r="C800" s="25" t="s">
        <v>71</v>
      </c>
      <c r="D800" s="6" t="s">
        <v>4</v>
      </c>
      <c r="E800" s="24" t="s">
        <v>92</v>
      </c>
      <c r="F800" s="24" t="s">
        <v>529</v>
      </c>
      <c r="G800" s="24" t="s">
        <v>406</v>
      </c>
      <c r="H800" s="30" t="s">
        <v>79</v>
      </c>
    </row>
    <row r="801" ht="20" customHeight="1" spans="1:8" x14ac:dyDescent="0.25">
      <c r="A801" s="22" t="s">
        <v>55</v>
      </c>
      <c r="B801" s="22" t="s">
        <v>36</v>
      </c>
      <c r="C801" s="23" t="s">
        <v>71</v>
      </c>
      <c r="D801" s="6" t="s">
        <v>4</v>
      </c>
      <c r="E801" s="22" t="s">
        <v>92</v>
      </c>
      <c r="F801" s="22" t="s">
        <v>344</v>
      </c>
      <c r="G801" s="22" t="s">
        <v>708</v>
      </c>
      <c r="H801" s="32" t="s">
        <v>79</v>
      </c>
    </row>
    <row r="802" ht="20" customHeight="1" spans="1:8" x14ac:dyDescent="0.25">
      <c r="A802" s="24" t="s">
        <v>56</v>
      </c>
      <c r="B802" s="24" t="s">
        <v>38</v>
      </c>
      <c r="C802" s="25" t="s">
        <v>71</v>
      </c>
      <c r="D802" s="6" t="s">
        <v>4</v>
      </c>
      <c r="E802" s="24" t="s">
        <v>101</v>
      </c>
      <c r="F802" s="24" t="s">
        <v>609</v>
      </c>
      <c r="G802" s="24" t="s">
        <v>572</v>
      </c>
      <c r="H802" s="30" t="s">
        <v>79</v>
      </c>
    </row>
    <row r="803" ht="20" customHeight="1" spans="1:8" x14ac:dyDescent="0.25">
      <c r="A803" s="22" t="s">
        <v>57</v>
      </c>
      <c r="B803" s="22" t="s">
        <v>40</v>
      </c>
      <c r="C803" s="23" t="s">
        <v>71</v>
      </c>
      <c r="D803" s="6" t="s">
        <v>4</v>
      </c>
      <c r="E803" s="22" t="s">
        <v>1724</v>
      </c>
      <c r="F803" s="22" t="s">
        <v>110</v>
      </c>
      <c r="G803" s="22" t="s">
        <v>831</v>
      </c>
      <c r="H803" s="32" t="s">
        <v>79</v>
      </c>
    </row>
    <row r="804" ht="20" customHeight="1" spans="1:8" x14ac:dyDescent="0.25">
      <c r="A804" s="24" t="s">
        <v>58</v>
      </c>
      <c r="B804" s="24" t="s">
        <v>42</v>
      </c>
      <c r="C804" s="25" t="s">
        <v>71</v>
      </c>
      <c r="D804" s="33" t="s">
        <v>86</v>
      </c>
      <c r="E804" s="24" t="s">
        <v>12</v>
      </c>
      <c r="F804" s="24" t="s">
        <v>12</v>
      </c>
      <c r="G804" s="24" t="s">
        <v>12</v>
      </c>
      <c r="H804" s="24" t="s">
        <v>32</v>
      </c>
    </row>
    <row r="805" ht="20" customHeight="1" spans="1:8" x14ac:dyDescent="0.25">
      <c r="A805" s="22" t="s">
        <v>59</v>
      </c>
      <c r="B805" s="22" t="s">
        <v>45</v>
      </c>
      <c r="C805" s="23" t="s">
        <v>71</v>
      </c>
      <c r="D805" s="6" t="s">
        <v>4</v>
      </c>
      <c r="E805" s="22" t="s">
        <v>538</v>
      </c>
      <c r="F805" s="22" t="s">
        <v>186</v>
      </c>
      <c r="G805" s="22" t="s">
        <v>989</v>
      </c>
      <c r="H805" s="32" t="s">
        <v>79</v>
      </c>
    </row>
    <row r="806" ht="20" customHeight="1" spans="1:8" x14ac:dyDescent="0.25">
      <c r="A806" s="24" t="s">
        <v>60</v>
      </c>
      <c r="B806" s="24" t="s">
        <v>31</v>
      </c>
      <c r="C806" s="25" t="s">
        <v>71</v>
      </c>
      <c r="D806" s="6" t="s">
        <v>4</v>
      </c>
      <c r="E806" s="24" t="s">
        <v>92</v>
      </c>
      <c r="F806" s="24" t="s">
        <v>609</v>
      </c>
      <c r="G806" s="24" t="s">
        <v>652</v>
      </c>
      <c r="H806" s="30" t="s">
        <v>79</v>
      </c>
    </row>
    <row r="807" ht="20" customHeight="1" spans="1:8" x14ac:dyDescent="0.25">
      <c r="A807" s="22" t="s">
        <v>61</v>
      </c>
      <c r="B807" s="22" t="s">
        <v>34</v>
      </c>
      <c r="C807" s="23" t="s">
        <v>71</v>
      </c>
      <c r="D807" s="6" t="s">
        <v>4</v>
      </c>
      <c r="E807" s="22" t="s">
        <v>92</v>
      </c>
      <c r="F807" s="22" t="s">
        <v>110</v>
      </c>
      <c r="G807" s="22" t="s">
        <v>20</v>
      </c>
      <c r="H807" s="32" t="s">
        <v>79</v>
      </c>
    </row>
    <row r="808" ht="20" customHeight="1" spans="1:8" x14ac:dyDescent="0.25">
      <c r="A808" s="24" t="s">
        <v>62</v>
      </c>
      <c r="B808" s="24" t="s">
        <v>36</v>
      </c>
      <c r="C808" s="25" t="s">
        <v>71</v>
      </c>
      <c r="D808" s="6" t="s">
        <v>4</v>
      </c>
      <c r="E808" s="24" t="s">
        <v>538</v>
      </c>
      <c r="F808" s="24" t="s">
        <v>293</v>
      </c>
      <c r="G808" s="24" t="s">
        <v>332</v>
      </c>
      <c r="H808" s="30" t="s">
        <v>79</v>
      </c>
    </row>
    <row r="809" ht="20" customHeight="1" spans="1:8" x14ac:dyDescent="0.25">
      <c r="A809" s="22" t="s">
        <v>63</v>
      </c>
      <c r="B809" s="22" t="s">
        <v>38</v>
      </c>
      <c r="C809" s="23" t="s">
        <v>71</v>
      </c>
      <c r="D809" s="6" t="s">
        <v>4</v>
      </c>
      <c r="E809" s="22" t="s">
        <v>674</v>
      </c>
      <c r="F809" s="22" t="s">
        <v>529</v>
      </c>
      <c r="G809" s="22" t="s">
        <v>572</v>
      </c>
      <c r="H809" s="32" t="s">
        <v>79</v>
      </c>
    </row>
    <row r="810" ht="20" customHeight="1" spans="1:8" x14ac:dyDescent="0.25">
      <c r="A810" s="24" t="s">
        <v>64</v>
      </c>
      <c r="B810" s="24" t="s">
        <v>40</v>
      </c>
      <c r="C810" s="25" t="s">
        <v>71</v>
      </c>
      <c r="D810" s="6" t="s">
        <v>4</v>
      </c>
      <c r="E810" s="24" t="s">
        <v>672</v>
      </c>
      <c r="F810" s="24" t="s">
        <v>534</v>
      </c>
      <c r="G810" s="24" t="s">
        <v>281</v>
      </c>
      <c r="H810" s="34" t="s">
        <v>1499</v>
      </c>
    </row>
    <row r="811" ht="20" customHeight="1" spans="1:8" x14ac:dyDescent="0.25">
      <c r="A811" s="22" t="s">
        <v>65</v>
      </c>
      <c r="B811" s="22" t="s">
        <v>42</v>
      </c>
      <c r="C811" s="23" t="s">
        <v>71</v>
      </c>
      <c r="D811" s="35" t="s">
        <v>86</v>
      </c>
      <c r="E811" s="22" t="s">
        <v>12</v>
      </c>
      <c r="F811" s="22" t="s">
        <v>12</v>
      </c>
      <c r="G811" s="22" t="s">
        <v>12</v>
      </c>
      <c r="H811" s="22" t="s">
        <v>32</v>
      </c>
    </row>
    <row r="812" ht="20" customHeight="1" spans="1:8" x14ac:dyDescent="0.25">
      <c r="A812" s="24" t="s">
        <v>66</v>
      </c>
      <c r="B812" s="24" t="s">
        <v>45</v>
      </c>
      <c r="C812" s="25" t="s">
        <v>71</v>
      </c>
      <c r="D812" s="6" t="s">
        <v>4</v>
      </c>
      <c r="E812" s="24" t="s">
        <v>538</v>
      </c>
      <c r="F812" s="24" t="s">
        <v>438</v>
      </c>
      <c r="G812" s="24" t="s">
        <v>296</v>
      </c>
      <c r="H812" s="30" t="s">
        <v>79</v>
      </c>
    </row>
    <row r="813" ht="20" customHeight="1" spans="1:8" x14ac:dyDescent="0.25">
      <c r="A813" s="22" t="s">
        <v>67</v>
      </c>
      <c r="B813" s="22" t="s">
        <v>31</v>
      </c>
      <c r="C813" s="23" t="s">
        <v>71</v>
      </c>
      <c r="D813" s="6" t="s">
        <v>4</v>
      </c>
      <c r="E813" s="22" t="s">
        <v>95</v>
      </c>
      <c r="F813" s="22" t="s">
        <v>534</v>
      </c>
      <c r="G813" s="22" t="s">
        <v>726</v>
      </c>
      <c r="H813" s="29" t="s">
        <v>1499</v>
      </c>
    </row>
    <row r="814" ht="20" customHeight="1" spans="1:8" x14ac:dyDescent="0.25">
      <c r="A814" s="24" t="s">
        <v>68</v>
      </c>
      <c r="B814" s="24" t="s">
        <v>34</v>
      </c>
      <c r="C814" s="25" t="s">
        <v>71</v>
      </c>
      <c r="D814" s="6" t="s">
        <v>4</v>
      </c>
      <c r="E814" s="24" t="s">
        <v>538</v>
      </c>
      <c r="F814" s="24" t="s">
        <v>182</v>
      </c>
      <c r="G814" s="24" t="s">
        <v>1306</v>
      </c>
      <c r="H814" s="30" t="s">
        <v>79</v>
      </c>
    </row>
    <row r="815" ht="22" customHeight="1" spans="1:8" x14ac:dyDescent="0.25">
      <c r="A815" s="26" t="s">
        <v>69</v>
      </c>
      <c r="B815" s="26"/>
      <c r="C815" s="26"/>
      <c r="D815" s="26"/>
      <c r="E815" s="26"/>
      <c r="F815" s="26"/>
      <c r="G815" s="27" t="s">
        <v>1725</v>
      </c>
      <c r="H815" s="28" t="s">
        <v>12</v>
      </c>
    </row>
    <row r="817" ht="26" customHeight="1" spans="1:8" x14ac:dyDescent="0.25">
      <c r="A817" s="20" t="s">
        <v>1726</v>
      </c>
      <c r="B817" s="20"/>
      <c r="C817" s="20"/>
      <c r="D817" s="20"/>
      <c r="E817" s="20"/>
      <c r="F817" s="20"/>
      <c r="G817" s="20"/>
      <c r="H817" s="20"/>
    </row>
    <row r="818" ht="22" customHeight="1" spans="1:8" x14ac:dyDescent="0.25">
      <c r="A818" s="21" t="s">
        <v>22</v>
      </c>
      <c r="B818" s="21" t="s">
        <v>23</v>
      </c>
      <c r="C818" s="21" t="s">
        <v>24</v>
      </c>
      <c r="D818" s="21" t="s">
        <v>25</v>
      </c>
      <c r="E818" s="21" t="s">
        <v>26</v>
      </c>
      <c r="F818" s="21" t="s">
        <v>27</v>
      </c>
      <c r="G818" s="21" t="s">
        <v>28</v>
      </c>
      <c r="H818" s="21" t="s">
        <v>29</v>
      </c>
    </row>
    <row r="819" ht="20" customHeight="1" spans="1:8" x14ac:dyDescent="0.25">
      <c r="A819" s="22" t="s">
        <v>30</v>
      </c>
      <c r="B819" s="22" t="s">
        <v>31</v>
      </c>
      <c r="C819" s="23" t="s">
        <v>71</v>
      </c>
      <c r="D819" s="10" t="s">
        <v>87</v>
      </c>
      <c r="E819" s="22" t="s">
        <v>12</v>
      </c>
      <c r="F819" s="22" t="s">
        <v>12</v>
      </c>
      <c r="G819" s="22" t="s">
        <v>12</v>
      </c>
      <c r="H819" s="22" t="s">
        <v>32</v>
      </c>
    </row>
    <row r="820" ht="20" customHeight="1" spans="1:8" x14ac:dyDescent="0.25">
      <c r="A820" s="24" t="s">
        <v>33</v>
      </c>
      <c r="B820" s="24" t="s">
        <v>34</v>
      </c>
      <c r="C820" s="25" t="s">
        <v>71</v>
      </c>
      <c r="D820" s="10" t="s">
        <v>87</v>
      </c>
      <c r="E820" s="24" t="s">
        <v>12</v>
      </c>
      <c r="F820" s="24" t="s">
        <v>12</v>
      </c>
      <c r="G820" s="24" t="s">
        <v>12</v>
      </c>
      <c r="H820" s="24" t="s">
        <v>32</v>
      </c>
    </row>
    <row r="821" ht="20" customHeight="1" spans="1:8" x14ac:dyDescent="0.25">
      <c r="A821" s="22" t="s">
        <v>35</v>
      </c>
      <c r="B821" s="22" t="s">
        <v>36</v>
      </c>
      <c r="C821" s="23" t="s">
        <v>71</v>
      </c>
      <c r="D821" s="6" t="s">
        <v>4</v>
      </c>
      <c r="E821" s="22" t="s">
        <v>547</v>
      </c>
      <c r="F821" s="22" t="s">
        <v>245</v>
      </c>
      <c r="G821" s="22" t="s">
        <v>130</v>
      </c>
      <c r="H821" s="29" t="s">
        <v>548</v>
      </c>
    </row>
    <row r="822" ht="20" customHeight="1" spans="1:8" x14ac:dyDescent="0.25">
      <c r="A822" s="24" t="s">
        <v>37</v>
      </c>
      <c r="B822" s="24" t="s">
        <v>38</v>
      </c>
      <c r="C822" s="25" t="s">
        <v>71</v>
      </c>
      <c r="D822" s="31" t="s">
        <v>11</v>
      </c>
      <c r="E822" s="24" t="s">
        <v>12</v>
      </c>
      <c r="F822" s="24" t="s">
        <v>12</v>
      </c>
      <c r="G822" s="24" t="s">
        <v>12</v>
      </c>
      <c r="H822" s="24" t="s">
        <v>32</v>
      </c>
    </row>
    <row r="823" ht="20" customHeight="1" spans="1:8" x14ac:dyDescent="0.25">
      <c r="A823" s="22" t="s">
        <v>39</v>
      </c>
      <c r="B823" s="22" t="s">
        <v>40</v>
      </c>
      <c r="C823" s="23" t="s">
        <v>71</v>
      </c>
      <c r="D823" s="6" t="s">
        <v>4</v>
      </c>
      <c r="E823" s="22" t="s">
        <v>388</v>
      </c>
      <c r="F823" s="22" t="s">
        <v>317</v>
      </c>
      <c r="G823" s="22" t="s">
        <v>177</v>
      </c>
      <c r="H823" s="32" t="s">
        <v>79</v>
      </c>
    </row>
    <row r="824" ht="20" customHeight="1" spans="1:8" x14ac:dyDescent="0.25">
      <c r="A824" s="24" t="s">
        <v>41</v>
      </c>
      <c r="B824" s="24" t="s">
        <v>42</v>
      </c>
      <c r="C824" s="25" t="s">
        <v>71</v>
      </c>
      <c r="D824" s="33" t="s">
        <v>86</v>
      </c>
      <c r="E824" s="24" t="s">
        <v>12</v>
      </c>
      <c r="F824" s="24" t="s">
        <v>12</v>
      </c>
      <c r="G824" s="24" t="s">
        <v>12</v>
      </c>
      <c r="H824" s="24" t="s">
        <v>32</v>
      </c>
    </row>
    <row r="825" ht="20" customHeight="1" spans="1:8" x14ac:dyDescent="0.25">
      <c r="A825" s="22" t="s">
        <v>44</v>
      </c>
      <c r="B825" s="22" t="s">
        <v>45</v>
      </c>
      <c r="C825" s="23" t="s">
        <v>71</v>
      </c>
      <c r="D825" s="6" t="s">
        <v>4</v>
      </c>
      <c r="E825" s="22" t="s">
        <v>289</v>
      </c>
      <c r="F825" s="22" t="s">
        <v>243</v>
      </c>
      <c r="G825" s="22" t="s">
        <v>652</v>
      </c>
      <c r="H825" s="32" t="s">
        <v>79</v>
      </c>
    </row>
    <row r="826" ht="20" customHeight="1" spans="1:8" x14ac:dyDescent="0.25">
      <c r="A826" s="24" t="s">
        <v>46</v>
      </c>
      <c r="B826" s="24" t="s">
        <v>31</v>
      </c>
      <c r="C826" s="25" t="s">
        <v>71</v>
      </c>
      <c r="D826" s="6" t="s">
        <v>4</v>
      </c>
      <c r="E826" s="24" t="s">
        <v>284</v>
      </c>
      <c r="F826" s="24" t="s">
        <v>243</v>
      </c>
      <c r="G826" s="24" t="s">
        <v>406</v>
      </c>
      <c r="H826" s="30" t="s">
        <v>79</v>
      </c>
    </row>
    <row r="827" ht="20" customHeight="1" spans="1:8" x14ac:dyDescent="0.25">
      <c r="A827" s="22" t="s">
        <v>47</v>
      </c>
      <c r="B827" s="22" t="s">
        <v>34</v>
      </c>
      <c r="C827" s="23" t="s">
        <v>71</v>
      </c>
      <c r="D827" s="6" t="s">
        <v>4</v>
      </c>
      <c r="E827" s="22" t="s">
        <v>403</v>
      </c>
      <c r="F827" s="22" t="s">
        <v>182</v>
      </c>
      <c r="G827" s="22" t="s">
        <v>762</v>
      </c>
      <c r="H827" s="32" t="s">
        <v>79</v>
      </c>
    </row>
    <row r="828" ht="20" customHeight="1" spans="1:8" x14ac:dyDescent="0.25">
      <c r="A828" s="24" t="s">
        <v>48</v>
      </c>
      <c r="B828" s="24" t="s">
        <v>36</v>
      </c>
      <c r="C828" s="25" t="s">
        <v>71</v>
      </c>
      <c r="D828" s="6" t="s">
        <v>4</v>
      </c>
      <c r="E828" s="24" t="s">
        <v>385</v>
      </c>
      <c r="F828" s="24" t="s">
        <v>245</v>
      </c>
      <c r="G828" s="24" t="s">
        <v>647</v>
      </c>
      <c r="H828" s="30" t="s">
        <v>79</v>
      </c>
    </row>
    <row r="829" ht="20" customHeight="1" spans="1:8" x14ac:dyDescent="0.25">
      <c r="A829" s="22" t="s">
        <v>49</v>
      </c>
      <c r="B829" s="22" t="s">
        <v>38</v>
      </c>
      <c r="C829" s="23" t="s">
        <v>71</v>
      </c>
      <c r="D829" s="6" t="s">
        <v>4</v>
      </c>
      <c r="E829" s="22" t="s">
        <v>284</v>
      </c>
      <c r="F829" s="22" t="s">
        <v>562</v>
      </c>
      <c r="G829" s="22" t="s">
        <v>568</v>
      </c>
      <c r="H829" s="32" t="s">
        <v>79</v>
      </c>
    </row>
    <row r="830" ht="20" customHeight="1" spans="1:8" x14ac:dyDescent="0.25">
      <c r="A830" s="24" t="s">
        <v>50</v>
      </c>
      <c r="B830" s="24" t="s">
        <v>40</v>
      </c>
      <c r="C830" s="25" t="s">
        <v>71</v>
      </c>
      <c r="D830" s="33" t="s">
        <v>86</v>
      </c>
      <c r="E830" s="24" t="s">
        <v>12</v>
      </c>
      <c r="F830" s="24" t="s">
        <v>12</v>
      </c>
      <c r="G830" s="24" t="s">
        <v>12</v>
      </c>
      <c r="H830" s="24" t="s">
        <v>32</v>
      </c>
    </row>
    <row r="831" ht="20" customHeight="1" spans="1:8" x14ac:dyDescent="0.25">
      <c r="A831" s="22" t="s">
        <v>51</v>
      </c>
      <c r="B831" s="22" t="s">
        <v>42</v>
      </c>
      <c r="C831" s="23" t="s">
        <v>71</v>
      </c>
      <c r="D831" s="35" t="s">
        <v>86</v>
      </c>
      <c r="E831" s="22" t="s">
        <v>12</v>
      </c>
      <c r="F831" s="22" t="s">
        <v>12</v>
      </c>
      <c r="G831" s="22" t="s">
        <v>12</v>
      </c>
      <c r="H831" s="22" t="s">
        <v>32</v>
      </c>
    </row>
    <row r="832" ht="20" customHeight="1" spans="1:8" x14ac:dyDescent="0.25">
      <c r="A832" s="24" t="s">
        <v>52</v>
      </c>
      <c r="B832" s="24" t="s">
        <v>45</v>
      </c>
      <c r="C832" s="25" t="s">
        <v>71</v>
      </c>
      <c r="D832" s="6" t="s">
        <v>4</v>
      </c>
      <c r="E832" s="24" t="s">
        <v>390</v>
      </c>
      <c r="F832" s="24" t="s">
        <v>252</v>
      </c>
      <c r="G832" s="24" t="s">
        <v>478</v>
      </c>
      <c r="H832" s="30" t="s">
        <v>79</v>
      </c>
    </row>
    <row r="833" ht="20" customHeight="1" spans="1:8" x14ac:dyDescent="0.25">
      <c r="A833" s="22" t="s">
        <v>53</v>
      </c>
      <c r="B833" s="22" t="s">
        <v>31</v>
      </c>
      <c r="C833" s="23" t="s">
        <v>71</v>
      </c>
      <c r="D833" s="6" t="s">
        <v>4</v>
      </c>
      <c r="E833" s="22" t="s">
        <v>385</v>
      </c>
      <c r="F833" s="22" t="s">
        <v>761</v>
      </c>
      <c r="G833" s="22" t="s">
        <v>20</v>
      </c>
      <c r="H833" s="32" t="s">
        <v>79</v>
      </c>
    </row>
    <row r="834" ht="20" customHeight="1" spans="1:8" x14ac:dyDescent="0.25">
      <c r="A834" s="24" t="s">
        <v>54</v>
      </c>
      <c r="B834" s="24" t="s">
        <v>34</v>
      </c>
      <c r="C834" s="25" t="s">
        <v>71</v>
      </c>
      <c r="D834" s="6" t="s">
        <v>4</v>
      </c>
      <c r="E834" s="24" t="s">
        <v>284</v>
      </c>
      <c r="F834" s="24" t="s">
        <v>560</v>
      </c>
      <c r="G834" s="24" t="s">
        <v>652</v>
      </c>
      <c r="H834" s="30" t="s">
        <v>79</v>
      </c>
    </row>
    <row r="835" ht="20" customHeight="1" spans="1:8" x14ac:dyDescent="0.25">
      <c r="A835" s="22" t="s">
        <v>55</v>
      </c>
      <c r="B835" s="22" t="s">
        <v>36</v>
      </c>
      <c r="C835" s="23" t="s">
        <v>71</v>
      </c>
      <c r="D835" s="6" t="s">
        <v>4</v>
      </c>
      <c r="E835" s="22" t="s">
        <v>284</v>
      </c>
      <c r="F835" s="22" t="s">
        <v>213</v>
      </c>
      <c r="G835" s="22" t="s">
        <v>332</v>
      </c>
      <c r="H835" s="32" t="s">
        <v>79</v>
      </c>
    </row>
    <row r="836" ht="20" customHeight="1" spans="1:8" x14ac:dyDescent="0.25">
      <c r="A836" s="24" t="s">
        <v>56</v>
      </c>
      <c r="B836" s="24" t="s">
        <v>38</v>
      </c>
      <c r="C836" s="25" t="s">
        <v>71</v>
      </c>
      <c r="D836" s="6" t="s">
        <v>4</v>
      </c>
      <c r="E836" s="24" t="s">
        <v>390</v>
      </c>
      <c r="F836" s="24" t="s">
        <v>252</v>
      </c>
      <c r="G836" s="24" t="s">
        <v>478</v>
      </c>
      <c r="H836" s="30" t="s">
        <v>79</v>
      </c>
    </row>
    <row r="837" ht="20" customHeight="1" spans="1:8" x14ac:dyDescent="0.25">
      <c r="A837" s="22" t="s">
        <v>57</v>
      </c>
      <c r="B837" s="22" t="s">
        <v>40</v>
      </c>
      <c r="C837" s="23" t="s">
        <v>71</v>
      </c>
      <c r="D837" s="6" t="s">
        <v>4</v>
      </c>
      <c r="E837" s="22" t="s">
        <v>434</v>
      </c>
      <c r="F837" s="22" t="s">
        <v>225</v>
      </c>
      <c r="G837" s="22" t="s">
        <v>475</v>
      </c>
      <c r="H837" s="32" t="s">
        <v>79</v>
      </c>
    </row>
    <row r="838" ht="20" customHeight="1" spans="1:8" x14ac:dyDescent="0.25">
      <c r="A838" s="24" t="s">
        <v>58</v>
      </c>
      <c r="B838" s="24" t="s">
        <v>42</v>
      </c>
      <c r="C838" s="25" t="s">
        <v>71</v>
      </c>
      <c r="D838" s="33" t="s">
        <v>86</v>
      </c>
      <c r="E838" s="24" t="s">
        <v>12</v>
      </c>
      <c r="F838" s="24" t="s">
        <v>12</v>
      </c>
      <c r="G838" s="24" t="s">
        <v>12</v>
      </c>
      <c r="H838" s="24" t="s">
        <v>32</v>
      </c>
    </row>
    <row r="839" ht="20" customHeight="1" spans="1:8" x14ac:dyDescent="0.25">
      <c r="A839" s="22" t="s">
        <v>59</v>
      </c>
      <c r="B839" s="22" t="s">
        <v>45</v>
      </c>
      <c r="C839" s="23" t="s">
        <v>71</v>
      </c>
      <c r="D839" s="6" t="s">
        <v>4</v>
      </c>
      <c r="E839" s="22" t="s">
        <v>391</v>
      </c>
      <c r="F839" s="22" t="s">
        <v>562</v>
      </c>
      <c r="G839" s="22" t="s">
        <v>568</v>
      </c>
      <c r="H839" s="32" t="s">
        <v>79</v>
      </c>
    </row>
    <row r="840" ht="20" customHeight="1" spans="1:8" x14ac:dyDescent="0.25">
      <c r="A840" s="24" t="s">
        <v>60</v>
      </c>
      <c r="B840" s="24" t="s">
        <v>31</v>
      </c>
      <c r="C840" s="25" t="s">
        <v>71</v>
      </c>
      <c r="D840" s="6" t="s">
        <v>4</v>
      </c>
      <c r="E840" s="24" t="s">
        <v>391</v>
      </c>
      <c r="F840" s="24" t="s">
        <v>757</v>
      </c>
      <c r="G840" s="24" t="s">
        <v>794</v>
      </c>
      <c r="H840" s="30" t="s">
        <v>79</v>
      </c>
    </row>
    <row r="841" ht="20" customHeight="1" spans="1:8" x14ac:dyDescent="0.25">
      <c r="A841" s="22" t="s">
        <v>61</v>
      </c>
      <c r="B841" s="22" t="s">
        <v>34</v>
      </c>
      <c r="C841" s="23" t="s">
        <v>71</v>
      </c>
      <c r="D841" s="6" t="s">
        <v>4</v>
      </c>
      <c r="E841" s="22" t="s">
        <v>284</v>
      </c>
      <c r="F841" s="22" t="s">
        <v>1421</v>
      </c>
      <c r="G841" s="22" t="s">
        <v>127</v>
      </c>
      <c r="H841" s="32" t="s">
        <v>79</v>
      </c>
    </row>
    <row r="842" ht="20" customHeight="1" spans="1:8" x14ac:dyDescent="0.25">
      <c r="A842" s="24" t="s">
        <v>62</v>
      </c>
      <c r="B842" s="24" t="s">
        <v>36</v>
      </c>
      <c r="C842" s="25" t="s">
        <v>71</v>
      </c>
      <c r="D842" s="6" t="s">
        <v>4</v>
      </c>
      <c r="E842" s="24" t="s">
        <v>284</v>
      </c>
      <c r="F842" s="24" t="s">
        <v>252</v>
      </c>
      <c r="G842" s="24" t="s">
        <v>752</v>
      </c>
      <c r="H842" s="30" t="s">
        <v>79</v>
      </c>
    </row>
    <row r="843" ht="20" customHeight="1" spans="1:8" x14ac:dyDescent="0.25">
      <c r="A843" s="22" t="s">
        <v>63</v>
      </c>
      <c r="B843" s="22" t="s">
        <v>38</v>
      </c>
      <c r="C843" s="23" t="s">
        <v>71</v>
      </c>
      <c r="D843" s="6" t="s">
        <v>4</v>
      </c>
      <c r="E843" s="22" t="s">
        <v>391</v>
      </c>
      <c r="F843" s="22" t="s">
        <v>186</v>
      </c>
      <c r="G843" s="22" t="s">
        <v>788</v>
      </c>
      <c r="H843" s="32" t="s">
        <v>79</v>
      </c>
    </row>
    <row r="844" ht="20" customHeight="1" spans="1:8" x14ac:dyDescent="0.25">
      <c r="A844" s="24" t="s">
        <v>64</v>
      </c>
      <c r="B844" s="24" t="s">
        <v>40</v>
      </c>
      <c r="C844" s="25" t="s">
        <v>71</v>
      </c>
      <c r="D844" s="6" t="s">
        <v>4</v>
      </c>
      <c r="E844" s="24" t="s">
        <v>385</v>
      </c>
      <c r="F844" s="24" t="s">
        <v>298</v>
      </c>
      <c r="G844" s="24" t="s">
        <v>203</v>
      </c>
      <c r="H844" s="30" t="s">
        <v>79</v>
      </c>
    </row>
    <row r="845" ht="20" customHeight="1" spans="1:8" x14ac:dyDescent="0.25">
      <c r="A845" s="22" t="s">
        <v>65</v>
      </c>
      <c r="B845" s="22" t="s">
        <v>42</v>
      </c>
      <c r="C845" s="23" t="s">
        <v>71</v>
      </c>
      <c r="D845" s="35" t="s">
        <v>86</v>
      </c>
      <c r="E845" s="22" t="s">
        <v>12</v>
      </c>
      <c r="F845" s="22" t="s">
        <v>12</v>
      </c>
      <c r="G845" s="22" t="s">
        <v>12</v>
      </c>
      <c r="H845" s="22" t="s">
        <v>32</v>
      </c>
    </row>
    <row r="846" ht="20" customHeight="1" spans="1:8" x14ac:dyDescent="0.25">
      <c r="A846" s="24" t="s">
        <v>66</v>
      </c>
      <c r="B846" s="24" t="s">
        <v>45</v>
      </c>
      <c r="C846" s="25" t="s">
        <v>71</v>
      </c>
      <c r="D846" s="6" t="s">
        <v>4</v>
      </c>
      <c r="E846" s="24" t="s">
        <v>503</v>
      </c>
      <c r="F846" s="24" t="s">
        <v>636</v>
      </c>
      <c r="G846" s="24" t="s">
        <v>406</v>
      </c>
      <c r="H846" s="30" t="s">
        <v>79</v>
      </c>
    </row>
    <row r="847" ht="20" customHeight="1" spans="1:8" x14ac:dyDescent="0.25">
      <c r="A847" s="22" t="s">
        <v>67</v>
      </c>
      <c r="B847" s="22" t="s">
        <v>31</v>
      </c>
      <c r="C847" s="23" t="s">
        <v>71</v>
      </c>
      <c r="D847" s="6" t="s">
        <v>4</v>
      </c>
      <c r="E847" s="22" t="s">
        <v>503</v>
      </c>
      <c r="F847" s="22" t="s">
        <v>757</v>
      </c>
      <c r="G847" s="22" t="s">
        <v>332</v>
      </c>
      <c r="H847" s="32" t="s">
        <v>79</v>
      </c>
    </row>
    <row r="848" ht="20" customHeight="1" spans="1:8" x14ac:dyDescent="0.25">
      <c r="A848" s="24" t="s">
        <v>68</v>
      </c>
      <c r="B848" s="24" t="s">
        <v>34</v>
      </c>
      <c r="C848" s="25" t="s">
        <v>71</v>
      </c>
      <c r="D848" s="6" t="s">
        <v>4</v>
      </c>
      <c r="E848" s="24" t="s">
        <v>391</v>
      </c>
      <c r="F848" s="24" t="s">
        <v>525</v>
      </c>
      <c r="G848" s="24" t="s">
        <v>614</v>
      </c>
      <c r="H848" s="34" t="s">
        <v>526</v>
      </c>
    </row>
    <row r="849" ht="22" customHeight="1" spans="1:8" x14ac:dyDescent="0.25">
      <c r="A849" s="26" t="s">
        <v>69</v>
      </c>
      <c r="B849" s="26"/>
      <c r="C849" s="26"/>
      <c r="D849" s="26"/>
      <c r="E849" s="26"/>
      <c r="F849" s="26"/>
      <c r="G849" s="27" t="s">
        <v>1727</v>
      </c>
      <c r="H849" s="28" t="s">
        <v>12</v>
      </c>
    </row>
    <row r="851" ht="26" customHeight="1" spans="1:8" x14ac:dyDescent="0.25">
      <c r="A851" s="20" t="s">
        <v>1728</v>
      </c>
      <c r="B851" s="20"/>
      <c r="C851" s="20"/>
      <c r="D851" s="20"/>
      <c r="E851" s="20"/>
      <c r="F851" s="20"/>
      <c r="G851" s="20"/>
      <c r="H851" s="20"/>
    </row>
    <row r="852" ht="22" customHeight="1" spans="1:8" x14ac:dyDescent="0.25">
      <c r="A852" s="21" t="s">
        <v>22</v>
      </c>
      <c r="B852" s="21" t="s">
        <v>23</v>
      </c>
      <c r="C852" s="21" t="s">
        <v>24</v>
      </c>
      <c r="D852" s="21" t="s">
        <v>25</v>
      </c>
      <c r="E852" s="21" t="s">
        <v>26</v>
      </c>
      <c r="F852" s="21" t="s">
        <v>27</v>
      </c>
      <c r="G852" s="21" t="s">
        <v>28</v>
      </c>
      <c r="H852" s="21" t="s">
        <v>29</v>
      </c>
    </row>
    <row r="853" ht="20" customHeight="1" spans="1:8" x14ac:dyDescent="0.25">
      <c r="A853" s="22" t="s">
        <v>30</v>
      </c>
      <c r="B853" s="22" t="s">
        <v>31</v>
      </c>
      <c r="C853" s="23" t="s">
        <v>32</v>
      </c>
      <c r="D853" s="6" t="s">
        <v>4</v>
      </c>
      <c r="E853" s="22" t="s">
        <v>125</v>
      </c>
      <c r="F853" s="22" t="s">
        <v>136</v>
      </c>
      <c r="G853" s="22" t="s">
        <v>99</v>
      </c>
      <c r="H853" s="32" t="s">
        <v>79</v>
      </c>
    </row>
    <row r="854" ht="20" customHeight="1" spans="1:8" x14ac:dyDescent="0.25">
      <c r="A854" s="24" t="s">
        <v>33</v>
      </c>
      <c r="B854" s="24" t="s">
        <v>34</v>
      </c>
      <c r="C854" s="25" t="s">
        <v>32</v>
      </c>
      <c r="D854" s="6" t="s">
        <v>4</v>
      </c>
      <c r="E854" s="24" t="s">
        <v>125</v>
      </c>
      <c r="F854" s="24" t="s">
        <v>136</v>
      </c>
      <c r="G854" s="24" t="s">
        <v>99</v>
      </c>
      <c r="H854" s="30" t="s">
        <v>79</v>
      </c>
    </row>
    <row r="855" ht="20" customHeight="1" spans="1:8" x14ac:dyDescent="0.25">
      <c r="A855" s="22" t="s">
        <v>35</v>
      </c>
      <c r="B855" s="22" t="s">
        <v>36</v>
      </c>
      <c r="C855" s="23" t="s">
        <v>32</v>
      </c>
      <c r="D855" s="6" t="s">
        <v>4</v>
      </c>
      <c r="E855" s="22" t="s">
        <v>125</v>
      </c>
      <c r="F855" s="22" t="s">
        <v>136</v>
      </c>
      <c r="G855" s="22" t="s">
        <v>99</v>
      </c>
      <c r="H855" s="32" t="s">
        <v>79</v>
      </c>
    </row>
    <row r="856" ht="20" customHeight="1" spans="1:8" x14ac:dyDescent="0.25">
      <c r="A856" s="24" t="s">
        <v>37</v>
      </c>
      <c r="B856" s="24" t="s">
        <v>38</v>
      </c>
      <c r="C856" s="25" t="s">
        <v>32</v>
      </c>
      <c r="D856" s="31" t="s">
        <v>11</v>
      </c>
      <c r="E856" s="24" t="s">
        <v>12</v>
      </c>
      <c r="F856" s="24" t="s">
        <v>12</v>
      </c>
      <c r="G856" s="24" t="s">
        <v>12</v>
      </c>
      <c r="H856" s="24" t="s">
        <v>32</v>
      </c>
    </row>
    <row r="857" ht="20" customHeight="1" spans="1:8" x14ac:dyDescent="0.25">
      <c r="A857" s="22" t="s">
        <v>39</v>
      </c>
      <c r="B857" s="22" t="s">
        <v>40</v>
      </c>
      <c r="C857" s="23" t="s">
        <v>32</v>
      </c>
      <c r="D857" s="6" t="s">
        <v>4</v>
      </c>
      <c r="E857" s="22" t="s">
        <v>125</v>
      </c>
      <c r="F857" s="22" t="s">
        <v>136</v>
      </c>
      <c r="G857" s="22" t="s">
        <v>99</v>
      </c>
      <c r="H857" s="32" t="s">
        <v>79</v>
      </c>
    </row>
    <row r="858" ht="20" customHeight="1" spans="1:8" x14ac:dyDescent="0.25">
      <c r="A858" s="24" t="s">
        <v>41</v>
      </c>
      <c r="B858" s="24" t="s">
        <v>42</v>
      </c>
      <c r="C858" s="25" t="s">
        <v>32</v>
      </c>
      <c r="D858" s="33" t="s">
        <v>86</v>
      </c>
      <c r="E858" s="24" t="s">
        <v>12</v>
      </c>
      <c r="F858" s="24" t="s">
        <v>12</v>
      </c>
      <c r="G858" s="24" t="s">
        <v>12</v>
      </c>
      <c r="H858" s="24" t="s">
        <v>32</v>
      </c>
    </row>
    <row r="859" ht="20" customHeight="1" spans="1:8" x14ac:dyDescent="0.25">
      <c r="A859" s="22" t="s">
        <v>44</v>
      </c>
      <c r="B859" s="22" t="s">
        <v>45</v>
      </c>
      <c r="C859" s="23" t="s">
        <v>32</v>
      </c>
      <c r="D859" s="6" t="s">
        <v>4</v>
      </c>
      <c r="E859" s="22" t="s">
        <v>125</v>
      </c>
      <c r="F859" s="22" t="s">
        <v>136</v>
      </c>
      <c r="G859" s="22" t="s">
        <v>99</v>
      </c>
      <c r="H859" s="32" t="s">
        <v>79</v>
      </c>
    </row>
    <row r="860" ht="20" customHeight="1" spans="1:8" x14ac:dyDescent="0.25">
      <c r="A860" s="24" t="s">
        <v>46</v>
      </c>
      <c r="B860" s="24" t="s">
        <v>31</v>
      </c>
      <c r="C860" s="25" t="s">
        <v>32</v>
      </c>
      <c r="D860" s="6" t="s">
        <v>4</v>
      </c>
      <c r="E860" s="24" t="s">
        <v>125</v>
      </c>
      <c r="F860" s="24" t="s">
        <v>136</v>
      </c>
      <c r="G860" s="24" t="s">
        <v>99</v>
      </c>
      <c r="H860" s="30" t="s">
        <v>79</v>
      </c>
    </row>
    <row r="861" ht="20" customHeight="1" spans="1:8" x14ac:dyDescent="0.25">
      <c r="A861" s="22" t="s">
        <v>47</v>
      </c>
      <c r="B861" s="22" t="s">
        <v>34</v>
      </c>
      <c r="C861" s="23" t="s">
        <v>32</v>
      </c>
      <c r="D861" s="6" t="s">
        <v>4</v>
      </c>
      <c r="E861" s="22" t="s">
        <v>125</v>
      </c>
      <c r="F861" s="22" t="s">
        <v>136</v>
      </c>
      <c r="G861" s="22" t="s">
        <v>99</v>
      </c>
      <c r="H861" s="32" t="s">
        <v>79</v>
      </c>
    </row>
    <row r="862" ht="20" customHeight="1" spans="1:8" x14ac:dyDescent="0.25">
      <c r="A862" s="24" t="s">
        <v>48</v>
      </c>
      <c r="B862" s="24" t="s">
        <v>36</v>
      </c>
      <c r="C862" s="25" t="s">
        <v>32</v>
      </c>
      <c r="D862" s="6" t="s">
        <v>4</v>
      </c>
      <c r="E862" s="24" t="s">
        <v>125</v>
      </c>
      <c r="F862" s="24" t="s">
        <v>136</v>
      </c>
      <c r="G862" s="24" t="s">
        <v>99</v>
      </c>
      <c r="H862" s="30" t="s">
        <v>79</v>
      </c>
    </row>
    <row r="863" ht="20" customHeight="1" spans="1:8" x14ac:dyDescent="0.25">
      <c r="A863" s="22" t="s">
        <v>49</v>
      </c>
      <c r="B863" s="22" t="s">
        <v>38</v>
      </c>
      <c r="C863" s="23" t="s">
        <v>32</v>
      </c>
      <c r="D863" s="6" t="s">
        <v>4</v>
      </c>
      <c r="E863" s="22" t="s">
        <v>125</v>
      </c>
      <c r="F863" s="22" t="s">
        <v>136</v>
      </c>
      <c r="G863" s="22" t="s">
        <v>99</v>
      </c>
      <c r="H863" s="32" t="s">
        <v>79</v>
      </c>
    </row>
    <row r="864" ht="20" customHeight="1" spans="1:8" x14ac:dyDescent="0.25">
      <c r="A864" s="24" t="s">
        <v>50</v>
      </c>
      <c r="B864" s="24" t="s">
        <v>40</v>
      </c>
      <c r="C864" s="25" t="s">
        <v>32</v>
      </c>
      <c r="D864" s="33" t="s">
        <v>86</v>
      </c>
      <c r="E864" s="24" t="s">
        <v>12</v>
      </c>
      <c r="F864" s="24" t="s">
        <v>12</v>
      </c>
      <c r="G864" s="24" t="s">
        <v>12</v>
      </c>
      <c r="H864" s="24" t="s">
        <v>32</v>
      </c>
    </row>
    <row r="865" ht="20" customHeight="1" spans="1:8" x14ac:dyDescent="0.25">
      <c r="A865" s="22" t="s">
        <v>51</v>
      </c>
      <c r="B865" s="22" t="s">
        <v>42</v>
      </c>
      <c r="C865" s="23" t="s">
        <v>32</v>
      </c>
      <c r="D865" s="35" t="s">
        <v>86</v>
      </c>
      <c r="E865" s="22" t="s">
        <v>12</v>
      </c>
      <c r="F865" s="22" t="s">
        <v>12</v>
      </c>
      <c r="G865" s="22" t="s">
        <v>12</v>
      </c>
      <c r="H865" s="22" t="s">
        <v>32</v>
      </c>
    </row>
    <row r="866" ht="20" customHeight="1" spans="1:8" x14ac:dyDescent="0.25">
      <c r="A866" s="24" t="s">
        <v>52</v>
      </c>
      <c r="B866" s="24" t="s">
        <v>45</v>
      </c>
      <c r="C866" s="25" t="s">
        <v>32</v>
      </c>
      <c r="D866" s="6" t="s">
        <v>4</v>
      </c>
      <c r="E866" s="24" t="s">
        <v>125</v>
      </c>
      <c r="F866" s="24" t="s">
        <v>136</v>
      </c>
      <c r="G866" s="24" t="s">
        <v>99</v>
      </c>
      <c r="H866" s="30" t="s">
        <v>79</v>
      </c>
    </row>
    <row r="867" ht="20" customHeight="1" spans="1:8" x14ac:dyDescent="0.25">
      <c r="A867" s="22" t="s">
        <v>53</v>
      </c>
      <c r="B867" s="22" t="s">
        <v>31</v>
      </c>
      <c r="C867" s="23" t="s">
        <v>32</v>
      </c>
      <c r="D867" s="6" t="s">
        <v>4</v>
      </c>
      <c r="E867" s="22" t="s">
        <v>125</v>
      </c>
      <c r="F867" s="22" t="s">
        <v>136</v>
      </c>
      <c r="G867" s="22" t="s">
        <v>99</v>
      </c>
      <c r="H867" s="32" t="s">
        <v>79</v>
      </c>
    </row>
    <row r="868" ht="20" customHeight="1" spans="1:8" x14ac:dyDescent="0.25">
      <c r="A868" s="24" t="s">
        <v>54</v>
      </c>
      <c r="B868" s="24" t="s">
        <v>34</v>
      </c>
      <c r="C868" s="25" t="s">
        <v>32</v>
      </c>
      <c r="D868" s="6" t="s">
        <v>4</v>
      </c>
      <c r="E868" s="24" t="s">
        <v>125</v>
      </c>
      <c r="F868" s="24" t="s">
        <v>136</v>
      </c>
      <c r="G868" s="24" t="s">
        <v>99</v>
      </c>
      <c r="H868" s="30" t="s">
        <v>79</v>
      </c>
    </row>
    <row r="869" ht="20" customHeight="1" spans="1:8" x14ac:dyDescent="0.25">
      <c r="A869" s="22" t="s">
        <v>55</v>
      </c>
      <c r="B869" s="22" t="s">
        <v>36</v>
      </c>
      <c r="C869" s="23" t="s">
        <v>32</v>
      </c>
      <c r="D869" s="6" t="s">
        <v>4</v>
      </c>
      <c r="E869" s="22" t="s">
        <v>125</v>
      </c>
      <c r="F869" s="22" t="s">
        <v>136</v>
      </c>
      <c r="G869" s="22" t="s">
        <v>99</v>
      </c>
      <c r="H869" s="32" t="s">
        <v>79</v>
      </c>
    </row>
    <row r="870" ht="20" customHeight="1" spans="1:8" x14ac:dyDescent="0.25">
      <c r="A870" s="24" t="s">
        <v>56</v>
      </c>
      <c r="B870" s="24" t="s">
        <v>38</v>
      </c>
      <c r="C870" s="25" t="s">
        <v>32</v>
      </c>
      <c r="D870" s="6" t="s">
        <v>4</v>
      </c>
      <c r="E870" s="24" t="s">
        <v>125</v>
      </c>
      <c r="F870" s="24" t="s">
        <v>136</v>
      </c>
      <c r="G870" s="24" t="s">
        <v>99</v>
      </c>
      <c r="H870" s="30" t="s">
        <v>79</v>
      </c>
    </row>
    <row r="871" ht="20" customHeight="1" spans="1:8" x14ac:dyDescent="0.25">
      <c r="A871" s="22" t="s">
        <v>57</v>
      </c>
      <c r="B871" s="22" t="s">
        <v>40</v>
      </c>
      <c r="C871" s="23" t="s">
        <v>32</v>
      </c>
      <c r="D871" s="6" t="s">
        <v>4</v>
      </c>
      <c r="E871" s="22" t="s">
        <v>125</v>
      </c>
      <c r="F871" s="22" t="s">
        <v>136</v>
      </c>
      <c r="G871" s="22" t="s">
        <v>99</v>
      </c>
      <c r="H871" s="32" t="s">
        <v>79</v>
      </c>
    </row>
    <row r="872" ht="20" customHeight="1" spans="1:8" x14ac:dyDescent="0.25">
      <c r="A872" s="24" t="s">
        <v>58</v>
      </c>
      <c r="B872" s="24" t="s">
        <v>42</v>
      </c>
      <c r="C872" s="25" t="s">
        <v>32</v>
      </c>
      <c r="D872" s="33" t="s">
        <v>86</v>
      </c>
      <c r="E872" s="24" t="s">
        <v>12</v>
      </c>
      <c r="F872" s="24" t="s">
        <v>12</v>
      </c>
      <c r="G872" s="24" t="s">
        <v>12</v>
      </c>
      <c r="H872" s="24" t="s">
        <v>32</v>
      </c>
    </row>
    <row r="873" ht="20" customHeight="1" spans="1:8" x14ac:dyDescent="0.25">
      <c r="A873" s="22" t="s">
        <v>59</v>
      </c>
      <c r="B873" s="22" t="s">
        <v>45</v>
      </c>
      <c r="C873" s="23" t="s">
        <v>32</v>
      </c>
      <c r="D873" s="6" t="s">
        <v>4</v>
      </c>
      <c r="E873" s="22" t="s">
        <v>125</v>
      </c>
      <c r="F873" s="22" t="s">
        <v>136</v>
      </c>
      <c r="G873" s="22" t="s">
        <v>99</v>
      </c>
      <c r="H873" s="32" t="s">
        <v>79</v>
      </c>
    </row>
    <row r="874" ht="20" customHeight="1" spans="1:8" x14ac:dyDescent="0.25">
      <c r="A874" s="24" t="s">
        <v>60</v>
      </c>
      <c r="B874" s="24" t="s">
        <v>31</v>
      </c>
      <c r="C874" s="25" t="s">
        <v>32</v>
      </c>
      <c r="D874" s="6" t="s">
        <v>4</v>
      </c>
      <c r="E874" s="24" t="s">
        <v>125</v>
      </c>
      <c r="F874" s="24" t="s">
        <v>136</v>
      </c>
      <c r="G874" s="24" t="s">
        <v>99</v>
      </c>
      <c r="H874" s="30" t="s">
        <v>79</v>
      </c>
    </row>
    <row r="875" ht="20" customHeight="1" spans="1:8" x14ac:dyDescent="0.25">
      <c r="A875" s="22" t="s">
        <v>61</v>
      </c>
      <c r="B875" s="22" t="s">
        <v>34</v>
      </c>
      <c r="C875" s="23" t="s">
        <v>32</v>
      </c>
      <c r="D875" s="6" t="s">
        <v>4</v>
      </c>
      <c r="E875" s="22" t="s">
        <v>125</v>
      </c>
      <c r="F875" s="22" t="s">
        <v>136</v>
      </c>
      <c r="G875" s="22" t="s">
        <v>99</v>
      </c>
      <c r="H875" s="32" t="s">
        <v>79</v>
      </c>
    </row>
    <row r="876" ht="20" customHeight="1" spans="1:8" x14ac:dyDescent="0.25">
      <c r="A876" s="24" t="s">
        <v>62</v>
      </c>
      <c r="B876" s="24" t="s">
        <v>36</v>
      </c>
      <c r="C876" s="25" t="s">
        <v>71</v>
      </c>
      <c r="D876" s="6" t="s">
        <v>4</v>
      </c>
      <c r="E876" s="24" t="s">
        <v>125</v>
      </c>
      <c r="F876" s="24" t="s">
        <v>136</v>
      </c>
      <c r="G876" s="24" t="s">
        <v>99</v>
      </c>
      <c r="H876" s="30" t="s">
        <v>79</v>
      </c>
    </row>
    <row r="877" ht="20" customHeight="1" spans="1:8" x14ac:dyDescent="0.25">
      <c r="A877" s="22" t="s">
        <v>63</v>
      </c>
      <c r="B877" s="22" t="s">
        <v>38</v>
      </c>
      <c r="C877" s="23" t="s">
        <v>71</v>
      </c>
      <c r="D877" s="6" t="s">
        <v>4</v>
      </c>
      <c r="E877" s="22" t="s">
        <v>125</v>
      </c>
      <c r="F877" s="22" t="s">
        <v>136</v>
      </c>
      <c r="G877" s="22" t="s">
        <v>99</v>
      </c>
      <c r="H877" s="32" t="s">
        <v>79</v>
      </c>
    </row>
    <row r="878" ht="20" customHeight="1" spans="1:8" x14ac:dyDescent="0.25">
      <c r="A878" s="24" t="s">
        <v>64</v>
      </c>
      <c r="B878" s="24" t="s">
        <v>40</v>
      </c>
      <c r="C878" s="25" t="s">
        <v>32</v>
      </c>
      <c r="D878" s="6" t="s">
        <v>4</v>
      </c>
      <c r="E878" s="24" t="s">
        <v>125</v>
      </c>
      <c r="F878" s="24" t="s">
        <v>136</v>
      </c>
      <c r="G878" s="24" t="s">
        <v>99</v>
      </c>
      <c r="H878" s="30" t="s">
        <v>79</v>
      </c>
    </row>
    <row r="879" ht="20" customHeight="1" spans="1:8" x14ac:dyDescent="0.25">
      <c r="A879" s="22" t="s">
        <v>65</v>
      </c>
      <c r="B879" s="22" t="s">
        <v>42</v>
      </c>
      <c r="C879" s="23" t="s">
        <v>32</v>
      </c>
      <c r="D879" s="35" t="s">
        <v>86</v>
      </c>
      <c r="E879" s="22" t="s">
        <v>12</v>
      </c>
      <c r="F879" s="22" t="s">
        <v>12</v>
      </c>
      <c r="G879" s="22" t="s">
        <v>12</v>
      </c>
      <c r="H879" s="22" t="s">
        <v>32</v>
      </c>
    </row>
    <row r="880" ht="20" customHeight="1" spans="1:8" x14ac:dyDescent="0.25">
      <c r="A880" s="24" t="s">
        <v>66</v>
      </c>
      <c r="B880" s="24" t="s">
        <v>45</v>
      </c>
      <c r="C880" s="25" t="s">
        <v>71</v>
      </c>
      <c r="D880" s="6" t="s">
        <v>4</v>
      </c>
      <c r="E880" s="24" t="s">
        <v>125</v>
      </c>
      <c r="F880" s="24" t="s">
        <v>136</v>
      </c>
      <c r="G880" s="24" t="s">
        <v>99</v>
      </c>
      <c r="H880" s="30" t="s">
        <v>79</v>
      </c>
    </row>
    <row r="881" ht="20" customHeight="1" spans="1:8" x14ac:dyDescent="0.25">
      <c r="A881" s="22" t="s">
        <v>67</v>
      </c>
      <c r="B881" s="22" t="s">
        <v>31</v>
      </c>
      <c r="C881" s="23" t="s">
        <v>71</v>
      </c>
      <c r="D881" s="6" t="s">
        <v>4</v>
      </c>
      <c r="E881" s="22" t="s">
        <v>125</v>
      </c>
      <c r="F881" s="22" t="s">
        <v>136</v>
      </c>
      <c r="G881" s="22" t="s">
        <v>99</v>
      </c>
      <c r="H881" s="32" t="s">
        <v>79</v>
      </c>
    </row>
    <row r="882" ht="20" customHeight="1" spans="1:8" x14ac:dyDescent="0.25">
      <c r="A882" s="24" t="s">
        <v>68</v>
      </c>
      <c r="B882" s="24" t="s">
        <v>34</v>
      </c>
      <c r="C882" s="25" t="s">
        <v>32</v>
      </c>
      <c r="D882" s="6" t="s">
        <v>4</v>
      </c>
      <c r="E882" s="24" t="s">
        <v>125</v>
      </c>
      <c r="F882" s="24" t="s">
        <v>136</v>
      </c>
      <c r="G882" s="24" t="s">
        <v>99</v>
      </c>
      <c r="H882" s="30" t="s">
        <v>79</v>
      </c>
    </row>
    <row r="883" ht="22" customHeight="1" spans="1:8" x14ac:dyDescent="0.25">
      <c r="A883" s="26" t="s">
        <v>69</v>
      </c>
      <c r="B883" s="26"/>
      <c r="C883" s="26"/>
      <c r="D883" s="26"/>
      <c r="E883" s="26"/>
      <c r="F883" s="26"/>
      <c r="G883" s="27" t="s">
        <v>270</v>
      </c>
      <c r="H883" s="28" t="s">
        <v>12</v>
      </c>
    </row>
    <row r="885" ht="26" customHeight="1" spans="1:8" x14ac:dyDescent="0.25">
      <c r="A885" s="20" t="s">
        <v>1729</v>
      </c>
      <c r="B885" s="20"/>
      <c r="C885" s="20"/>
      <c r="D885" s="20"/>
      <c r="E885" s="20"/>
      <c r="F885" s="20"/>
      <c r="G885" s="20"/>
      <c r="H885" s="20"/>
    </row>
    <row r="886" ht="22" customHeight="1" spans="1:8" x14ac:dyDescent="0.25">
      <c r="A886" s="21" t="s">
        <v>22</v>
      </c>
      <c r="B886" s="21" t="s">
        <v>23</v>
      </c>
      <c r="C886" s="21" t="s">
        <v>24</v>
      </c>
      <c r="D886" s="21" t="s">
        <v>25</v>
      </c>
      <c r="E886" s="21" t="s">
        <v>26</v>
      </c>
      <c r="F886" s="21" t="s">
        <v>27</v>
      </c>
      <c r="G886" s="21" t="s">
        <v>28</v>
      </c>
      <c r="H886" s="21" t="s">
        <v>29</v>
      </c>
    </row>
    <row r="887" ht="20" customHeight="1" spans="1:8" x14ac:dyDescent="0.25">
      <c r="A887" s="22" t="s">
        <v>30</v>
      </c>
      <c r="B887" s="22" t="s">
        <v>31</v>
      </c>
      <c r="C887" s="23" t="s">
        <v>32</v>
      </c>
      <c r="D887" s="7" t="s">
        <v>5</v>
      </c>
      <c r="E887" s="22" t="s">
        <v>12</v>
      </c>
      <c r="F887" s="22" t="s">
        <v>12</v>
      </c>
      <c r="G887" s="22" t="s">
        <v>12</v>
      </c>
      <c r="H887" s="22" t="s">
        <v>32</v>
      </c>
    </row>
    <row r="888" ht="20" customHeight="1" spans="1:8" x14ac:dyDescent="0.25">
      <c r="A888" s="24" t="s">
        <v>33</v>
      </c>
      <c r="B888" s="24" t="s">
        <v>34</v>
      </c>
      <c r="C888" s="25" t="s">
        <v>32</v>
      </c>
      <c r="D888" s="7" t="s">
        <v>5</v>
      </c>
      <c r="E888" s="24" t="s">
        <v>12</v>
      </c>
      <c r="F888" s="24" t="s">
        <v>12</v>
      </c>
      <c r="G888" s="24" t="s">
        <v>12</v>
      </c>
      <c r="H888" s="24" t="s">
        <v>32</v>
      </c>
    </row>
    <row r="889" ht="20" customHeight="1" spans="1:8" x14ac:dyDescent="0.25">
      <c r="A889" s="22" t="s">
        <v>35</v>
      </c>
      <c r="B889" s="22" t="s">
        <v>36</v>
      </c>
      <c r="C889" s="23" t="s">
        <v>32</v>
      </c>
      <c r="D889" s="7" t="s">
        <v>5</v>
      </c>
      <c r="E889" s="22" t="s">
        <v>12</v>
      </c>
      <c r="F889" s="22" t="s">
        <v>12</v>
      </c>
      <c r="G889" s="22" t="s">
        <v>12</v>
      </c>
      <c r="H889" s="22" t="s">
        <v>32</v>
      </c>
    </row>
    <row r="890" ht="20" customHeight="1" spans="1:8" x14ac:dyDescent="0.25">
      <c r="A890" s="24" t="s">
        <v>37</v>
      </c>
      <c r="B890" s="24" t="s">
        <v>38</v>
      </c>
      <c r="C890" s="25" t="s">
        <v>32</v>
      </c>
      <c r="D890" s="16" t="s">
        <v>43</v>
      </c>
      <c r="E890" s="24" t="s">
        <v>12</v>
      </c>
      <c r="F890" s="24" t="s">
        <v>12</v>
      </c>
      <c r="G890" s="24" t="s">
        <v>12</v>
      </c>
      <c r="H890" s="24" t="s">
        <v>32</v>
      </c>
    </row>
    <row r="891" ht="20" customHeight="1" spans="1:8" x14ac:dyDescent="0.25">
      <c r="A891" s="22" t="s">
        <v>39</v>
      </c>
      <c r="B891" s="22" t="s">
        <v>40</v>
      </c>
      <c r="C891" s="23" t="s">
        <v>32</v>
      </c>
      <c r="D891" s="7" t="s">
        <v>5</v>
      </c>
      <c r="E891" s="22" t="s">
        <v>12</v>
      </c>
      <c r="F891" s="22" t="s">
        <v>12</v>
      </c>
      <c r="G891" s="22" t="s">
        <v>12</v>
      </c>
      <c r="H891" s="22" t="s">
        <v>32</v>
      </c>
    </row>
    <row r="892" ht="20" customHeight="1" spans="1:8" x14ac:dyDescent="0.25">
      <c r="A892" s="24" t="s">
        <v>41</v>
      </c>
      <c r="B892" s="24" t="s">
        <v>42</v>
      </c>
      <c r="C892" s="25" t="s">
        <v>32</v>
      </c>
      <c r="D892" s="16" t="s">
        <v>43</v>
      </c>
      <c r="E892" s="24" t="s">
        <v>12</v>
      </c>
      <c r="F892" s="24" t="s">
        <v>12</v>
      </c>
      <c r="G892" s="24" t="s">
        <v>12</v>
      </c>
      <c r="H892" s="24" t="s">
        <v>32</v>
      </c>
    </row>
    <row r="893" ht="20" customHeight="1" spans="1:8" x14ac:dyDescent="0.25">
      <c r="A893" s="22" t="s">
        <v>44</v>
      </c>
      <c r="B893" s="22" t="s">
        <v>45</v>
      </c>
      <c r="C893" s="23" t="s">
        <v>32</v>
      </c>
      <c r="D893" s="7" t="s">
        <v>5</v>
      </c>
      <c r="E893" s="22" t="s">
        <v>12</v>
      </c>
      <c r="F893" s="22" t="s">
        <v>12</v>
      </c>
      <c r="G893" s="22" t="s">
        <v>12</v>
      </c>
      <c r="H893" s="22" t="s">
        <v>32</v>
      </c>
    </row>
    <row r="894" ht="20" customHeight="1" spans="1:8" x14ac:dyDescent="0.25">
      <c r="A894" s="24" t="s">
        <v>46</v>
      </c>
      <c r="B894" s="24" t="s">
        <v>31</v>
      </c>
      <c r="C894" s="25" t="s">
        <v>32</v>
      </c>
      <c r="D894" s="7" t="s">
        <v>5</v>
      </c>
      <c r="E894" s="24" t="s">
        <v>12</v>
      </c>
      <c r="F894" s="24" t="s">
        <v>12</v>
      </c>
      <c r="G894" s="24" t="s">
        <v>12</v>
      </c>
      <c r="H894" s="24" t="s">
        <v>32</v>
      </c>
    </row>
    <row r="895" ht="20" customHeight="1" spans="1:8" x14ac:dyDescent="0.25">
      <c r="A895" s="22" t="s">
        <v>47</v>
      </c>
      <c r="B895" s="22" t="s">
        <v>34</v>
      </c>
      <c r="C895" s="23" t="s">
        <v>32</v>
      </c>
      <c r="D895" s="7" t="s">
        <v>5</v>
      </c>
      <c r="E895" s="22" t="s">
        <v>12</v>
      </c>
      <c r="F895" s="22" t="s">
        <v>12</v>
      </c>
      <c r="G895" s="22" t="s">
        <v>12</v>
      </c>
      <c r="H895" s="22" t="s">
        <v>32</v>
      </c>
    </row>
    <row r="896" ht="20" customHeight="1" spans="1:8" x14ac:dyDescent="0.25">
      <c r="A896" s="24" t="s">
        <v>48</v>
      </c>
      <c r="B896" s="24" t="s">
        <v>36</v>
      </c>
      <c r="C896" s="25" t="s">
        <v>32</v>
      </c>
      <c r="D896" s="7" t="s">
        <v>5</v>
      </c>
      <c r="E896" s="24" t="s">
        <v>12</v>
      </c>
      <c r="F896" s="24" t="s">
        <v>12</v>
      </c>
      <c r="G896" s="24" t="s">
        <v>12</v>
      </c>
      <c r="H896" s="24" t="s">
        <v>32</v>
      </c>
    </row>
    <row r="897" ht="20" customHeight="1" spans="1:8" x14ac:dyDescent="0.25">
      <c r="A897" s="22" t="s">
        <v>49</v>
      </c>
      <c r="B897" s="22" t="s">
        <v>38</v>
      </c>
      <c r="C897" s="23" t="s">
        <v>32</v>
      </c>
      <c r="D897" s="7" t="s">
        <v>5</v>
      </c>
      <c r="E897" s="22" t="s">
        <v>12</v>
      </c>
      <c r="F897" s="22" t="s">
        <v>12</v>
      </c>
      <c r="G897" s="22" t="s">
        <v>12</v>
      </c>
      <c r="H897" s="22" t="s">
        <v>32</v>
      </c>
    </row>
    <row r="898" ht="20" customHeight="1" spans="1:8" x14ac:dyDescent="0.25">
      <c r="A898" s="24" t="s">
        <v>50</v>
      </c>
      <c r="B898" s="24" t="s">
        <v>40</v>
      </c>
      <c r="C898" s="25" t="s">
        <v>32</v>
      </c>
      <c r="D898" s="16" t="s">
        <v>43</v>
      </c>
      <c r="E898" s="24" t="s">
        <v>12</v>
      </c>
      <c r="F898" s="24" t="s">
        <v>12</v>
      </c>
      <c r="G898" s="24" t="s">
        <v>12</v>
      </c>
      <c r="H898" s="24" t="s">
        <v>32</v>
      </c>
    </row>
    <row r="899" ht="20" customHeight="1" spans="1:8" x14ac:dyDescent="0.25">
      <c r="A899" s="22" t="s">
        <v>51</v>
      </c>
      <c r="B899" s="22" t="s">
        <v>42</v>
      </c>
      <c r="C899" s="23" t="s">
        <v>32</v>
      </c>
      <c r="D899" s="16" t="s">
        <v>43</v>
      </c>
      <c r="E899" s="22" t="s">
        <v>12</v>
      </c>
      <c r="F899" s="22" t="s">
        <v>12</v>
      </c>
      <c r="G899" s="22" t="s">
        <v>12</v>
      </c>
      <c r="H899" s="22" t="s">
        <v>32</v>
      </c>
    </row>
    <row r="900" ht="20" customHeight="1" spans="1:8" x14ac:dyDescent="0.25">
      <c r="A900" s="24" t="s">
        <v>52</v>
      </c>
      <c r="B900" s="24" t="s">
        <v>45</v>
      </c>
      <c r="C900" s="25" t="s">
        <v>32</v>
      </c>
      <c r="D900" s="7" t="s">
        <v>5</v>
      </c>
      <c r="E900" s="24" t="s">
        <v>12</v>
      </c>
      <c r="F900" s="24" t="s">
        <v>12</v>
      </c>
      <c r="G900" s="24" t="s">
        <v>12</v>
      </c>
      <c r="H900" s="24" t="s">
        <v>32</v>
      </c>
    </row>
    <row r="901" ht="20" customHeight="1" spans="1:8" x14ac:dyDescent="0.25">
      <c r="A901" s="22" t="s">
        <v>53</v>
      </c>
      <c r="B901" s="22" t="s">
        <v>31</v>
      </c>
      <c r="C901" s="23" t="s">
        <v>32</v>
      </c>
      <c r="D901" s="7" t="s">
        <v>5</v>
      </c>
      <c r="E901" s="22" t="s">
        <v>12</v>
      </c>
      <c r="F901" s="22" t="s">
        <v>12</v>
      </c>
      <c r="G901" s="22" t="s">
        <v>12</v>
      </c>
      <c r="H901" s="22" t="s">
        <v>32</v>
      </c>
    </row>
    <row r="902" ht="20" customHeight="1" spans="1:8" x14ac:dyDescent="0.25">
      <c r="A902" s="24" t="s">
        <v>54</v>
      </c>
      <c r="B902" s="24" t="s">
        <v>34</v>
      </c>
      <c r="C902" s="25" t="s">
        <v>32</v>
      </c>
      <c r="D902" s="7" t="s">
        <v>5</v>
      </c>
      <c r="E902" s="24" t="s">
        <v>12</v>
      </c>
      <c r="F902" s="24" t="s">
        <v>12</v>
      </c>
      <c r="G902" s="24" t="s">
        <v>12</v>
      </c>
      <c r="H902" s="24" t="s">
        <v>32</v>
      </c>
    </row>
    <row r="903" ht="20" customHeight="1" spans="1:8" x14ac:dyDescent="0.25">
      <c r="A903" s="22" t="s">
        <v>55</v>
      </c>
      <c r="B903" s="22" t="s">
        <v>36</v>
      </c>
      <c r="C903" s="23" t="s">
        <v>32</v>
      </c>
      <c r="D903" s="7" t="s">
        <v>5</v>
      </c>
      <c r="E903" s="22" t="s">
        <v>12</v>
      </c>
      <c r="F903" s="22" t="s">
        <v>12</v>
      </c>
      <c r="G903" s="22" t="s">
        <v>12</v>
      </c>
      <c r="H903" s="22" t="s">
        <v>32</v>
      </c>
    </row>
    <row r="904" ht="20" customHeight="1" spans="1:8" x14ac:dyDescent="0.25">
      <c r="A904" s="24" t="s">
        <v>56</v>
      </c>
      <c r="B904" s="24" t="s">
        <v>38</v>
      </c>
      <c r="C904" s="25" t="s">
        <v>32</v>
      </c>
      <c r="D904" s="7" t="s">
        <v>5</v>
      </c>
      <c r="E904" s="24" t="s">
        <v>12</v>
      </c>
      <c r="F904" s="24" t="s">
        <v>12</v>
      </c>
      <c r="G904" s="24" t="s">
        <v>12</v>
      </c>
      <c r="H904" s="24" t="s">
        <v>32</v>
      </c>
    </row>
    <row r="905" ht="20" customHeight="1" spans="1:8" x14ac:dyDescent="0.25">
      <c r="A905" s="22" t="s">
        <v>57</v>
      </c>
      <c r="B905" s="22" t="s">
        <v>40</v>
      </c>
      <c r="C905" s="23" t="s">
        <v>32</v>
      </c>
      <c r="D905" s="7" t="s">
        <v>5</v>
      </c>
      <c r="E905" s="22" t="s">
        <v>12</v>
      </c>
      <c r="F905" s="22" t="s">
        <v>12</v>
      </c>
      <c r="G905" s="22" t="s">
        <v>12</v>
      </c>
      <c r="H905" s="22" t="s">
        <v>32</v>
      </c>
    </row>
    <row r="906" ht="20" customHeight="1" spans="1:8" x14ac:dyDescent="0.25">
      <c r="A906" s="24" t="s">
        <v>58</v>
      </c>
      <c r="B906" s="24" t="s">
        <v>42</v>
      </c>
      <c r="C906" s="25" t="s">
        <v>32</v>
      </c>
      <c r="D906" s="16" t="s">
        <v>43</v>
      </c>
      <c r="E906" s="24" t="s">
        <v>12</v>
      </c>
      <c r="F906" s="24" t="s">
        <v>12</v>
      </c>
      <c r="G906" s="24" t="s">
        <v>12</v>
      </c>
      <c r="H906" s="24" t="s">
        <v>32</v>
      </c>
    </row>
    <row r="907" ht="20" customHeight="1" spans="1:8" x14ac:dyDescent="0.25">
      <c r="A907" s="22" t="s">
        <v>59</v>
      </c>
      <c r="B907" s="22" t="s">
        <v>45</v>
      </c>
      <c r="C907" s="23" t="s">
        <v>32</v>
      </c>
      <c r="D907" s="7" t="s">
        <v>5</v>
      </c>
      <c r="E907" s="22" t="s">
        <v>12</v>
      </c>
      <c r="F907" s="22" t="s">
        <v>12</v>
      </c>
      <c r="G907" s="22" t="s">
        <v>12</v>
      </c>
      <c r="H907" s="22" t="s">
        <v>32</v>
      </c>
    </row>
    <row r="908" ht="20" customHeight="1" spans="1:8" x14ac:dyDescent="0.25">
      <c r="A908" s="24" t="s">
        <v>60</v>
      </c>
      <c r="B908" s="24" t="s">
        <v>31</v>
      </c>
      <c r="C908" s="25" t="s">
        <v>32</v>
      </c>
      <c r="D908" s="7" t="s">
        <v>5</v>
      </c>
      <c r="E908" s="24" t="s">
        <v>12</v>
      </c>
      <c r="F908" s="24" t="s">
        <v>12</v>
      </c>
      <c r="G908" s="24" t="s">
        <v>12</v>
      </c>
      <c r="H908" s="24" t="s">
        <v>32</v>
      </c>
    </row>
    <row r="909" ht="20" customHeight="1" spans="1:8" x14ac:dyDescent="0.25">
      <c r="A909" s="22" t="s">
        <v>61</v>
      </c>
      <c r="B909" s="22" t="s">
        <v>34</v>
      </c>
      <c r="C909" s="23" t="s">
        <v>32</v>
      </c>
      <c r="D909" s="7" t="s">
        <v>5</v>
      </c>
      <c r="E909" s="22" t="s">
        <v>12</v>
      </c>
      <c r="F909" s="22" t="s">
        <v>12</v>
      </c>
      <c r="G909" s="22" t="s">
        <v>12</v>
      </c>
      <c r="H909" s="22" t="s">
        <v>32</v>
      </c>
    </row>
    <row r="910" ht="20" customHeight="1" spans="1:8" x14ac:dyDescent="0.25">
      <c r="A910" s="24" t="s">
        <v>62</v>
      </c>
      <c r="B910" s="24" t="s">
        <v>36</v>
      </c>
      <c r="C910" s="25" t="s">
        <v>32</v>
      </c>
      <c r="D910" s="7" t="s">
        <v>5</v>
      </c>
      <c r="E910" s="24" t="s">
        <v>12</v>
      </c>
      <c r="F910" s="24" t="s">
        <v>12</v>
      </c>
      <c r="G910" s="24" t="s">
        <v>12</v>
      </c>
      <c r="H910" s="24" t="s">
        <v>32</v>
      </c>
    </row>
    <row r="911" ht="20" customHeight="1" spans="1:8" x14ac:dyDescent="0.25">
      <c r="A911" s="22" t="s">
        <v>63</v>
      </c>
      <c r="B911" s="22" t="s">
        <v>38</v>
      </c>
      <c r="C911" s="23" t="s">
        <v>32</v>
      </c>
      <c r="D911" s="7" t="s">
        <v>5</v>
      </c>
      <c r="E911" s="22" t="s">
        <v>12</v>
      </c>
      <c r="F911" s="22" t="s">
        <v>12</v>
      </c>
      <c r="G911" s="22" t="s">
        <v>12</v>
      </c>
      <c r="H911" s="22" t="s">
        <v>32</v>
      </c>
    </row>
    <row r="912" ht="20" customHeight="1" spans="1:8" x14ac:dyDescent="0.25">
      <c r="A912" s="24" t="s">
        <v>64</v>
      </c>
      <c r="B912" s="24" t="s">
        <v>40</v>
      </c>
      <c r="C912" s="25" t="s">
        <v>32</v>
      </c>
      <c r="D912" s="7" t="s">
        <v>5</v>
      </c>
      <c r="E912" s="24" t="s">
        <v>12</v>
      </c>
      <c r="F912" s="24" t="s">
        <v>12</v>
      </c>
      <c r="G912" s="24" t="s">
        <v>12</v>
      </c>
      <c r="H912" s="24" t="s">
        <v>32</v>
      </c>
    </row>
    <row r="913" ht="20" customHeight="1" spans="1:8" x14ac:dyDescent="0.25">
      <c r="A913" s="22" t="s">
        <v>65</v>
      </c>
      <c r="B913" s="22" t="s">
        <v>42</v>
      </c>
      <c r="C913" s="23" t="s">
        <v>32</v>
      </c>
      <c r="D913" s="16" t="s">
        <v>43</v>
      </c>
      <c r="E913" s="22" t="s">
        <v>12</v>
      </c>
      <c r="F913" s="22" t="s">
        <v>12</v>
      </c>
      <c r="G913" s="22" t="s">
        <v>12</v>
      </c>
      <c r="H913" s="22" t="s">
        <v>32</v>
      </c>
    </row>
    <row r="914" ht="20" customHeight="1" spans="1:8" x14ac:dyDescent="0.25">
      <c r="A914" s="24" t="s">
        <v>66</v>
      </c>
      <c r="B914" s="24" t="s">
        <v>45</v>
      </c>
      <c r="C914" s="25" t="s">
        <v>32</v>
      </c>
      <c r="D914" s="7" t="s">
        <v>5</v>
      </c>
      <c r="E914" s="24" t="s">
        <v>12</v>
      </c>
      <c r="F914" s="24" t="s">
        <v>12</v>
      </c>
      <c r="G914" s="24" t="s">
        <v>12</v>
      </c>
      <c r="H914" s="24" t="s">
        <v>32</v>
      </c>
    </row>
    <row r="915" ht="20" customHeight="1" spans="1:8" x14ac:dyDescent="0.25">
      <c r="A915" s="22" t="s">
        <v>67</v>
      </c>
      <c r="B915" s="22" t="s">
        <v>31</v>
      </c>
      <c r="C915" s="23" t="s">
        <v>32</v>
      </c>
      <c r="D915" s="7" t="s">
        <v>5</v>
      </c>
      <c r="E915" s="22" t="s">
        <v>12</v>
      </c>
      <c r="F915" s="22" t="s">
        <v>12</v>
      </c>
      <c r="G915" s="22" t="s">
        <v>12</v>
      </c>
      <c r="H915" s="22" t="s">
        <v>32</v>
      </c>
    </row>
    <row r="916" ht="20" customHeight="1" spans="1:8" x14ac:dyDescent="0.25">
      <c r="A916" s="24" t="s">
        <v>68</v>
      </c>
      <c r="B916" s="24" t="s">
        <v>34</v>
      </c>
      <c r="C916" s="25" t="s">
        <v>32</v>
      </c>
      <c r="D916" s="7" t="s">
        <v>5</v>
      </c>
      <c r="E916" s="24" t="s">
        <v>12</v>
      </c>
      <c r="F916" s="24" t="s">
        <v>12</v>
      </c>
      <c r="G916" s="24" t="s">
        <v>12</v>
      </c>
      <c r="H916" s="24" t="s">
        <v>32</v>
      </c>
    </row>
    <row r="917" ht="22" customHeight="1" spans="1:8" x14ac:dyDescent="0.25">
      <c r="A917" s="26" t="s">
        <v>69</v>
      </c>
      <c r="B917" s="26"/>
      <c r="C917" s="26"/>
      <c r="D917" s="26"/>
      <c r="E917" s="26"/>
      <c r="F917" s="26"/>
      <c r="G917" s="27" t="s">
        <v>18</v>
      </c>
      <c r="H917" s="28" t="s">
        <v>12</v>
      </c>
    </row>
    <row r="919" ht="26" customHeight="1" spans="1:8" x14ac:dyDescent="0.25">
      <c r="A919" s="20" t="s">
        <v>1730</v>
      </c>
      <c r="B919" s="20"/>
      <c r="C919" s="20"/>
      <c r="D919" s="20"/>
      <c r="E919" s="20"/>
      <c r="F919" s="20"/>
      <c r="G919" s="20"/>
      <c r="H919" s="20"/>
    </row>
    <row r="920" ht="22" customHeight="1" spans="1:8" x14ac:dyDescent="0.25">
      <c r="A920" s="21" t="s">
        <v>22</v>
      </c>
      <c r="B920" s="21" t="s">
        <v>23</v>
      </c>
      <c r="C920" s="21" t="s">
        <v>24</v>
      </c>
      <c r="D920" s="21" t="s">
        <v>25</v>
      </c>
      <c r="E920" s="21" t="s">
        <v>26</v>
      </c>
      <c r="F920" s="21" t="s">
        <v>27</v>
      </c>
      <c r="G920" s="21" t="s">
        <v>28</v>
      </c>
      <c r="H920" s="21" t="s">
        <v>29</v>
      </c>
    </row>
    <row r="921" ht="20" customHeight="1" spans="1:8" x14ac:dyDescent="0.25">
      <c r="A921" s="22" t="s">
        <v>30</v>
      </c>
      <c r="B921" s="22" t="s">
        <v>31</v>
      </c>
      <c r="C921" s="23" t="s">
        <v>71</v>
      </c>
      <c r="D921" s="6" t="s">
        <v>4</v>
      </c>
      <c r="E921" s="22" t="s">
        <v>385</v>
      </c>
      <c r="F921" s="22" t="s">
        <v>164</v>
      </c>
      <c r="G921" s="22" t="s">
        <v>440</v>
      </c>
      <c r="H921" s="32" t="s">
        <v>79</v>
      </c>
    </row>
    <row r="922" ht="20" customHeight="1" spans="1:8" x14ac:dyDescent="0.25">
      <c r="A922" s="24" t="s">
        <v>33</v>
      </c>
      <c r="B922" s="24" t="s">
        <v>34</v>
      </c>
      <c r="C922" s="25" t="s">
        <v>71</v>
      </c>
      <c r="D922" s="6" t="s">
        <v>4</v>
      </c>
      <c r="E922" s="24" t="s">
        <v>434</v>
      </c>
      <c r="F922" s="24" t="s">
        <v>374</v>
      </c>
      <c r="G922" s="24" t="s">
        <v>290</v>
      </c>
      <c r="H922" s="30" t="s">
        <v>79</v>
      </c>
    </row>
    <row r="923" ht="20" customHeight="1" spans="1:8" x14ac:dyDescent="0.25">
      <c r="A923" s="22" t="s">
        <v>35</v>
      </c>
      <c r="B923" s="22" t="s">
        <v>36</v>
      </c>
      <c r="C923" s="23" t="s">
        <v>71</v>
      </c>
      <c r="D923" s="6" t="s">
        <v>4</v>
      </c>
      <c r="E923" s="22" t="s">
        <v>409</v>
      </c>
      <c r="F923" s="22" t="s">
        <v>386</v>
      </c>
      <c r="G923" s="22" t="s">
        <v>147</v>
      </c>
      <c r="H923" s="32" t="s">
        <v>79</v>
      </c>
    </row>
    <row r="924" ht="20" customHeight="1" spans="1:8" x14ac:dyDescent="0.25">
      <c r="A924" s="24" t="s">
        <v>37</v>
      </c>
      <c r="B924" s="24" t="s">
        <v>38</v>
      </c>
      <c r="C924" s="25" t="s">
        <v>71</v>
      </c>
      <c r="D924" s="31" t="s">
        <v>11</v>
      </c>
      <c r="E924" s="24" t="s">
        <v>12</v>
      </c>
      <c r="F924" s="24" t="s">
        <v>12</v>
      </c>
      <c r="G924" s="24" t="s">
        <v>12</v>
      </c>
      <c r="H924" s="24" t="s">
        <v>32</v>
      </c>
    </row>
    <row r="925" ht="20" customHeight="1" spans="1:8" x14ac:dyDescent="0.25">
      <c r="A925" s="22" t="s">
        <v>39</v>
      </c>
      <c r="B925" s="22" t="s">
        <v>40</v>
      </c>
      <c r="C925" s="23" t="s">
        <v>71</v>
      </c>
      <c r="D925" s="36" t="s">
        <v>764</v>
      </c>
      <c r="E925" s="22" t="s">
        <v>1282</v>
      </c>
      <c r="F925" s="22" t="s">
        <v>213</v>
      </c>
      <c r="G925" s="22" t="s">
        <v>1118</v>
      </c>
      <c r="H925" s="29" t="s">
        <v>1283</v>
      </c>
    </row>
    <row r="926" ht="20" customHeight="1" spans="1:8" x14ac:dyDescent="0.25">
      <c r="A926" s="24" t="s">
        <v>41</v>
      </c>
      <c r="B926" s="24" t="s">
        <v>42</v>
      </c>
      <c r="C926" s="25" t="s">
        <v>71</v>
      </c>
      <c r="D926" s="33" t="s">
        <v>86</v>
      </c>
      <c r="E926" s="24" t="s">
        <v>12</v>
      </c>
      <c r="F926" s="24" t="s">
        <v>12</v>
      </c>
      <c r="G926" s="24" t="s">
        <v>12</v>
      </c>
      <c r="H926" s="24" t="s">
        <v>32</v>
      </c>
    </row>
    <row r="927" ht="20" customHeight="1" spans="1:8" x14ac:dyDescent="0.25">
      <c r="A927" s="22" t="s">
        <v>44</v>
      </c>
      <c r="B927" s="22" t="s">
        <v>45</v>
      </c>
      <c r="C927" s="23" t="s">
        <v>71</v>
      </c>
      <c r="D927" s="6" t="s">
        <v>4</v>
      </c>
      <c r="E927" s="22" t="s">
        <v>511</v>
      </c>
      <c r="F927" s="22" t="s">
        <v>1731</v>
      </c>
      <c r="G927" s="22" t="s">
        <v>773</v>
      </c>
      <c r="H927" s="29" t="s">
        <v>1732</v>
      </c>
    </row>
    <row r="928" ht="20" customHeight="1" spans="1:8" x14ac:dyDescent="0.25">
      <c r="A928" s="24" t="s">
        <v>46</v>
      </c>
      <c r="B928" s="24" t="s">
        <v>31</v>
      </c>
      <c r="C928" s="25" t="s">
        <v>71</v>
      </c>
      <c r="D928" s="6" t="s">
        <v>4</v>
      </c>
      <c r="E928" s="24" t="s">
        <v>372</v>
      </c>
      <c r="F928" s="24" t="s">
        <v>186</v>
      </c>
      <c r="G928" s="24" t="s">
        <v>572</v>
      </c>
      <c r="H928" s="30" t="s">
        <v>79</v>
      </c>
    </row>
    <row r="929" ht="20" customHeight="1" spans="1:8" x14ac:dyDescent="0.25">
      <c r="A929" s="22" t="s">
        <v>47</v>
      </c>
      <c r="B929" s="22" t="s">
        <v>34</v>
      </c>
      <c r="C929" s="23" t="s">
        <v>71</v>
      </c>
      <c r="D929" s="6" t="s">
        <v>4</v>
      </c>
      <c r="E929" s="22" t="s">
        <v>320</v>
      </c>
      <c r="F929" s="22" t="s">
        <v>366</v>
      </c>
      <c r="G929" s="22" t="s">
        <v>119</v>
      </c>
      <c r="H929" s="32" t="s">
        <v>79</v>
      </c>
    </row>
    <row r="930" ht="20" customHeight="1" spans="1:8" x14ac:dyDescent="0.25">
      <c r="A930" s="24" t="s">
        <v>48</v>
      </c>
      <c r="B930" s="24" t="s">
        <v>36</v>
      </c>
      <c r="C930" s="25" t="s">
        <v>71</v>
      </c>
      <c r="D930" s="6" t="s">
        <v>4</v>
      </c>
      <c r="E930" s="24" t="s">
        <v>397</v>
      </c>
      <c r="F930" s="24" t="s">
        <v>324</v>
      </c>
      <c r="G930" s="24" t="s">
        <v>290</v>
      </c>
      <c r="H930" s="30" t="s">
        <v>79</v>
      </c>
    </row>
    <row r="931" ht="20" customHeight="1" spans="1:8" x14ac:dyDescent="0.25">
      <c r="A931" s="22" t="s">
        <v>49</v>
      </c>
      <c r="B931" s="22" t="s">
        <v>38</v>
      </c>
      <c r="C931" s="23" t="s">
        <v>71</v>
      </c>
      <c r="D931" s="6" t="s">
        <v>4</v>
      </c>
      <c r="E931" s="22" t="s">
        <v>409</v>
      </c>
      <c r="F931" s="22" t="s">
        <v>404</v>
      </c>
      <c r="G931" s="22" t="s">
        <v>659</v>
      </c>
      <c r="H931" s="32" t="s">
        <v>79</v>
      </c>
    </row>
    <row r="932" ht="20" customHeight="1" spans="1:8" x14ac:dyDescent="0.25">
      <c r="A932" s="24" t="s">
        <v>50</v>
      </c>
      <c r="B932" s="24" t="s">
        <v>40</v>
      </c>
      <c r="C932" s="25" t="s">
        <v>71</v>
      </c>
      <c r="D932" s="33" t="s">
        <v>86</v>
      </c>
      <c r="E932" s="24" t="s">
        <v>12</v>
      </c>
      <c r="F932" s="24" t="s">
        <v>12</v>
      </c>
      <c r="G932" s="24" t="s">
        <v>12</v>
      </c>
      <c r="H932" s="24" t="s">
        <v>32</v>
      </c>
    </row>
    <row r="933" ht="20" customHeight="1" spans="1:8" x14ac:dyDescent="0.25">
      <c r="A933" s="22" t="s">
        <v>51</v>
      </c>
      <c r="B933" s="22" t="s">
        <v>42</v>
      </c>
      <c r="C933" s="23" t="s">
        <v>71</v>
      </c>
      <c r="D933" s="35" t="s">
        <v>86</v>
      </c>
      <c r="E933" s="22" t="s">
        <v>12</v>
      </c>
      <c r="F933" s="22" t="s">
        <v>12</v>
      </c>
      <c r="G933" s="22" t="s">
        <v>12</v>
      </c>
      <c r="H933" s="22" t="s">
        <v>32</v>
      </c>
    </row>
    <row r="934" ht="20" customHeight="1" spans="1:8" x14ac:dyDescent="0.25">
      <c r="A934" s="24" t="s">
        <v>52</v>
      </c>
      <c r="B934" s="24" t="s">
        <v>45</v>
      </c>
      <c r="C934" s="25" t="s">
        <v>71</v>
      </c>
      <c r="D934" s="6" t="s">
        <v>4</v>
      </c>
      <c r="E934" s="24" t="s">
        <v>635</v>
      </c>
      <c r="F934" s="24" t="s">
        <v>373</v>
      </c>
      <c r="G934" s="24" t="s">
        <v>99</v>
      </c>
      <c r="H934" s="30" t="s">
        <v>79</v>
      </c>
    </row>
    <row r="935" ht="20" customHeight="1" spans="1:8" x14ac:dyDescent="0.25">
      <c r="A935" s="22" t="s">
        <v>53</v>
      </c>
      <c r="B935" s="22" t="s">
        <v>31</v>
      </c>
      <c r="C935" s="23" t="s">
        <v>71</v>
      </c>
      <c r="D935" s="6" t="s">
        <v>4</v>
      </c>
      <c r="E935" s="22" t="s">
        <v>311</v>
      </c>
      <c r="F935" s="22" t="s">
        <v>136</v>
      </c>
      <c r="G935" s="22" t="s">
        <v>259</v>
      </c>
      <c r="H935" s="32" t="s">
        <v>79</v>
      </c>
    </row>
    <row r="936" ht="20" customHeight="1" spans="1:8" x14ac:dyDescent="0.25">
      <c r="A936" s="24" t="s">
        <v>54</v>
      </c>
      <c r="B936" s="24" t="s">
        <v>34</v>
      </c>
      <c r="C936" s="25" t="s">
        <v>71</v>
      </c>
      <c r="D936" s="6" t="s">
        <v>4</v>
      </c>
      <c r="E936" s="24" t="s">
        <v>383</v>
      </c>
      <c r="F936" s="24" t="s">
        <v>389</v>
      </c>
      <c r="G936" s="24" t="s">
        <v>250</v>
      </c>
      <c r="H936" s="30" t="s">
        <v>79</v>
      </c>
    </row>
    <row r="937" ht="20" customHeight="1" spans="1:8" x14ac:dyDescent="0.25">
      <c r="A937" s="22" t="s">
        <v>55</v>
      </c>
      <c r="B937" s="22" t="s">
        <v>36</v>
      </c>
      <c r="C937" s="23" t="s">
        <v>71</v>
      </c>
      <c r="D937" s="6" t="s">
        <v>4</v>
      </c>
      <c r="E937" s="22" t="s">
        <v>405</v>
      </c>
      <c r="F937" s="22" t="s">
        <v>384</v>
      </c>
      <c r="G937" s="22" t="s">
        <v>130</v>
      </c>
      <c r="H937" s="32" t="s">
        <v>79</v>
      </c>
    </row>
    <row r="938" ht="20" customHeight="1" spans="1:8" x14ac:dyDescent="0.25">
      <c r="A938" s="24" t="s">
        <v>56</v>
      </c>
      <c r="B938" s="24" t="s">
        <v>38</v>
      </c>
      <c r="C938" s="25" t="s">
        <v>71</v>
      </c>
      <c r="D938" s="10" t="s">
        <v>87</v>
      </c>
      <c r="E938" s="24" t="s">
        <v>12</v>
      </c>
      <c r="F938" s="24" t="s">
        <v>12</v>
      </c>
      <c r="G938" s="24" t="s">
        <v>12</v>
      </c>
      <c r="H938" s="24" t="s">
        <v>32</v>
      </c>
    </row>
    <row r="939" ht="20" customHeight="1" spans="1:8" x14ac:dyDescent="0.25">
      <c r="A939" s="22" t="s">
        <v>57</v>
      </c>
      <c r="B939" s="22" t="s">
        <v>40</v>
      </c>
      <c r="C939" s="23" t="s">
        <v>71</v>
      </c>
      <c r="D939" s="6" t="s">
        <v>4</v>
      </c>
      <c r="E939" s="22" t="s">
        <v>434</v>
      </c>
      <c r="F939" s="22" t="s">
        <v>395</v>
      </c>
      <c r="G939" s="22" t="s">
        <v>142</v>
      </c>
      <c r="H939" s="32" t="s">
        <v>79</v>
      </c>
    </row>
    <row r="940" ht="20" customHeight="1" spans="1:8" x14ac:dyDescent="0.25">
      <c r="A940" s="24" t="s">
        <v>58</v>
      </c>
      <c r="B940" s="24" t="s">
        <v>42</v>
      </c>
      <c r="C940" s="25" t="s">
        <v>71</v>
      </c>
      <c r="D940" s="33" t="s">
        <v>86</v>
      </c>
      <c r="E940" s="24" t="s">
        <v>12</v>
      </c>
      <c r="F940" s="24" t="s">
        <v>12</v>
      </c>
      <c r="G940" s="24" t="s">
        <v>12</v>
      </c>
      <c r="H940" s="24" t="s">
        <v>32</v>
      </c>
    </row>
    <row r="941" ht="20" customHeight="1" spans="1:8" x14ac:dyDescent="0.25">
      <c r="A941" s="22" t="s">
        <v>59</v>
      </c>
      <c r="B941" s="22" t="s">
        <v>45</v>
      </c>
      <c r="C941" s="23" t="s">
        <v>71</v>
      </c>
      <c r="D941" s="6" t="s">
        <v>4</v>
      </c>
      <c r="E941" s="22" t="s">
        <v>391</v>
      </c>
      <c r="F941" s="22" t="s">
        <v>389</v>
      </c>
      <c r="G941" s="22" t="s">
        <v>659</v>
      </c>
      <c r="H941" s="32" t="s">
        <v>79</v>
      </c>
    </row>
    <row r="942" ht="20" customHeight="1" spans="1:8" x14ac:dyDescent="0.25">
      <c r="A942" s="24" t="s">
        <v>60</v>
      </c>
      <c r="B942" s="24" t="s">
        <v>31</v>
      </c>
      <c r="C942" s="25" t="s">
        <v>71</v>
      </c>
      <c r="D942" s="6" t="s">
        <v>4</v>
      </c>
      <c r="E942" s="24" t="s">
        <v>390</v>
      </c>
      <c r="F942" s="24" t="s">
        <v>136</v>
      </c>
      <c r="G942" s="24" t="s">
        <v>329</v>
      </c>
      <c r="H942" s="30" t="s">
        <v>79</v>
      </c>
    </row>
    <row r="943" ht="20" customHeight="1" spans="1:8" x14ac:dyDescent="0.25">
      <c r="A943" s="22" t="s">
        <v>61</v>
      </c>
      <c r="B943" s="22" t="s">
        <v>34</v>
      </c>
      <c r="C943" s="23" t="s">
        <v>71</v>
      </c>
      <c r="D943" s="6" t="s">
        <v>4</v>
      </c>
      <c r="E943" s="22" t="s">
        <v>511</v>
      </c>
      <c r="F943" s="22" t="s">
        <v>211</v>
      </c>
      <c r="G943" s="22" t="s">
        <v>971</v>
      </c>
      <c r="H943" s="32" t="s">
        <v>79</v>
      </c>
    </row>
    <row r="944" ht="20" customHeight="1" spans="1:8" x14ac:dyDescent="0.25">
      <c r="A944" s="24" t="s">
        <v>62</v>
      </c>
      <c r="B944" s="24" t="s">
        <v>36</v>
      </c>
      <c r="C944" s="25" t="s">
        <v>71</v>
      </c>
      <c r="D944" s="6" t="s">
        <v>4</v>
      </c>
      <c r="E944" s="24" t="s">
        <v>387</v>
      </c>
      <c r="F944" s="24" t="s">
        <v>136</v>
      </c>
      <c r="G944" s="24" t="s">
        <v>267</v>
      </c>
      <c r="H944" s="30" t="s">
        <v>79</v>
      </c>
    </row>
    <row r="945" ht="20" customHeight="1" spans="1:8" x14ac:dyDescent="0.25">
      <c r="A945" s="22" t="s">
        <v>63</v>
      </c>
      <c r="B945" s="22" t="s">
        <v>38</v>
      </c>
      <c r="C945" s="23" t="s">
        <v>71</v>
      </c>
      <c r="D945" s="6" t="s">
        <v>4</v>
      </c>
      <c r="E945" s="22" t="s">
        <v>397</v>
      </c>
      <c r="F945" s="22" t="s">
        <v>525</v>
      </c>
      <c r="G945" s="22" t="s">
        <v>393</v>
      </c>
      <c r="H945" s="29" t="s">
        <v>526</v>
      </c>
    </row>
    <row r="946" ht="20" customHeight="1" spans="1:8" x14ac:dyDescent="0.25">
      <c r="A946" s="24" t="s">
        <v>64</v>
      </c>
      <c r="B946" s="24" t="s">
        <v>40</v>
      </c>
      <c r="C946" s="25" t="s">
        <v>71</v>
      </c>
      <c r="D946" s="6" t="s">
        <v>4</v>
      </c>
      <c r="E946" s="24" t="s">
        <v>397</v>
      </c>
      <c r="F946" s="24" t="s">
        <v>258</v>
      </c>
      <c r="G946" s="24" t="s">
        <v>296</v>
      </c>
      <c r="H946" s="30" t="s">
        <v>79</v>
      </c>
    </row>
    <row r="947" ht="20" customHeight="1" spans="1:8" x14ac:dyDescent="0.25">
      <c r="A947" s="22" t="s">
        <v>65</v>
      </c>
      <c r="B947" s="22" t="s">
        <v>42</v>
      </c>
      <c r="C947" s="23" t="s">
        <v>71</v>
      </c>
      <c r="D947" s="35" t="s">
        <v>86</v>
      </c>
      <c r="E947" s="22" t="s">
        <v>12</v>
      </c>
      <c r="F947" s="22" t="s">
        <v>12</v>
      </c>
      <c r="G947" s="22" t="s">
        <v>12</v>
      </c>
      <c r="H947" s="22" t="s">
        <v>32</v>
      </c>
    </row>
    <row r="948" ht="20" customHeight="1" spans="1:8" x14ac:dyDescent="0.25">
      <c r="A948" s="24" t="s">
        <v>66</v>
      </c>
      <c r="B948" s="24" t="s">
        <v>45</v>
      </c>
      <c r="C948" s="25" t="s">
        <v>71</v>
      </c>
      <c r="D948" s="6" t="s">
        <v>4</v>
      </c>
      <c r="E948" s="24" t="s">
        <v>311</v>
      </c>
      <c r="F948" s="24" t="s">
        <v>160</v>
      </c>
      <c r="G948" s="24" t="s">
        <v>652</v>
      </c>
      <c r="H948" s="30" t="s">
        <v>79</v>
      </c>
    </row>
    <row r="949" ht="20" customHeight="1" spans="1:8" x14ac:dyDescent="0.25">
      <c r="A949" s="22" t="s">
        <v>67</v>
      </c>
      <c r="B949" s="22" t="s">
        <v>31</v>
      </c>
      <c r="C949" s="23" t="s">
        <v>71</v>
      </c>
      <c r="D949" s="6" t="s">
        <v>4</v>
      </c>
      <c r="E949" s="22" t="s">
        <v>405</v>
      </c>
      <c r="F949" s="22" t="s">
        <v>77</v>
      </c>
      <c r="G949" s="22" t="s">
        <v>1365</v>
      </c>
      <c r="H949" s="32" t="s">
        <v>79</v>
      </c>
    </row>
    <row r="950" ht="20" customHeight="1" spans="1:8" x14ac:dyDescent="0.25">
      <c r="A950" s="24" t="s">
        <v>68</v>
      </c>
      <c r="B950" s="24" t="s">
        <v>34</v>
      </c>
      <c r="C950" s="25" t="s">
        <v>71</v>
      </c>
      <c r="D950" s="6" t="s">
        <v>4</v>
      </c>
      <c r="E950" s="24" t="s">
        <v>189</v>
      </c>
      <c r="F950" s="24" t="s">
        <v>748</v>
      </c>
      <c r="G950" s="24" t="s">
        <v>281</v>
      </c>
      <c r="H950" s="34" t="s">
        <v>191</v>
      </c>
    </row>
    <row r="951" ht="22" customHeight="1" spans="1:8" x14ac:dyDescent="0.25">
      <c r="A951" s="26" t="s">
        <v>69</v>
      </c>
      <c r="B951" s="26"/>
      <c r="C951" s="26"/>
      <c r="D951" s="26"/>
      <c r="E951" s="26"/>
      <c r="F951" s="26"/>
      <c r="G951" s="27" t="s">
        <v>1733</v>
      </c>
      <c r="H951" s="28" t="s">
        <v>12</v>
      </c>
    </row>
    <row r="953" ht="26" customHeight="1" spans="1:8" x14ac:dyDescent="0.25">
      <c r="A953" s="20" t="s">
        <v>1734</v>
      </c>
      <c r="B953" s="20"/>
      <c r="C953" s="20"/>
      <c r="D953" s="20"/>
      <c r="E953" s="20"/>
      <c r="F953" s="20"/>
      <c r="G953" s="20"/>
      <c r="H953" s="20"/>
    </row>
    <row r="954" ht="22" customHeight="1" spans="1:8" x14ac:dyDescent="0.25">
      <c r="A954" s="21" t="s">
        <v>22</v>
      </c>
      <c r="B954" s="21" t="s">
        <v>23</v>
      </c>
      <c r="C954" s="21" t="s">
        <v>24</v>
      </c>
      <c r="D954" s="21" t="s">
        <v>25</v>
      </c>
      <c r="E954" s="21" t="s">
        <v>26</v>
      </c>
      <c r="F954" s="21" t="s">
        <v>27</v>
      </c>
      <c r="G954" s="21" t="s">
        <v>28</v>
      </c>
      <c r="H954" s="21" t="s">
        <v>29</v>
      </c>
    </row>
    <row r="955" ht="20" customHeight="1" spans="1:8" x14ac:dyDescent="0.25">
      <c r="A955" s="22" t="s">
        <v>30</v>
      </c>
      <c r="B955" s="22" t="s">
        <v>31</v>
      </c>
      <c r="C955" s="23" t="s">
        <v>71</v>
      </c>
      <c r="D955" s="6" t="s">
        <v>4</v>
      </c>
      <c r="E955" s="22" t="s">
        <v>515</v>
      </c>
      <c r="F955" s="22" t="s">
        <v>84</v>
      </c>
      <c r="G955" s="22" t="s">
        <v>119</v>
      </c>
      <c r="H955" s="29" t="s">
        <v>517</v>
      </c>
    </row>
    <row r="956" ht="20" customHeight="1" spans="1:8" x14ac:dyDescent="0.25">
      <c r="A956" s="24" t="s">
        <v>33</v>
      </c>
      <c r="B956" s="24" t="s">
        <v>34</v>
      </c>
      <c r="C956" s="25" t="s">
        <v>71</v>
      </c>
      <c r="D956" s="6" t="s">
        <v>4</v>
      </c>
      <c r="E956" s="24" t="s">
        <v>322</v>
      </c>
      <c r="F956" s="24" t="s">
        <v>160</v>
      </c>
      <c r="G956" s="24" t="s">
        <v>563</v>
      </c>
      <c r="H956" s="34" t="s">
        <v>323</v>
      </c>
    </row>
    <row r="957" ht="20" customHeight="1" spans="1:8" x14ac:dyDescent="0.25">
      <c r="A957" s="22" t="s">
        <v>35</v>
      </c>
      <c r="B957" s="22" t="s">
        <v>36</v>
      </c>
      <c r="C957" s="23" t="s">
        <v>71</v>
      </c>
      <c r="D957" s="6" t="s">
        <v>4</v>
      </c>
      <c r="E957" s="22" t="s">
        <v>635</v>
      </c>
      <c r="F957" s="22" t="s">
        <v>186</v>
      </c>
      <c r="G957" s="22" t="s">
        <v>137</v>
      </c>
      <c r="H957" s="32" t="s">
        <v>79</v>
      </c>
    </row>
    <row r="958" ht="20" customHeight="1" spans="1:8" x14ac:dyDescent="0.25">
      <c r="A958" s="24" t="s">
        <v>37</v>
      </c>
      <c r="B958" s="24" t="s">
        <v>38</v>
      </c>
      <c r="C958" s="25" t="s">
        <v>71</v>
      </c>
      <c r="D958" s="31" t="s">
        <v>11</v>
      </c>
      <c r="E958" s="24" t="s">
        <v>12</v>
      </c>
      <c r="F958" s="24" t="s">
        <v>12</v>
      </c>
      <c r="G958" s="24" t="s">
        <v>12</v>
      </c>
      <c r="H958" s="24" t="s">
        <v>32</v>
      </c>
    </row>
    <row r="959" ht="20" customHeight="1" spans="1:8" x14ac:dyDescent="0.25">
      <c r="A959" s="22" t="s">
        <v>39</v>
      </c>
      <c r="B959" s="22" t="s">
        <v>40</v>
      </c>
      <c r="C959" s="23" t="s">
        <v>71</v>
      </c>
      <c r="D959" s="6" t="s">
        <v>4</v>
      </c>
      <c r="E959" s="22" t="s">
        <v>567</v>
      </c>
      <c r="F959" s="22" t="s">
        <v>1421</v>
      </c>
      <c r="G959" s="22" t="s">
        <v>74</v>
      </c>
      <c r="H959" s="32" t="s">
        <v>79</v>
      </c>
    </row>
    <row r="960" ht="20" customHeight="1" spans="1:8" x14ac:dyDescent="0.25">
      <c r="A960" s="24" t="s">
        <v>41</v>
      </c>
      <c r="B960" s="24" t="s">
        <v>42</v>
      </c>
      <c r="C960" s="25" t="s">
        <v>71</v>
      </c>
      <c r="D960" s="33" t="s">
        <v>86</v>
      </c>
      <c r="E960" s="24" t="s">
        <v>12</v>
      </c>
      <c r="F960" s="24" t="s">
        <v>12</v>
      </c>
      <c r="G960" s="24" t="s">
        <v>12</v>
      </c>
      <c r="H960" s="24" t="s">
        <v>32</v>
      </c>
    </row>
    <row r="961" ht="20" customHeight="1" spans="1:8" x14ac:dyDescent="0.25">
      <c r="A961" s="22" t="s">
        <v>44</v>
      </c>
      <c r="B961" s="22" t="s">
        <v>45</v>
      </c>
      <c r="C961" s="23" t="s">
        <v>71</v>
      </c>
      <c r="D961" s="6" t="s">
        <v>4</v>
      </c>
      <c r="E961" s="22" t="s">
        <v>242</v>
      </c>
      <c r="F961" s="22" t="s">
        <v>153</v>
      </c>
      <c r="G961" s="22" t="s">
        <v>285</v>
      </c>
      <c r="H961" s="29" t="s">
        <v>244</v>
      </c>
    </row>
    <row r="962" ht="20" customHeight="1" spans="1:8" x14ac:dyDescent="0.25">
      <c r="A962" s="24" t="s">
        <v>46</v>
      </c>
      <c r="B962" s="24" t="s">
        <v>31</v>
      </c>
      <c r="C962" s="25" t="s">
        <v>71</v>
      </c>
      <c r="D962" s="6" t="s">
        <v>4</v>
      </c>
      <c r="E962" s="24" t="s">
        <v>576</v>
      </c>
      <c r="F962" s="24" t="s">
        <v>1735</v>
      </c>
      <c r="G962" s="24" t="s">
        <v>711</v>
      </c>
      <c r="H962" s="34" t="s">
        <v>1736</v>
      </c>
    </row>
    <row r="963" ht="20" customHeight="1" spans="1:8" x14ac:dyDescent="0.25">
      <c r="A963" s="22" t="s">
        <v>47</v>
      </c>
      <c r="B963" s="22" t="s">
        <v>34</v>
      </c>
      <c r="C963" s="23" t="s">
        <v>71</v>
      </c>
      <c r="D963" s="6" t="s">
        <v>4</v>
      </c>
      <c r="E963" s="22" t="s">
        <v>311</v>
      </c>
      <c r="F963" s="22" t="s">
        <v>706</v>
      </c>
      <c r="G963" s="22" t="s">
        <v>1737</v>
      </c>
      <c r="H963" s="29" t="s">
        <v>1738</v>
      </c>
    </row>
    <row r="964" ht="20" customHeight="1" spans="1:8" x14ac:dyDescent="0.25">
      <c r="A964" s="24" t="s">
        <v>48</v>
      </c>
      <c r="B964" s="24" t="s">
        <v>36</v>
      </c>
      <c r="C964" s="25" t="s">
        <v>71</v>
      </c>
      <c r="D964" s="6" t="s">
        <v>4</v>
      </c>
      <c r="E964" s="24" t="s">
        <v>411</v>
      </c>
      <c r="F964" s="24" t="s">
        <v>558</v>
      </c>
      <c r="G964" s="24" t="s">
        <v>1615</v>
      </c>
      <c r="H964" s="34" t="s">
        <v>1739</v>
      </c>
    </row>
    <row r="965" ht="20" customHeight="1" spans="1:8" x14ac:dyDescent="0.25">
      <c r="A965" s="22" t="s">
        <v>49</v>
      </c>
      <c r="B965" s="22" t="s">
        <v>38</v>
      </c>
      <c r="C965" s="23" t="s">
        <v>71</v>
      </c>
      <c r="D965" s="6" t="s">
        <v>4</v>
      </c>
      <c r="E965" s="22" t="s">
        <v>390</v>
      </c>
      <c r="F965" s="22" t="s">
        <v>1735</v>
      </c>
      <c r="G965" s="22" t="s">
        <v>1740</v>
      </c>
      <c r="H965" s="29" t="s">
        <v>1736</v>
      </c>
    </row>
    <row r="966" ht="20" customHeight="1" spans="1:8" x14ac:dyDescent="0.25">
      <c r="A966" s="24" t="s">
        <v>50</v>
      </c>
      <c r="B966" s="24" t="s">
        <v>40</v>
      </c>
      <c r="C966" s="25" t="s">
        <v>71</v>
      </c>
      <c r="D966" s="33" t="s">
        <v>86</v>
      </c>
      <c r="E966" s="24" t="s">
        <v>12</v>
      </c>
      <c r="F966" s="24" t="s">
        <v>12</v>
      </c>
      <c r="G966" s="24" t="s">
        <v>12</v>
      </c>
      <c r="H966" s="24" t="s">
        <v>32</v>
      </c>
    </row>
    <row r="967" ht="20" customHeight="1" spans="1:8" x14ac:dyDescent="0.25">
      <c r="A967" s="22" t="s">
        <v>51</v>
      </c>
      <c r="B967" s="22" t="s">
        <v>42</v>
      </c>
      <c r="C967" s="23" t="s">
        <v>71</v>
      </c>
      <c r="D967" s="35" t="s">
        <v>86</v>
      </c>
      <c r="E967" s="22" t="s">
        <v>12</v>
      </c>
      <c r="F967" s="22" t="s">
        <v>12</v>
      </c>
      <c r="G967" s="22" t="s">
        <v>12</v>
      </c>
      <c r="H967" s="22" t="s">
        <v>32</v>
      </c>
    </row>
    <row r="968" ht="20" customHeight="1" spans="1:8" x14ac:dyDescent="0.25">
      <c r="A968" s="24" t="s">
        <v>52</v>
      </c>
      <c r="B968" s="24" t="s">
        <v>45</v>
      </c>
      <c r="C968" s="25" t="s">
        <v>71</v>
      </c>
      <c r="D968" s="6" t="s">
        <v>4</v>
      </c>
      <c r="E968" s="24" t="s">
        <v>878</v>
      </c>
      <c r="F968" s="24" t="s">
        <v>713</v>
      </c>
      <c r="G968" s="24" t="s">
        <v>1741</v>
      </c>
      <c r="H968" s="34" t="s">
        <v>1742</v>
      </c>
    </row>
    <row r="969" ht="20" customHeight="1" spans="1:8" x14ac:dyDescent="0.25">
      <c r="A969" s="22" t="s">
        <v>53</v>
      </c>
      <c r="B969" s="22" t="s">
        <v>31</v>
      </c>
      <c r="C969" s="23" t="s">
        <v>71</v>
      </c>
      <c r="D969" s="10" t="s">
        <v>87</v>
      </c>
      <c r="E969" s="22" t="s">
        <v>12</v>
      </c>
      <c r="F969" s="22" t="s">
        <v>12</v>
      </c>
      <c r="G969" s="22" t="s">
        <v>12</v>
      </c>
      <c r="H969" s="22" t="s">
        <v>32</v>
      </c>
    </row>
    <row r="970" ht="20" customHeight="1" spans="1:8" x14ac:dyDescent="0.25">
      <c r="A970" s="24" t="s">
        <v>54</v>
      </c>
      <c r="B970" s="24" t="s">
        <v>34</v>
      </c>
      <c r="C970" s="25" t="s">
        <v>71</v>
      </c>
      <c r="D970" s="6" t="s">
        <v>4</v>
      </c>
      <c r="E970" s="24" t="s">
        <v>372</v>
      </c>
      <c r="F970" s="24" t="s">
        <v>193</v>
      </c>
      <c r="G970" s="24" t="s">
        <v>578</v>
      </c>
      <c r="H970" s="30" t="s">
        <v>79</v>
      </c>
    </row>
    <row r="971" ht="20" customHeight="1" spans="1:8" x14ac:dyDescent="0.25">
      <c r="A971" s="22" t="s">
        <v>55</v>
      </c>
      <c r="B971" s="22" t="s">
        <v>36</v>
      </c>
      <c r="C971" s="23" t="s">
        <v>71</v>
      </c>
      <c r="D971" s="6" t="s">
        <v>4</v>
      </c>
      <c r="E971" s="22" t="s">
        <v>392</v>
      </c>
      <c r="F971" s="22" t="s">
        <v>164</v>
      </c>
      <c r="G971" s="22" t="s">
        <v>290</v>
      </c>
      <c r="H971" s="29" t="s">
        <v>394</v>
      </c>
    </row>
    <row r="972" ht="20" customHeight="1" spans="1:8" x14ac:dyDescent="0.25">
      <c r="A972" s="24" t="s">
        <v>56</v>
      </c>
      <c r="B972" s="24" t="s">
        <v>38</v>
      </c>
      <c r="C972" s="25" t="s">
        <v>71</v>
      </c>
      <c r="D972" s="6" t="s">
        <v>4</v>
      </c>
      <c r="E972" s="24" t="s">
        <v>320</v>
      </c>
      <c r="F972" s="24" t="s">
        <v>84</v>
      </c>
      <c r="G972" s="24" t="s">
        <v>481</v>
      </c>
      <c r="H972" s="30" t="s">
        <v>79</v>
      </c>
    </row>
    <row r="973" ht="20" customHeight="1" spans="1:8" x14ac:dyDescent="0.25">
      <c r="A973" s="22" t="s">
        <v>57</v>
      </c>
      <c r="B973" s="22" t="s">
        <v>40</v>
      </c>
      <c r="C973" s="23" t="s">
        <v>71</v>
      </c>
      <c r="D973" s="6" t="s">
        <v>4</v>
      </c>
      <c r="E973" s="22" t="s">
        <v>234</v>
      </c>
      <c r="F973" s="22" t="s">
        <v>519</v>
      </c>
      <c r="G973" s="22" t="s">
        <v>174</v>
      </c>
      <c r="H973" s="29" t="s">
        <v>236</v>
      </c>
    </row>
    <row r="974" ht="20" customHeight="1" spans="1:8" x14ac:dyDescent="0.25">
      <c r="A974" s="24" t="s">
        <v>58</v>
      </c>
      <c r="B974" s="24" t="s">
        <v>42</v>
      </c>
      <c r="C974" s="25" t="s">
        <v>71</v>
      </c>
      <c r="D974" s="33" t="s">
        <v>86</v>
      </c>
      <c r="E974" s="24" t="s">
        <v>12</v>
      </c>
      <c r="F974" s="24" t="s">
        <v>12</v>
      </c>
      <c r="G974" s="24" t="s">
        <v>12</v>
      </c>
      <c r="H974" s="24" t="s">
        <v>32</v>
      </c>
    </row>
    <row r="975" ht="20" customHeight="1" spans="1:8" x14ac:dyDescent="0.25">
      <c r="A975" s="22" t="s">
        <v>59</v>
      </c>
      <c r="B975" s="22" t="s">
        <v>45</v>
      </c>
      <c r="C975" s="23" t="s">
        <v>71</v>
      </c>
      <c r="D975" s="6" t="s">
        <v>4</v>
      </c>
      <c r="E975" s="22" t="s">
        <v>353</v>
      </c>
      <c r="F975" s="22" t="s">
        <v>761</v>
      </c>
      <c r="G975" s="22" t="s">
        <v>285</v>
      </c>
      <c r="H975" s="29" t="s">
        <v>355</v>
      </c>
    </row>
    <row r="976" ht="20" customHeight="1" spans="1:8" x14ac:dyDescent="0.25">
      <c r="A976" s="24" t="s">
        <v>60</v>
      </c>
      <c r="B976" s="24" t="s">
        <v>31</v>
      </c>
      <c r="C976" s="25" t="s">
        <v>71</v>
      </c>
      <c r="D976" s="6" t="s">
        <v>4</v>
      </c>
      <c r="E976" s="24" t="s">
        <v>348</v>
      </c>
      <c r="F976" s="24" t="s">
        <v>160</v>
      </c>
      <c r="G976" s="24" t="s">
        <v>277</v>
      </c>
      <c r="H976" s="34" t="s">
        <v>351</v>
      </c>
    </row>
    <row r="977" ht="20" customHeight="1" spans="1:8" x14ac:dyDescent="0.25">
      <c r="A977" s="22" t="s">
        <v>61</v>
      </c>
      <c r="B977" s="22" t="s">
        <v>34</v>
      </c>
      <c r="C977" s="23" t="s">
        <v>71</v>
      </c>
      <c r="D977" s="6" t="s">
        <v>4</v>
      </c>
      <c r="E977" s="22" t="s">
        <v>364</v>
      </c>
      <c r="F977" s="22" t="s">
        <v>252</v>
      </c>
      <c r="G977" s="22" t="s">
        <v>279</v>
      </c>
      <c r="H977" s="32" t="s">
        <v>79</v>
      </c>
    </row>
    <row r="978" ht="20" customHeight="1" spans="1:8" x14ac:dyDescent="0.25">
      <c r="A978" s="24" t="s">
        <v>62</v>
      </c>
      <c r="B978" s="24" t="s">
        <v>36</v>
      </c>
      <c r="C978" s="25" t="s">
        <v>71</v>
      </c>
      <c r="D978" s="6" t="s">
        <v>4</v>
      </c>
      <c r="E978" s="24" t="s">
        <v>644</v>
      </c>
      <c r="F978" s="24" t="s">
        <v>560</v>
      </c>
      <c r="G978" s="24" t="s">
        <v>130</v>
      </c>
      <c r="H978" s="34" t="s">
        <v>645</v>
      </c>
    </row>
    <row r="979" ht="20" customHeight="1" spans="1:8" x14ac:dyDescent="0.25">
      <c r="A979" s="22" t="s">
        <v>63</v>
      </c>
      <c r="B979" s="22" t="s">
        <v>38</v>
      </c>
      <c r="C979" s="23" t="s">
        <v>71</v>
      </c>
      <c r="D979" s="6" t="s">
        <v>4</v>
      </c>
      <c r="E979" s="22" t="s">
        <v>201</v>
      </c>
      <c r="F979" s="22" t="s">
        <v>252</v>
      </c>
      <c r="G979" s="22" t="s">
        <v>261</v>
      </c>
      <c r="H979" s="29" t="s">
        <v>204</v>
      </c>
    </row>
    <row r="980" ht="20" customHeight="1" spans="1:8" x14ac:dyDescent="0.25">
      <c r="A980" s="24" t="s">
        <v>64</v>
      </c>
      <c r="B980" s="24" t="s">
        <v>40</v>
      </c>
      <c r="C980" s="25" t="s">
        <v>71</v>
      </c>
      <c r="D980" s="6" t="s">
        <v>4</v>
      </c>
      <c r="E980" s="24" t="s">
        <v>379</v>
      </c>
      <c r="F980" s="24" t="s">
        <v>245</v>
      </c>
      <c r="G980" s="24" t="s">
        <v>81</v>
      </c>
      <c r="H980" s="34" t="s">
        <v>380</v>
      </c>
    </row>
    <row r="981" ht="20" customHeight="1" spans="1:8" x14ac:dyDescent="0.25">
      <c r="A981" s="22" t="s">
        <v>65</v>
      </c>
      <c r="B981" s="22" t="s">
        <v>42</v>
      </c>
      <c r="C981" s="23" t="s">
        <v>71</v>
      </c>
      <c r="D981" s="35" t="s">
        <v>86</v>
      </c>
      <c r="E981" s="22" t="s">
        <v>12</v>
      </c>
      <c r="F981" s="22" t="s">
        <v>12</v>
      </c>
      <c r="G981" s="22" t="s">
        <v>12</v>
      </c>
      <c r="H981" s="22" t="s">
        <v>32</v>
      </c>
    </row>
    <row r="982" ht="20" customHeight="1" spans="1:8" x14ac:dyDescent="0.25">
      <c r="A982" s="24" t="s">
        <v>66</v>
      </c>
      <c r="B982" s="24" t="s">
        <v>45</v>
      </c>
      <c r="C982" s="25" t="s">
        <v>71</v>
      </c>
      <c r="D982" s="6" t="s">
        <v>4</v>
      </c>
      <c r="E982" s="24" t="s">
        <v>362</v>
      </c>
      <c r="F982" s="24" t="s">
        <v>761</v>
      </c>
      <c r="G982" s="24" t="s">
        <v>119</v>
      </c>
      <c r="H982" s="30" t="s">
        <v>79</v>
      </c>
    </row>
    <row r="983" ht="20" customHeight="1" spans="1:8" x14ac:dyDescent="0.25">
      <c r="A983" s="22" t="s">
        <v>67</v>
      </c>
      <c r="B983" s="22" t="s">
        <v>31</v>
      </c>
      <c r="C983" s="23" t="s">
        <v>71</v>
      </c>
      <c r="D983" s="6" t="s">
        <v>4</v>
      </c>
      <c r="E983" s="22" t="s">
        <v>635</v>
      </c>
      <c r="F983" s="22" t="s">
        <v>245</v>
      </c>
      <c r="G983" s="22" t="s">
        <v>283</v>
      </c>
      <c r="H983" s="32" t="s">
        <v>79</v>
      </c>
    </row>
    <row r="984" ht="20" customHeight="1" spans="1:8" x14ac:dyDescent="0.25">
      <c r="A984" s="24" t="s">
        <v>68</v>
      </c>
      <c r="B984" s="24" t="s">
        <v>34</v>
      </c>
      <c r="C984" s="25" t="s">
        <v>71</v>
      </c>
      <c r="D984" s="6" t="s">
        <v>4</v>
      </c>
      <c r="E984" s="24" t="s">
        <v>644</v>
      </c>
      <c r="F984" s="24" t="s">
        <v>560</v>
      </c>
      <c r="G984" s="24" t="s">
        <v>130</v>
      </c>
      <c r="H984" s="34" t="s">
        <v>645</v>
      </c>
    </row>
    <row r="985" ht="22" customHeight="1" spans="1:8" x14ac:dyDescent="0.25">
      <c r="A985" s="26" t="s">
        <v>69</v>
      </c>
      <c r="B985" s="26"/>
      <c r="C985" s="26"/>
      <c r="D985" s="26"/>
      <c r="E985" s="26"/>
      <c r="F985" s="26"/>
      <c r="G985" s="27" t="s">
        <v>1743</v>
      </c>
      <c r="H985" s="28" t="s">
        <v>12</v>
      </c>
    </row>
  </sheetData>
  <mergeCells count="58">
    <mergeCell ref="A1:P1"/>
    <mergeCell ref="A2:P2"/>
    <mergeCell ref="A35:H35"/>
    <mergeCell ref="A67:F67"/>
    <mergeCell ref="A69:H69"/>
    <mergeCell ref="A101:F101"/>
    <mergeCell ref="A103:H103"/>
    <mergeCell ref="A135:F135"/>
    <mergeCell ref="A137:H137"/>
    <mergeCell ref="A169:F169"/>
    <mergeCell ref="A171:H171"/>
    <mergeCell ref="A203:F203"/>
    <mergeCell ref="A205:H205"/>
    <mergeCell ref="A237:F237"/>
    <mergeCell ref="A239:H239"/>
    <mergeCell ref="A271:F271"/>
    <mergeCell ref="A273:H273"/>
    <mergeCell ref="A305:F305"/>
    <mergeCell ref="A307:H307"/>
    <mergeCell ref="A339:F339"/>
    <mergeCell ref="A341:H341"/>
    <mergeCell ref="A373:F373"/>
    <mergeCell ref="A375:H375"/>
    <mergeCell ref="A407:F407"/>
    <mergeCell ref="A409:H409"/>
    <mergeCell ref="A441:F441"/>
    <mergeCell ref="A443:H443"/>
    <mergeCell ref="A475:F475"/>
    <mergeCell ref="A477:H477"/>
    <mergeCell ref="A509:F509"/>
    <mergeCell ref="A511:H511"/>
    <mergeCell ref="A543:F543"/>
    <mergeCell ref="A545:H545"/>
    <mergeCell ref="A577:F577"/>
    <mergeCell ref="A579:H579"/>
    <mergeCell ref="A611:F611"/>
    <mergeCell ref="A613:H613"/>
    <mergeCell ref="A645:F645"/>
    <mergeCell ref="A647:H647"/>
    <mergeCell ref="A679:F679"/>
    <mergeCell ref="A681:H681"/>
    <mergeCell ref="A713:F713"/>
    <mergeCell ref="A715:H715"/>
    <mergeCell ref="A747:F747"/>
    <mergeCell ref="A749:H749"/>
    <mergeCell ref="A781:F781"/>
    <mergeCell ref="A783:H783"/>
    <mergeCell ref="A815:F815"/>
    <mergeCell ref="A817:H817"/>
    <mergeCell ref="A849:F849"/>
    <mergeCell ref="A851:H851"/>
    <mergeCell ref="A883:F883"/>
    <mergeCell ref="A885:H885"/>
    <mergeCell ref="A917:F917"/>
    <mergeCell ref="A919:H919"/>
    <mergeCell ref="A951:F951"/>
    <mergeCell ref="A953:H953"/>
    <mergeCell ref="A985:F98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5"/>
  <sheetViews>
    <sheetView workbookViewId="0"/>
  </sheetViews>
  <sheetFormatPr defaultRowHeight="15" outlineLevelRow="0" outlineLevelCol="0" x14ac:dyDescent="55"/>
  <cols>
    <col min="1" max="1" width="28" customWidth="1"/>
    <col min="2" max="2" width="20" customWidth="1"/>
    <col min="3" max="4" width="13" customWidth="1"/>
    <col min="5" max="7" width="18" customWidth="1"/>
    <col min="8" max="10" width="14" customWidth="1"/>
    <col min="11" max="12" width="6" customWidth="1"/>
    <col min="13" max="13" width="28" customWidth="1"/>
    <col min="14" max="14" width="14" customWidth="1"/>
    <col min="15" max="16" width="18" customWidth="1"/>
  </cols>
  <sheetData>
    <row r="1" ht="30" customHeight="1" spans="1:16" x14ac:dyDescent="0.25">
      <c r="A1" s="1" t="s">
        <v>1744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2" customHeight="1" spans="1:16" x14ac:dyDescent="0.25">
      <c r="A2" s="2" t="s">
        <v>1745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26" customHeight="1" spans="1:1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</row>
    <row r="5" ht="22" customHeight="1" spans="1:16" x14ac:dyDescent="0.25">
      <c r="A5" s="4" t="s">
        <v>1746</v>
      </c>
      <c r="B5" s="5">
        <v>0</v>
      </c>
      <c r="C5" s="6">
        <v>0</v>
      </c>
      <c r="D5" s="7">
        <v>25</v>
      </c>
      <c r="E5" s="8">
        <v>0</v>
      </c>
      <c r="F5" s="9">
        <v>0</v>
      </c>
      <c r="G5" s="10">
        <v>0</v>
      </c>
      <c r="H5" s="11">
        <v>5</v>
      </c>
      <c r="I5" s="12">
        <v>0</v>
      </c>
      <c r="J5" s="13">
        <v>0</v>
      </c>
      <c r="K5" s="14" t="s">
        <v>12</v>
      </c>
      <c r="L5" s="14" t="s">
        <v>12</v>
      </c>
      <c r="M5" s="15">
        <v>12</v>
      </c>
      <c r="N5" s="16">
        <v>0</v>
      </c>
      <c r="O5" s="17">
        <v>12</v>
      </c>
      <c r="P5" s="18" t="s">
        <v>18</v>
      </c>
    </row>
    <row r="6" ht="22" customHeight="1" spans="1:16" x14ac:dyDescent="0.25">
      <c r="A6" s="19" t="s">
        <v>1747</v>
      </c>
      <c r="B6" s="5">
        <v>0</v>
      </c>
      <c r="C6" s="6">
        <v>0</v>
      </c>
      <c r="D6" s="7">
        <v>25</v>
      </c>
      <c r="E6" s="8">
        <v>0</v>
      </c>
      <c r="F6" s="9">
        <v>0</v>
      </c>
      <c r="G6" s="10">
        <v>0</v>
      </c>
      <c r="H6" s="11">
        <v>5</v>
      </c>
      <c r="I6" s="12">
        <v>0</v>
      </c>
      <c r="J6" s="13">
        <v>0</v>
      </c>
      <c r="K6" s="14" t="s">
        <v>12</v>
      </c>
      <c r="L6" s="14" t="s">
        <v>12</v>
      </c>
      <c r="M6" s="15">
        <v>12</v>
      </c>
      <c r="N6" s="16">
        <v>0</v>
      </c>
      <c r="O6" s="17">
        <v>12</v>
      </c>
      <c r="P6" s="18" t="s">
        <v>18</v>
      </c>
    </row>
    <row r="7" ht="22" customHeight="1" spans="1:16" x14ac:dyDescent="0.25">
      <c r="A7" s="4" t="s">
        <v>1748</v>
      </c>
      <c r="B7" s="5">
        <v>0</v>
      </c>
      <c r="C7" s="6">
        <v>0</v>
      </c>
      <c r="D7" s="7">
        <v>25</v>
      </c>
      <c r="E7" s="8">
        <v>0</v>
      </c>
      <c r="F7" s="9">
        <v>0</v>
      </c>
      <c r="G7" s="10">
        <v>0</v>
      </c>
      <c r="H7" s="11">
        <v>5</v>
      </c>
      <c r="I7" s="12">
        <v>0</v>
      </c>
      <c r="J7" s="13">
        <v>0</v>
      </c>
      <c r="K7" s="14" t="s">
        <v>12</v>
      </c>
      <c r="L7" s="14" t="s">
        <v>12</v>
      </c>
      <c r="M7" s="15">
        <v>12</v>
      </c>
      <c r="N7" s="16">
        <v>0</v>
      </c>
      <c r="O7" s="17">
        <v>12</v>
      </c>
      <c r="P7" s="18" t="s">
        <v>18</v>
      </c>
    </row>
    <row r="8" ht="22" customHeight="1" spans="1:16" x14ac:dyDescent="0.25">
      <c r="A8" s="19" t="s">
        <v>1749</v>
      </c>
      <c r="B8" s="5">
        <v>0</v>
      </c>
      <c r="C8" s="6">
        <v>0</v>
      </c>
      <c r="D8" s="7">
        <v>25</v>
      </c>
      <c r="E8" s="8">
        <v>0</v>
      </c>
      <c r="F8" s="9">
        <v>0</v>
      </c>
      <c r="G8" s="10">
        <v>0</v>
      </c>
      <c r="H8" s="11">
        <v>5</v>
      </c>
      <c r="I8" s="12">
        <v>0</v>
      </c>
      <c r="J8" s="13">
        <v>0</v>
      </c>
      <c r="K8" s="14" t="s">
        <v>12</v>
      </c>
      <c r="L8" s="14" t="s">
        <v>12</v>
      </c>
      <c r="M8" s="15">
        <v>12</v>
      </c>
      <c r="N8" s="16">
        <v>0</v>
      </c>
      <c r="O8" s="17">
        <v>12</v>
      </c>
      <c r="P8" s="18" t="s">
        <v>18</v>
      </c>
    </row>
    <row r="9" ht="22" customHeight="1" spans="1:16" x14ac:dyDescent="0.25">
      <c r="A9" s="4" t="s">
        <v>1750</v>
      </c>
      <c r="B9" s="5">
        <v>0</v>
      </c>
      <c r="C9" s="6">
        <v>0</v>
      </c>
      <c r="D9" s="7">
        <v>25</v>
      </c>
      <c r="E9" s="8">
        <v>0</v>
      </c>
      <c r="F9" s="9">
        <v>0</v>
      </c>
      <c r="G9" s="10">
        <v>0</v>
      </c>
      <c r="H9" s="11">
        <v>5</v>
      </c>
      <c r="I9" s="12">
        <v>0</v>
      </c>
      <c r="J9" s="13">
        <v>0</v>
      </c>
      <c r="K9" s="14" t="s">
        <v>12</v>
      </c>
      <c r="L9" s="14" t="s">
        <v>12</v>
      </c>
      <c r="M9" s="15">
        <v>12</v>
      </c>
      <c r="N9" s="16">
        <v>0</v>
      </c>
      <c r="O9" s="17">
        <v>12</v>
      </c>
      <c r="P9" s="18" t="s">
        <v>18</v>
      </c>
    </row>
    <row r="10" ht="22" customHeight="1" spans="1:16" x14ac:dyDescent="0.25">
      <c r="A10" s="19" t="s">
        <v>1751</v>
      </c>
      <c r="B10" s="5">
        <v>0</v>
      </c>
      <c r="C10" s="6">
        <v>0</v>
      </c>
      <c r="D10" s="7">
        <v>25</v>
      </c>
      <c r="E10" s="8">
        <v>0</v>
      </c>
      <c r="F10" s="9">
        <v>0</v>
      </c>
      <c r="G10" s="10">
        <v>0</v>
      </c>
      <c r="H10" s="11">
        <v>5</v>
      </c>
      <c r="I10" s="12">
        <v>0</v>
      </c>
      <c r="J10" s="13">
        <v>0</v>
      </c>
      <c r="K10" s="14" t="s">
        <v>12</v>
      </c>
      <c r="L10" s="14" t="s">
        <v>12</v>
      </c>
      <c r="M10" s="15">
        <v>12</v>
      </c>
      <c r="N10" s="16">
        <v>0</v>
      </c>
      <c r="O10" s="17">
        <v>12</v>
      </c>
      <c r="P10" s="18" t="s">
        <v>18</v>
      </c>
    </row>
    <row r="13" ht="26" customHeight="1" spans="1:8" x14ac:dyDescent="0.25">
      <c r="A13" s="20" t="s">
        <v>1752</v>
      </c>
      <c r="B13" s="20"/>
      <c r="C13" s="20"/>
      <c r="D13" s="20"/>
      <c r="E13" s="20"/>
      <c r="F13" s="20"/>
      <c r="G13" s="20"/>
      <c r="H13" s="20"/>
    </row>
    <row r="14" ht="22" customHeight="1" spans="1:8" x14ac:dyDescent="0.25">
      <c r="A14" s="21" t="s">
        <v>22</v>
      </c>
      <c r="B14" s="21" t="s">
        <v>23</v>
      </c>
      <c r="C14" s="21" t="s">
        <v>24</v>
      </c>
      <c r="D14" s="21" t="s">
        <v>25</v>
      </c>
      <c r="E14" s="21" t="s">
        <v>26</v>
      </c>
      <c r="F14" s="21" t="s">
        <v>27</v>
      </c>
      <c r="G14" s="21" t="s">
        <v>28</v>
      </c>
      <c r="H14" s="21" t="s">
        <v>29</v>
      </c>
    </row>
    <row r="15" ht="20" customHeight="1" spans="1:8" x14ac:dyDescent="0.25">
      <c r="A15" s="22" t="s">
        <v>30</v>
      </c>
      <c r="B15" s="22" t="s">
        <v>31</v>
      </c>
      <c r="C15" s="23" t="s">
        <v>32</v>
      </c>
      <c r="D15" s="7" t="s">
        <v>5</v>
      </c>
      <c r="E15" s="22" t="s">
        <v>12</v>
      </c>
      <c r="F15" s="22" t="s">
        <v>12</v>
      </c>
      <c r="G15" s="22" t="s">
        <v>12</v>
      </c>
      <c r="H15" s="22" t="s">
        <v>32</v>
      </c>
    </row>
    <row r="16" ht="20" customHeight="1" spans="1:8" x14ac:dyDescent="0.25">
      <c r="A16" s="24" t="s">
        <v>33</v>
      </c>
      <c r="B16" s="24" t="s">
        <v>34</v>
      </c>
      <c r="C16" s="25" t="s">
        <v>32</v>
      </c>
      <c r="D16" s="7" t="s">
        <v>5</v>
      </c>
      <c r="E16" s="24" t="s">
        <v>12</v>
      </c>
      <c r="F16" s="24" t="s">
        <v>12</v>
      </c>
      <c r="G16" s="24" t="s">
        <v>12</v>
      </c>
      <c r="H16" s="24" t="s">
        <v>32</v>
      </c>
    </row>
    <row r="17" ht="20" customHeight="1" spans="1:8" x14ac:dyDescent="0.25">
      <c r="A17" s="22" t="s">
        <v>35</v>
      </c>
      <c r="B17" s="22" t="s">
        <v>36</v>
      </c>
      <c r="C17" s="23" t="s">
        <v>32</v>
      </c>
      <c r="D17" s="7" t="s">
        <v>5</v>
      </c>
      <c r="E17" s="22" t="s">
        <v>12</v>
      </c>
      <c r="F17" s="22" t="s">
        <v>12</v>
      </c>
      <c r="G17" s="22" t="s">
        <v>12</v>
      </c>
      <c r="H17" s="22" t="s">
        <v>32</v>
      </c>
    </row>
    <row r="18" ht="20" customHeight="1" spans="1:8" x14ac:dyDescent="0.25">
      <c r="A18" s="24" t="s">
        <v>37</v>
      </c>
      <c r="B18" s="24" t="s">
        <v>38</v>
      </c>
      <c r="C18" s="25" t="s">
        <v>32</v>
      </c>
      <c r="D18" s="7" t="s">
        <v>5</v>
      </c>
      <c r="E18" s="24" t="s">
        <v>12</v>
      </c>
      <c r="F18" s="24" t="s">
        <v>12</v>
      </c>
      <c r="G18" s="24" t="s">
        <v>12</v>
      </c>
      <c r="H18" s="24" t="s">
        <v>32</v>
      </c>
    </row>
    <row r="19" ht="20" customHeight="1" spans="1:8" x14ac:dyDescent="0.25">
      <c r="A19" s="22" t="s">
        <v>39</v>
      </c>
      <c r="B19" s="22" t="s">
        <v>40</v>
      </c>
      <c r="C19" s="23" t="s">
        <v>32</v>
      </c>
      <c r="D19" s="7" t="s">
        <v>5</v>
      </c>
      <c r="E19" s="22" t="s">
        <v>12</v>
      </c>
      <c r="F19" s="22" t="s">
        <v>12</v>
      </c>
      <c r="G19" s="22" t="s">
        <v>12</v>
      </c>
      <c r="H19" s="22" t="s">
        <v>32</v>
      </c>
    </row>
    <row r="20" ht="20" customHeight="1" spans="1:8" x14ac:dyDescent="0.25">
      <c r="A20" s="24" t="s">
        <v>41</v>
      </c>
      <c r="B20" s="24" t="s">
        <v>42</v>
      </c>
      <c r="C20" s="25" t="s">
        <v>32</v>
      </c>
      <c r="D20" s="16" t="s">
        <v>43</v>
      </c>
      <c r="E20" s="24" t="s">
        <v>12</v>
      </c>
      <c r="F20" s="24" t="s">
        <v>12</v>
      </c>
      <c r="G20" s="24" t="s">
        <v>12</v>
      </c>
      <c r="H20" s="24" t="s">
        <v>32</v>
      </c>
    </row>
    <row r="21" ht="20" customHeight="1" spans="1:8" x14ac:dyDescent="0.25">
      <c r="A21" s="22" t="s">
        <v>44</v>
      </c>
      <c r="B21" s="22" t="s">
        <v>45</v>
      </c>
      <c r="C21" s="23" t="s">
        <v>32</v>
      </c>
      <c r="D21" s="7" t="s">
        <v>5</v>
      </c>
      <c r="E21" s="22" t="s">
        <v>12</v>
      </c>
      <c r="F21" s="22" t="s">
        <v>12</v>
      </c>
      <c r="G21" s="22" t="s">
        <v>12</v>
      </c>
      <c r="H21" s="22" t="s">
        <v>32</v>
      </c>
    </row>
    <row r="22" ht="20" customHeight="1" spans="1:8" x14ac:dyDescent="0.25">
      <c r="A22" s="24" t="s">
        <v>46</v>
      </c>
      <c r="B22" s="24" t="s">
        <v>31</v>
      </c>
      <c r="C22" s="25" t="s">
        <v>32</v>
      </c>
      <c r="D22" s="7" t="s">
        <v>5</v>
      </c>
      <c r="E22" s="24" t="s">
        <v>12</v>
      </c>
      <c r="F22" s="24" t="s">
        <v>12</v>
      </c>
      <c r="G22" s="24" t="s">
        <v>12</v>
      </c>
      <c r="H22" s="24" t="s">
        <v>32</v>
      </c>
    </row>
    <row r="23" ht="20" customHeight="1" spans="1:8" x14ac:dyDescent="0.25">
      <c r="A23" s="22" t="s">
        <v>47</v>
      </c>
      <c r="B23" s="22" t="s">
        <v>34</v>
      </c>
      <c r="C23" s="23" t="s">
        <v>32</v>
      </c>
      <c r="D23" s="7" t="s">
        <v>5</v>
      </c>
      <c r="E23" s="22" t="s">
        <v>12</v>
      </c>
      <c r="F23" s="22" t="s">
        <v>12</v>
      </c>
      <c r="G23" s="22" t="s">
        <v>12</v>
      </c>
      <c r="H23" s="22" t="s">
        <v>32</v>
      </c>
    </row>
    <row r="24" ht="20" customHeight="1" spans="1:8" x14ac:dyDescent="0.25">
      <c r="A24" s="24" t="s">
        <v>48</v>
      </c>
      <c r="B24" s="24" t="s">
        <v>36</v>
      </c>
      <c r="C24" s="25" t="s">
        <v>32</v>
      </c>
      <c r="D24" s="7" t="s">
        <v>5</v>
      </c>
      <c r="E24" s="24" t="s">
        <v>12</v>
      </c>
      <c r="F24" s="24" t="s">
        <v>12</v>
      </c>
      <c r="G24" s="24" t="s">
        <v>12</v>
      </c>
      <c r="H24" s="24" t="s">
        <v>32</v>
      </c>
    </row>
    <row r="25" ht="20" customHeight="1" spans="1:8" x14ac:dyDescent="0.25">
      <c r="A25" s="22" t="s">
        <v>49</v>
      </c>
      <c r="B25" s="22" t="s">
        <v>38</v>
      </c>
      <c r="C25" s="23" t="s">
        <v>32</v>
      </c>
      <c r="D25" s="7" t="s">
        <v>5</v>
      </c>
      <c r="E25" s="22" t="s">
        <v>12</v>
      </c>
      <c r="F25" s="22" t="s">
        <v>12</v>
      </c>
      <c r="G25" s="22" t="s">
        <v>12</v>
      </c>
      <c r="H25" s="22" t="s">
        <v>32</v>
      </c>
    </row>
    <row r="26" ht="20" customHeight="1" spans="1:8" x14ac:dyDescent="0.25">
      <c r="A26" s="24" t="s">
        <v>50</v>
      </c>
      <c r="B26" s="24" t="s">
        <v>40</v>
      </c>
      <c r="C26" s="25" t="s">
        <v>32</v>
      </c>
      <c r="D26" s="16" t="s">
        <v>43</v>
      </c>
      <c r="E26" s="24" t="s">
        <v>12</v>
      </c>
      <c r="F26" s="24" t="s">
        <v>12</v>
      </c>
      <c r="G26" s="24" t="s">
        <v>12</v>
      </c>
      <c r="H26" s="24" t="s">
        <v>32</v>
      </c>
    </row>
    <row r="27" ht="20" customHeight="1" spans="1:8" x14ac:dyDescent="0.25">
      <c r="A27" s="22" t="s">
        <v>51</v>
      </c>
      <c r="B27" s="22" t="s">
        <v>42</v>
      </c>
      <c r="C27" s="23" t="s">
        <v>32</v>
      </c>
      <c r="D27" s="16" t="s">
        <v>43</v>
      </c>
      <c r="E27" s="22" t="s">
        <v>12</v>
      </c>
      <c r="F27" s="22" t="s">
        <v>12</v>
      </c>
      <c r="G27" s="22" t="s">
        <v>12</v>
      </c>
      <c r="H27" s="22" t="s">
        <v>32</v>
      </c>
    </row>
    <row r="28" ht="20" customHeight="1" spans="1:8" x14ac:dyDescent="0.25">
      <c r="A28" s="24" t="s">
        <v>52</v>
      </c>
      <c r="B28" s="24" t="s">
        <v>45</v>
      </c>
      <c r="C28" s="25" t="s">
        <v>32</v>
      </c>
      <c r="D28" s="7" t="s">
        <v>5</v>
      </c>
      <c r="E28" s="24" t="s">
        <v>12</v>
      </c>
      <c r="F28" s="24" t="s">
        <v>12</v>
      </c>
      <c r="G28" s="24" t="s">
        <v>12</v>
      </c>
      <c r="H28" s="24" t="s">
        <v>32</v>
      </c>
    </row>
    <row r="29" ht="20" customHeight="1" spans="1:8" x14ac:dyDescent="0.25">
      <c r="A29" s="22" t="s">
        <v>53</v>
      </c>
      <c r="B29" s="22" t="s">
        <v>31</v>
      </c>
      <c r="C29" s="23" t="s">
        <v>32</v>
      </c>
      <c r="D29" s="7" t="s">
        <v>5</v>
      </c>
      <c r="E29" s="22" t="s">
        <v>12</v>
      </c>
      <c r="F29" s="22" t="s">
        <v>12</v>
      </c>
      <c r="G29" s="22" t="s">
        <v>12</v>
      </c>
      <c r="H29" s="22" t="s">
        <v>32</v>
      </c>
    </row>
    <row r="30" ht="20" customHeight="1" spans="1:8" x14ac:dyDescent="0.25">
      <c r="A30" s="24" t="s">
        <v>54</v>
      </c>
      <c r="B30" s="24" t="s">
        <v>34</v>
      </c>
      <c r="C30" s="25" t="s">
        <v>32</v>
      </c>
      <c r="D30" s="7" t="s">
        <v>5</v>
      </c>
      <c r="E30" s="24" t="s">
        <v>12</v>
      </c>
      <c r="F30" s="24" t="s">
        <v>12</v>
      </c>
      <c r="G30" s="24" t="s">
        <v>12</v>
      </c>
      <c r="H30" s="24" t="s">
        <v>32</v>
      </c>
    </row>
    <row r="31" ht="20" customHeight="1" spans="1:8" x14ac:dyDescent="0.25">
      <c r="A31" s="22" t="s">
        <v>55</v>
      </c>
      <c r="B31" s="22" t="s">
        <v>36</v>
      </c>
      <c r="C31" s="23" t="s">
        <v>32</v>
      </c>
      <c r="D31" s="7" t="s">
        <v>5</v>
      </c>
      <c r="E31" s="22" t="s">
        <v>12</v>
      </c>
      <c r="F31" s="22" t="s">
        <v>12</v>
      </c>
      <c r="G31" s="22" t="s">
        <v>12</v>
      </c>
      <c r="H31" s="22" t="s">
        <v>32</v>
      </c>
    </row>
    <row r="32" ht="20" customHeight="1" spans="1:8" x14ac:dyDescent="0.25">
      <c r="A32" s="24" t="s">
        <v>56</v>
      </c>
      <c r="B32" s="24" t="s">
        <v>38</v>
      </c>
      <c r="C32" s="25" t="s">
        <v>32</v>
      </c>
      <c r="D32" s="7" t="s">
        <v>5</v>
      </c>
      <c r="E32" s="24" t="s">
        <v>12</v>
      </c>
      <c r="F32" s="24" t="s">
        <v>12</v>
      </c>
      <c r="G32" s="24" t="s">
        <v>12</v>
      </c>
      <c r="H32" s="24" t="s">
        <v>32</v>
      </c>
    </row>
    <row r="33" ht="20" customHeight="1" spans="1:8" x14ac:dyDescent="0.25">
      <c r="A33" s="22" t="s">
        <v>57</v>
      </c>
      <c r="B33" s="22" t="s">
        <v>40</v>
      </c>
      <c r="C33" s="23" t="s">
        <v>32</v>
      </c>
      <c r="D33" s="7" t="s">
        <v>5</v>
      </c>
      <c r="E33" s="22" t="s">
        <v>12</v>
      </c>
      <c r="F33" s="22" t="s">
        <v>12</v>
      </c>
      <c r="G33" s="22" t="s">
        <v>12</v>
      </c>
      <c r="H33" s="22" t="s">
        <v>32</v>
      </c>
    </row>
    <row r="34" ht="20" customHeight="1" spans="1:8" x14ac:dyDescent="0.25">
      <c r="A34" s="24" t="s">
        <v>58</v>
      </c>
      <c r="B34" s="24" t="s">
        <v>42</v>
      </c>
      <c r="C34" s="25" t="s">
        <v>32</v>
      </c>
      <c r="D34" s="16" t="s">
        <v>43</v>
      </c>
      <c r="E34" s="24" t="s">
        <v>12</v>
      </c>
      <c r="F34" s="24" t="s">
        <v>12</v>
      </c>
      <c r="G34" s="24" t="s">
        <v>12</v>
      </c>
      <c r="H34" s="24" t="s">
        <v>32</v>
      </c>
    </row>
    <row r="35" ht="20" customHeight="1" spans="1:8" x14ac:dyDescent="0.25">
      <c r="A35" s="22" t="s">
        <v>59</v>
      </c>
      <c r="B35" s="22" t="s">
        <v>45</v>
      </c>
      <c r="C35" s="23" t="s">
        <v>32</v>
      </c>
      <c r="D35" s="7" t="s">
        <v>5</v>
      </c>
      <c r="E35" s="22" t="s">
        <v>12</v>
      </c>
      <c r="F35" s="22" t="s">
        <v>12</v>
      </c>
      <c r="G35" s="22" t="s">
        <v>12</v>
      </c>
      <c r="H35" s="22" t="s">
        <v>32</v>
      </c>
    </row>
    <row r="36" ht="20" customHeight="1" spans="1:8" x14ac:dyDescent="0.25">
      <c r="A36" s="24" t="s">
        <v>60</v>
      </c>
      <c r="B36" s="24" t="s">
        <v>31</v>
      </c>
      <c r="C36" s="25" t="s">
        <v>32</v>
      </c>
      <c r="D36" s="7" t="s">
        <v>5</v>
      </c>
      <c r="E36" s="24" t="s">
        <v>12</v>
      </c>
      <c r="F36" s="24" t="s">
        <v>12</v>
      </c>
      <c r="G36" s="24" t="s">
        <v>12</v>
      </c>
      <c r="H36" s="24" t="s">
        <v>32</v>
      </c>
    </row>
    <row r="37" ht="20" customHeight="1" spans="1:8" x14ac:dyDescent="0.25">
      <c r="A37" s="22" t="s">
        <v>61</v>
      </c>
      <c r="B37" s="22" t="s">
        <v>34</v>
      </c>
      <c r="C37" s="23" t="s">
        <v>32</v>
      </c>
      <c r="D37" s="7" t="s">
        <v>5</v>
      </c>
      <c r="E37" s="22" t="s">
        <v>12</v>
      </c>
      <c r="F37" s="22" t="s">
        <v>12</v>
      </c>
      <c r="G37" s="22" t="s">
        <v>12</v>
      </c>
      <c r="H37" s="22" t="s">
        <v>32</v>
      </c>
    </row>
    <row r="38" ht="20" customHeight="1" spans="1:8" x14ac:dyDescent="0.25">
      <c r="A38" s="24" t="s">
        <v>62</v>
      </c>
      <c r="B38" s="24" t="s">
        <v>36</v>
      </c>
      <c r="C38" s="25" t="s">
        <v>32</v>
      </c>
      <c r="D38" s="7" t="s">
        <v>5</v>
      </c>
      <c r="E38" s="24" t="s">
        <v>12</v>
      </c>
      <c r="F38" s="24" t="s">
        <v>12</v>
      </c>
      <c r="G38" s="24" t="s">
        <v>12</v>
      </c>
      <c r="H38" s="24" t="s">
        <v>32</v>
      </c>
    </row>
    <row r="39" ht="20" customHeight="1" spans="1:8" x14ac:dyDescent="0.25">
      <c r="A39" s="22" t="s">
        <v>63</v>
      </c>
      <c r="B39" s="22" t="s">
        <v>38</v>
      </c>
      <c r="C39" s="23" t="s">
        <v>32</v>
      </c>
      <c r="D39" s="7" t="s">
        <v>5</v>
      </c>
      <c r="E39" s="22" t="s">
        <v>12</v>
      </c>
      <c r="F39" s="22" t="s">
        <v>12</v>
      </c>
      <c r="G39" s="22" t="s">
        <v>12</v>
      </c>
      <c r="H39" s="22" t="s">
        <v>32</v>
      </c>
    </row>
    <row r="40" ht="20" customHeight="1" spans="1:8" x14ac:dyDescent="0.25">
      <c r="A40" s="24" t="s">
        <v>64</v>
      </c>
      <c r="B40" s="24" t="s">
        <v>40</v>
      </c>
      <c r="C40" s="25" t="s">
        <v>32</v>
      </c>
      <c r="D40" s="7" t="s">
        <v>5</v>
      </c>
      <c r="E40" s="24" t="s">
        <v>12</v>
      </c>
      <c r="F40" s="24" t="s">
        <v>12</v>
      </c>
      <c r="G40" s="24" t="s">
        <v>12</v>
      </c>
      <c r="H40" s="24" t="s">
        <v>32</v>
      </c>
    </row>
    <row r="41" ht="20" customHeight="1" spans="1:8" x14ac:dyDescent="0.25">
      <c r="A41" s="22" t="s">
        <v>65</v>
      </c>
      <c r="B41" s="22" t="s">
        <v>42</v>
      </c>
      <c r="C41" s="23" t="s">
        <v>32</v>
      </c>
      <c r="D41" s="16" t="s">
        <v>43</v>
      </c>
      <c r="E41" s="22" t="s">
        <v>12</v>
      </c>
      <c r="F41" s="22" t="s">
        <v>12</v>
      </c>
      <c r="G41" s="22" t="s">
        <v>12</v>
      </c>
      <c r="H41" s="22" t="s">
        <v>32</v>
      </c>
    </row>
    <row r="42" ht="20" customHeight="1" spans="1:8" x14ac:dyDescent="0.25">
      <c r="A42" s="24" t="s">
        <v>66</v>
      </c>
      <c r="B42" s="24" t="s">
        <v>45</v>
      </c>
      <c r="C42" s="25" t="s">
        <v>32</v>
      </c>
      <c r="D42" s="7" t="s">
        <v>5</v>
      </c>
      <c r="E42" s="24" t="s">
        <v>12</v>
      </c>
      <c r="F42" s="24" t="s">
        <v>12</v>
      </c>
      <c r="G42" s="24" t="s">
        <v>12</v>
      </c>
      <c r="H42" s="24" t="s">
        <v>32</v>
      </c>
    </row>
    <row r="43" ht="20" customHeight="1" spans="1:8" x14ac:dyDescent="0.25">
      <c r="A43" s="22" t="s">
        <v>67</v>
      </c>
      <c r="B43" s="22" t="s">
        <v>31</v>
      </c>
      <c r="C43" s="23" t="s">
        <v>32</v>
      </c>
      <c r="D43" s="7" t="s">
        <v>5</v>
      </c>
      <c r="E43" s="22" t="s">
        <v>12</v>
      </c>
      <c r="F43" s="22" t="s">
        <v>12</v>
      </c>
      <c r="G43" s="22" t="s">
        <v>12</v>
      </c>
      <c r="H43" s="22" t="s">
        <v>32</v>
      </c>
    </row>
    <row r="44" ht="20" customHeight="1" spans="1:8" x14ac:dyDescent="0.25">
      <c r="A44" s="24" t="s">
        <v>68</v>
      </c>
      <c r="B44" s="24" t="s">
        <v>34</v>
      </c>
      <c r="C44" s="25" t="s">
        <v>32</v>
      </c>
      <c r="D44" s="7" t="s">
        <v>5</v>
      </c>
      <c r="E44" s="24" t="s">
        <v>12</v>
      </c>
      <c r="F44" s="24" t="s">
        <v>12</v>
      </c>
      <c r="G44" s="24" t="s">
        <v>12</v>
      </c>
      <c r="H44" s="24" t="s">
        <v>32</v>
      </c>
    </row>
    <row r="45" ht="22" customHeight="1" spans="1:8" x14ac:dyDescent="0.25">
      <c r="A45" s="26" t="s">
        <v>69</v>
      </c>
      <c r="B45" s="26"/>
      <c r="C45" s="26"/>
      <c r="D45" s="26"/>
      <c r="E45" s="26"/>
      <c r="F45" s="26"/>
      <c r="G45" s="27" t="s">
        <v>18</v>
      </c>
      <c r="H45" s="28" t="s">
        <v>12</v>
      </c>
    </row>
    <row r="47" ht="26" customHeight="1" spans="1:8" x14ac:dyDescent="0.25">
      <c r="A47" s="20" t="s">
        <v>1753</v>
      </c>
      <c r="B47" s="20"/>
      <c r="C47" s="20"/>
      <c r="D47" s="20"/>
      <c r="E47" s="20"/>
      <c r="F47" s="20"/>
      <c r="G47" s="20"/>
      <c r="H47" s="20"/>
    </row>
    <row r="48" ht="22" customHeight="1" spans="1:8" x14ac:dyDescent="0.25">
      <c r="A48" s="21" t="s">
        <v>22</v>
      </c>
      <c r="B48" s="21" t="s">
        <v>23</v>
      </c>
      <c r="C48" s="21" t="s">
        <v>24</v>
      </c>
      <c r="D48" s="21" t="s">
        <v>25</v>
      </c>
      <c r="E48" s="21" t="s">
        <v>26</v>
      </c>
      <c r="F48" s="21" t="s">
        <v>27</v>
      </c>
      <c r="G48" s="21" t="s">
        <v>28</v>
      </c>
      <c r="H48" s="21" t="s">
        <v>29</v>
      </c>
    </row>
    <row r="49" ht="20" customHeight="1" spans="1:8" x14ac:dyDescent="0.25">
      <c r="A49" s="22" t="s">
        <v>30</v>
      </c>
      <c r="B49" s="22" t="s">
        <v>31</v>
      </c>
      <c r="C49" s="23" t="s">
        <v>32</v>
      </c>
      <c r="D49" s="7" t="s">
        <v>5</v>
      </c>
      <c r="E49" s="22" t="s">
        <v>12</v>
      </c>
      <c r="F49" s="22" t="s">
        <v>12</v>
      </c>
      <c r="G49" s="22" t="s">
        <v>12</v>
      </c>
      <c r="H49" s="22" t="s">
        <v>32</v>
      </c>
    </row>
    <row r="50" ht="20" customHeight="1" spans="1:8" x14ac:dyDescent="0.25">
      <c r="A50" s="24" t="s">
        <v>33</v>
      </c>
      <c r="B50" s="24" t="s">
        <v>34</v>
      </c>
      <c r="C50" s="25" t="s">
        <v>32</v>
      </c>
      <c r="D50" s="7" t="s">
        <v>5</v>
      </c>
      <c r="E50" s="24" t="s">
        <v>12</v>
      </c>
      <c r="F50" s="24" t="s">
        <v>12</v>
      </c>
      <c r="G50" s="24" t="s">
        <v>12</v>
      </c>
      <c r="H50" s="24" t="s">
        <v>32</v>
      </c>
    </row>
    <row r="51" ht="20" customHeight="1" spans="1:8" x14ac:dyDescent="0.25">
      <c r="A51" s="22" t="s">
        <v>35</v>
      </c>
      <c r="B51" s="22" t="s">
        <v>36</v>
      </c>
      <c r="C51" s="23" t="s">
        <v>32</v>
      </c>
      <c r="D51" s="7" t="s">
        <v>5</v>
      </c>
      <c r="E51" s="22" t="s">
        <v>12</v>
      </c>
      <c r="F51" s="22" t="s">
        <v>12</v>
      </c>
      <c r="G51" s="22" t="s">
        <v>12</v>
      </c>
      <c r="H51" s="22" t="s">
        <v>32</v>
      </c>
    </row>
    <row r="52" ht="20" customHeight="1" spans="1:8" x14ac:dyDescent="0.25">
      <c r="A52" s="24" t="s">
        <v>37</v>
      </c>
      <c r="B52" s="24" t="s">
        <v>38</v>
      </c>
      <c r="C52" s="25" t="s">
        <v>32</v>
      </c>
      <c r="D52" s="7" t="s">
        <v>5</v>
      </c>
      <c r="E52" s="24" t="s">
        <v>12</v>
      </c>
      <c r="F52" s="24" t="s">
        <v>12</v>
      </c>
      <c r="G52" s="24" t="s">
        <v>12</v>
      </c>
      <c r="H52" s="24" t="s">
        <v>32</v>
      </c>
    </row>
    <row r="53" ht="20" customHeight="1" spans="1:8" x14ac:dyDescent="0.25">
      <c r="A53" s="22" t="s">
        <v>39</v>
      </c>
      <c r="B53" s="22" t="s">
        <v>40</v>
      </c>
      <c r="C53" s="23" t="s">
        <v>32</v>
      </c>
      <c r="D53" s="7" t="s">
        <v>5</v>
      </c>
      <c r="E53" s="22" t="s">
        <v>12</v>
      </c>
      <c r="F53" s="22" t="s">
        <v>12</v>
      </c>
      <c r="G53" s="22" t="s">
        <v>12</v>
      </c>
      <c r="H53" s="22" t="s">
        <v>32</v>
      </c>
    </row>
    <row r="54" ht="20" customHeight="1" spans="1:8" x14ac:dyDescent="0.25">
      <c r="A54" s="24" t="s">
        <v>41</v>
      </c>
      <c r="B54" s="24" t="s">
        <v>42</v>
      </c>
      <c r="C54" s="25" t="s">
        <v>32</v>
      </c>
      <c r="D54" s="16" t="s">
        <v>43</v>
      </c>
      <c r="E54" s="24" t="s">
        <v>12</v>
      </c>
      <c r="F54" s="24" t="s">
        <v>12</v>
      </c>
      <c r="G54" s="24" t="s">
        <v>12</v>
      </c>
      <c r="H54" s="24" t="s">
        <v>32</v>
      </c>
    </row>
    <row r="55" ht="20" customHeight="1" spans="1:8" x14ac:dyDescent="0.25">
      <c r="A55" s="22" t="s">
        <v>44</v>
      </c>
      <c r="B55" s="22" t="s">
        <v>45</v>
      </c>
      <c r="C55" s="23" t="s">
        <v>32</v>
      </c>
      <c r="D55" s="7" t="s">
        <v>5</v>
      </c>
      <c r="E55" s="22" t="s">
        <v>12</v>
      </c>
      <c r="F55" s="22" t="s">
        <v>12</v>
      </c>
      <c r="G55" s="22" t="s">
        <v>12</v>
      </c>
      <c r="H55" s="22" t="s">
        <v>32</v>
      </c>
    </row>
    <row r="56" ht="20" customHeight="1" spans="1:8" x14ac:dyDescent="0.25">
      <c r="A56" s="24" t="s">
        <v>46</v>
      </c>
      <c r="B56" s="24" t="s">
        <v>31</v>
      </c>
      <c r="C56" s="25" t="s">
        <v>32</v>
      </c>
      <c r="D56" s="7" t="s">
        <v>5</v>
      </c>
      <c r="E56" s="24" t="s">
        <v>12</v>
      </c>
      <c r="F56" s="24" t="s">
        <v>12</v>
      </c>
      <c r="G56" s="24" t="s">
        <v>12</v>
      </c>
      <c r="H56" s="24" t="s">
        <v>32</v>
      </c>
    </row>
    <row r="57" ht="20" customHeight="1" spans="1:8" x14ac:dyDescent="0.25">
      <c r="A57" s="22" t="s">
        <v>47</v>
      </c>
      <c r="B57" s="22" t="s">
        <v>34</v>
      </c>
      <c r="C57" s="23" t="s">
        <v>32</v>
      </c>
      <c r="D57" s="7" t="s">
        <v>5</v>
      </c>
      <c r="E57" s="22" t="s">
        <v>12</v>
      </c>
      <c r="F57" s="22" t="s">
        <v>12</v>
      </c>
      <c r="G57" s="22" t="s">
        <v>12</v>
      </c>
      <c r="H57" s="22" t="s">
        <v>32</v>
      </c>
    </row>
    <row r="58" ht="20" customHeight="1" spans="1:8" x14ac:dyDescent="0.25">
      <c r="A58" s="24" t="s">
        <v>48</v>
      </c>
      <c r="B58" s="24" t="s">
        <v>36</v>
      </c>
      <c r="C58" s="25" t="s">
        <v>32</v>
      </c>
      <c r="D58" s="7" t="s">
        <v>5</v>
      </c>
      <c r="E58" s="24" t="s">
        <v>12</v>
      </c>
      <c r="F58" s="24" t="s">
        <v>12</v>
      </c>
      <c r="G58" s="24" t="s">
        <v>12</v>
      </c>
      <c r="H58" s="24" t="s">
        <v>32</v>
      </c>
    </row>
    <row r="59" ht="20" customHeight="1" spans="1:8" x14ac:dyDescent="0.25">
      <c r="A59" s="22" t="s">
        <v>49</v>
      </c>
      <c r="B59" s="22" t="s">
        <v>38</v>
      </c>
      <c r="C59" s="23" t="s">
        <v>32</v>
      </c>
      <c r="D59" s="7" t="s">
        <v>5</v>
      </c>
      <c r="E59" s="22" t="s">
        <v>12</v>
      </c>
      <c r="F59" s="22" t="s">
        <v>12</v>
      </c>
      <c r="G59" s="22" t="s">
        <v>12</v>
      </c>
      <c r="H59" s="22" t="s">
        <v>32</v>
      </c>
    </row>
    <row r="60" ht="20" customHeight="1" spans="1:8" x14ac:dyDescent="0.25">
      <c r="A60" s="24" t="s">
        <v>50</v>
      </c>
      <c r="B60" s="24" t="s">
        <v>40</v>
      </c>
      <c r="C60" s="25" t="s">
        <v>32</v>
      </c>
      <c r="D60" s="16" t="s">
        <v>43</v>
      </c>
      <c r="E60" s="24" t="s">
        <v>12</v>
      </c>
      <c r="F60" s="24" t="s">
        <v>12</v>
      </c>
      <c r="G60" s="24" t="s">
        <v>12</v>
      </c>
      <c r="H60" s="24" t="s">
        <v>32</v>
      </c>
    </row>
    <row r="61" ht="20" customHeight="1" spans="1:8" x14ac:dyDescent="0.25">
      <c r="A61" s="22" t="s">
        <v>51</v>
      </c>
      <c r="B61" s="22" t="s">
        <v>42</v>
      </c>
      <c r="C61" s="23" t="s">
        <v>32</v>
      </c>
      <c r="D61" s="16" t="s">
        <v>43</v>
      </c>
      <c r="E61" s="22" t="s">
        <v>12</v>
      </c>
      <c r="F61" s="22" t="s">
        <v>12</v>
      </c>
      <c r="G61" s="22" t="s">
        <v>12</v>
      </c>
      <c r="H61" s="22" t="s">
        <v>32</v>
      </c>
    </row>
    <row r="62" ht="20" customHeight="1" spans="1:8" x14ac:dyDescent="0.25">
      <c r="A62" s="24" t="s">
        <v>52</v>
      </c>
      <c r="B62" s="24" t="s">
        <v>45</v>
      </c>
      <c r="C62" s="25" t="s">
        <v>32</v>
      </c>
      <c r="D62" s="7" t="s">
        <v>5</v>
      </c>
      <c r="E62" s="24" t="s">
        <v>12</v>
      </c>
      <c r="F62" s="24" t="s">
        <v>12</v>
      </c>
      <c r="G62" s="24" t="s">
        <v>12</v>
      </c>
      <c r="H62" s="24" t="s">
        <v>32</v>
      </c>
    </row>
    <row r="63" ht="20" customHeight="1" spans="1:8" x14ac:dyDescent="0.25">
      <c r="A63" s="22" t="s">
        <v>53</v>
      </c>
      <c r="B63" s="22" t="s">
        <v>31</v>
      </c>
      <c r="C63" s="23" t="s">
        <v>32</v>
      </c>
      <c r="D63" s="7" t="s">
        <v>5</v>
      </c>
      <c r="E63" s="22" t="s">
        <v>12</v>
      </c>
      <c r="F63" s="22" t="s">
        <v>12</v>
      </c>
      <c r="G63" s="22" t="s">
        <v>12</v>
      </c>
      <c r="H63" s="22" t="s">
        <v>32</v>
      </c>
    </row>
    <row r="64" ht="20" customHeight="1" spans="1:8" x14ac:dyDescent="0.25">
      <c r="A64" s="24" t="s">
        <v>54</v>
      </c>
      <c r="B64" s="24" t="s">
        <v>34</v>
      </c>
      <c r="C64" s="25" t="s">
        <v>32</v>
      </c>
      <c r="D64" s="7" t="s">
        <v>5</v>
      </c>
      <c r="E64" s="24" t="s">
        <v>12</v>
      </c>
      <c r="F64" s="24" t="s">
        <v>12</v>
      </c>
      <c r="G64" s="24" t="s">
        <v>12</v>
      </c>
      <c r="H64" s="24" t="s">
        <v>32</v>
      </c>
    </row>
    <row r="65" ht="20" customHeight="1" spans="1:8" x14ac:dyDescent="0.25">
      <c r="A65" s="22" t="s">
        <v>55</v>
      </c>
      <c r="B65" s="22" t="s">
        <v>36</v>
      </c>
      <c r="C65" s="23" t="s">
        <v>32</v>
      </c>
      <c r="D65" s="7" t="s">
        <v>5</v>
      </c>
      <c r="E65" s="22" t="s">
        <v>12</v>
      </c>
      <c r="F65" s="22" t="s">
        <v>12</v>
      </c>
      <c r="G65" s="22" t="s">
        <v>12</v>
      </c>
      <c r="H65" s="22" t="s">
        <v>32</v>
      </c>
    </row>
    <row r="66" ht="20" customHeight="1" spans="1:8" x14ac:dyDescent="0.25">
      <c r="A66" s="24" t="s">
        <v>56</v>
      </c>
      <c r="B66" s="24" t="s">
        <v>38</v>
      </c>
      <c r="C66" s="25" t="s">
        <v>32</v>
      </c>
      <c r="D66" s="7" t="s">
        <v>5</v>
      </c>
      <c r="E66" s="24" t="s">
        <v>12</v>
      </c>
      <c r="F66" s="24" t="s">
        <v>12</v>
      </c>
      <c r="G66" s="24" t="s">
        <v>12</v>
      </c>
      <c r="H66" s="24" t="s">
        <v>32</v>
      </c>
    </row>
    <row r="67" ht="20" customHeight="1" spans="1:8" x14ac:dyDescent="0.25">
      <c r="A67" s="22" t="s">
        <v>57</v>
      </c>
      <c r="B67" s="22" t="s">
        <v>40</v>
      </c>
      <c r="C67" s="23" t="s">
        <v>32</v>
      </c>
      <c r="D67" s="7" t="s">
        <v>5</v>
      </c>
      <c r="E67" s="22" t="s">
        <v>12</v>
      </c>
      <c r="F67" s="22" t="s">
        <v>12</v>
      </c>
      <c r="G67" s="22" t="s">
        <v>12</v>
      </c>
      <c r="H67" s="22" t="s">
        <v>32</v>
      </c>
    </row>
    <row r="68" ht="20" customHeight="1" spans="1:8" x14ac:dyDescent="0.25">
      <c r="A68" s="24" t="s">
        <v>58</v>
      </c>
      <c r="B68" s="24" t="s">
        <v>42</v>
      </c>
      <c r="C68" s="25" t="s">
        <v>32</v>
      </c>
      <c r="D68" s="16" t="s">
        <v>43</v>
      </c>
      <c r="E68" s="24" t="s">
        <v>12</v>
      </c>
      <c r="F68" s="24" t="s">
        <v>12</v>
      </c>
      <c r="G68" s="24" t="s">
        <v>12</v>
      </c>
      <c r="H68" s="24" t="s">
        <v>32</v>
      </c>
    </row>
    <row r="69" ht="20" customHeight="1" spans="1:8" x14ac:dyDescent="0.25">
      <c r="A69" s="22" t="s">
        <v>59</v>
      </c>
      <c r="B69" s="22" t="s">
        <v>45</v>
      </c>
      <c r="C69" s="23" t="s">
        <v>32</v>
      </c>
      <c r="D69" s="7" t="s">
        <v>5</v>
      </c>
      <c r="E69" s="22" t="s">
        <v>12</v>
      </c>
      <c r="F69" s="22" t="s">
        <v>12</v>
      </c>
      <c r="G69" s="22" t="s">
        <v>12</v>
      </c>
      <c r="H69" s="22" t="s">
        <v>32</v>
      </c>
    </row>
    <row r="70" ht="20" customHeight="1" spans="1:8" x14ac:dyDescent="0.25">
      <c r="A70" s="24" t="s">
        <v>60</v>
      </c>
      <c r="B70" s="24" t="s">
        <v>31</v>
      </c>
      <c r="C70" s="25" t="s">
        <v>32</v>
      </c>
      <c r="D70" s="7" t="s">
        <v>5</v>
      </c>
      <c r="E70" s="24" t="s">
        <v>12</v>
      </c>
      <c r="F70" s="24" t="s">
        <v>12</v>
      </c>
      <c r="G70" s="24" t="s">
        <v>12</v>
      </c>
      <c r="H70" s="24" t="s">
        <v>32</v>
      </c>
    </row>
    <row r="71" ht="20" customHeight="1" spans="1:8" x14ac:dyDescent="0.25">
      <c r="A71" s="22" t="s">
        <v>61</v>
      </c>
      <c r="B71" s="22" t="s">
        <v>34</v>
      </c>
      <c r="C71" s="23" t="s">
        <v>32</v>
      </c>
      <c r="D71" s="7" t="s">
        <v>5</v>
      </c>
      <c r="E71" s="22" t="s">
        <v>12</v>
      </c>
      <c r="F71" s="22" t="s">
        <v>12</v>
      </c>
      <c r="G71" s="22" t="s">
        <v>12</v>
      </c>
      <c r="H71" s="22" t="s">
        <v>32</v>
      </c>
    </row>
    <row r="72" ht="20" customHeight="1" spans="1:8" x14ac:dyDescent="0.25">
      <c r="A72" s="24" t="s">
        <v>62</v>
      </c>
      <c r="B72" s="24" t="s">
        <v>36</v>
      </c>
      <c r="C72" s="25" t="s">
        <v>32</v>
      </c>
      <c r="D72" s="7" t="s">
        <v>5</v>
      </c>
      <c r="E72" s="24" t="s">
        <v>12</v>
      </c>
      <c r="F72" s="24" t="s">
        <v>12</v>
      </c>
      <c r="G72" s="24" t="s">
        <v>12</v>
      </c>
      <c r="H72" s="24" t="s">
        <v>32</v>
      </c>
    </row>
    <row r="73" ht="20" customHeight="1" spans="1:8" x14ac:dyDescent="0.25">
      <c r="A73" s="22" t="s">
        <v>63</v>
      </c>
      <c r="B73" s="22" t="s">
        <v>38</v>
      </c>
      <c r="C73" s="23" t="s">
        <v>32</v>
      </c>
      <c r="D73" s="7" t="s">
        <v>5</v>
      </c>
      <c r="E73" s="22" t="s">
        <v>12</v>
      </c>
      <c r="F73" s="22" t="s">
        <v>12</v>
      </c>
      <c r="G73" s="22" t="s">
        <v>12</v>
      </c>
      <c r="H73" s="22" t="s">
        <v>32</v>
      </c>
    </row>
    <row r="74" ht="20" customHeight="1" spans="1:8" x14ac:dyDescent="0.25">
      <c r="A74" s="24" t="s">
        <v>64</v>
      </c>
      <c r="B74" s="24" t="s">
        <v>40</v>
      </c>
      <c r="C74" s="25" t="s">
        <v>32</v>
      </c>
      <c r="D74" s="7" t="s">
        <v>5</v>
      </c>
      <c r="E74" s="24" t="s">
        <v>12</v>
      </c>
      <c r="F74" s="24" t="s">
        <v>12</v>
      </c>
      <c r="G74" s="24" t="s">
        <v>12</v>
      </c>
      <c r="H74" s="24" t="s">
        <v>32</v>
      </c>
    </row>
    <row r="75" ht="20" customHeight="1" spans="1:8" x14ac:dyDescent="0.25">
      <c r="A75" s="22" t="s">
        <v>65</v>
      </c>
      <c r="B75" s="22" t="s">
        <v>42</v>
      </c>
      <c r="C75" s="23" t="s">
        <v>32</v>
      </c>
      <c r="D75" s="16" t="s">
        <v>43</v>
      </c>
      <c r="E75" s="22" t="s">
        <v>12</v>
      </c>
      <c r="F75" s="22" t="s">
        <v>12</v>
      </c>
      <c r="G75" s="22" t="s">
        <v>12</v>
      </c>
      <c r="H75" s="22" t="s">
        <v>32</v>
      </c>
    </row>
    <row r="76" ht="20" customHeight="1" spans="1:8" x14ac:dyDescent="0.25">
      <c r="A76" s="24" t="s">
        <v>66</v>
      </c>
      <c r="B76" s="24" t="s">
        <v>45</v>
      </c>
      <c r="C76" s="25" t="s">
        <v>32</v>
      </c>
      <c r="D76" s="7" t="s">
        <v>5</v>
      </c>
      <c r="E76" s="24" t="s">
        <v>12</v>
      </c>
      <c r="F76" s="24" t="s">
        <v>12</v>
      </c>
      <c r="G76" s="24" t="s">
        <v>12</v>
      </c>
      <c r="H76" s="24" t="s">
        <v>32</v>
      </c>
    </row>
    <row r="77" ht="20" customHeight="1" spans="1:8" x14ac:dyDescent="0.25">
      <c r="A77" s="22" t="s">
        <v>67</v>
      </c>
      <c r="B77" s="22" t="s">
        <v>31</v>
      </c>
      <c r="C77" s="23" t="s">
        <v>32</v>
      </c>
      <c r="D77" s="7" t="s">
        <v>5</v>
      </c>
      <c r="E77" s="22" t="s">
        <v>12</v>
      </c>
      <c r="F77" s="22" t="s">
        <v>12</v>
      </c>
      <c r="G77" s="22" t="s">
        <v>12</v>
      </c>
      <c r="H77" s="22" t="s">
        <v>32</v>
      </c>
    </row>
    <row r="78" ht="20" customHeight="1" spans="1:8" x14ac:dyDescent="0.25">
      <c r="A78" s="24" t="s">
        <v>68</v>
      </c>
      <c r="B78" s="24" t="s">
        <v>34</v>
      </c>
      <c r="C78" s="25" t="s">
        <v>32</v>
      </c>
      <c r="D78" s="7" t="s">
        <v>5</v>
      </c>
      <c r="E78" s="24" t="s">
        <v>12</v>
      </c>
      <c r="F78" s="24" t="s">
        <v>12</v>
      </c>
      <c r="G78" s="24" t="s">
        <v>12</v>
      </c>
      <c r="H78" s="24" t="s">
        <v>32</v>
      </c>
    </row>
    <row r="79" ht="22" customHeight="1" spans="1:8" x14ac:dyDescent="0.25">
      <c r="A79" s="26" t="s">
        <v>69</v>
      </c>
      <c r="B79" s="26"/>
      <c r="C79" s="26"/>
      <c r="D79" s="26"/>
      <c r="E79" s="26"/>
      <c r="F79" s="26"/>
      <c r="G79" s="27" t="s">
        <v>18</v>
      </c>
      <c r="H79" s="28" t="s">
        <v>12</v>
      </c>
    </row>
    <row r="81" ht="26" customHeight="1" spans="1:8" x14ac:dyDescent="0.25">
      <c r="A81" s="20" t="s">
        <v>1754</v>
      </c>
      <c r="B81" s="20"/>
      <c r="C81" s="20"/>
      <c r="D81" s="20"/>
      <c r="E81" s="20"/>
      <c r="F81" s="20"/>
      <c r="G81" s="20"/>
      <c r="H81" s="20"/>
    </row>
    <row r="82" ht="22" customHeight="1" spans="1:8" x14ac:dyDescent="0.25">
      <c r="A82" s="21" t="s">
        <v>22</v>
      </c>
      <c r="B82" s="21" t="s">
        <v>23</v>
      </c>
      <c r="C82" s="21" t="s">
        <v>24</v>
      </c>
      <c r="D82" s="21" t="s">
        <v>25</v>
      </c>
      <c r="E82" s="21" t="s">
        <v>26</v>
      </c>
      <c r="F82" s="21" t="s">
        <v>27</v>
      </c>
      <c r="G82" s="21" t="s">
        <v>28</v>
      </c>
      <c r="H82" s="21" t="s">
        <v>29</v>
      </c>
    </row>
    <row r="83" ht="20" customHeight="1" spans="1:8" x14ac:dyDescent="0.25">
      <c r="A83" s="22" t="s">
        <v>30</v>
      </c>
      <c r="B83" s="22" t="s">
        <v>31</v>
      </c>
      <c r="C83" s="23" t="s">
        <v>32</v>
      </c>
      <c r="D83" s="7" t="s">
        <v>5</v>
      </c>
      <c r="E83" s="22" t="s">
        <v>12</v>
      </c>
      <c r="F83" s="22" t="s">
        <v>12</v>
      </c>
      <c r="G83" s="22" t="s">
        <v>12</v>
      </c>
      <c r="H83" s="22" t="s">
        <v>32</v>
      </c>
    </row>
    <row r="84" ht="20" customHeight="1" spans="1:8" x14ac:dyDescent="0.25">
      <c r="A84" s="24" t="s">
        <v>33</v>
      </c>
      <c r="B84" s="24" t="s">
        <v>34</v>
      </c>
      <c r="C84" s="25" t="s">
        <v>32</v>
      </c>
      <c r="D84" s="7" t="s">
        <v>5</v>
      </c>
      <c r="E84" s="24" t="s">
        <v>12</v>
      </c>
      <c r="F84" s="24" t="s">
        <v>12</v>
      </c>
      <c r="G84" s="24" t="s">
        <v>12</v>
      </c>
      <c r="H84" s="24" t="s">
        <v>32</v>
      </c>
    </row>
    <row r="85" ht="20" customHeight="1" spans="1:8" x14ac:dyDescent="0.25">
      <c r="A85" s="22" t="s">
        <v>35</v>
      </c>
      <c r="B85" s="22" t="s">
        <v>36</v>
      </c>
      <c r="C85" s="23" t="s">
        <v>32</v>
      </c>
      <c r="D85" s="7" t="s">
        <v>5</v>
      </c>
      <c r="E85" s="22" t="s">
        <v>12</v>
      </c>
      <c r="F85" s="22" t="s">
        <v>12</v>
      </c>
      <c r="G85" s="22" t="s">
        <v>12</v>
      </c>
      <c r="H85" s="22" t="s">
        <v>32</v>
      </c>
    </row>
    <row r="86" ht="20" customHeight="1" spans="1:8" x14ac:dyDescent="0.25">
      <c r="A86" s="24" t="s">
        <v>37</v>
      </c>
      <c r="B86" s="24" t="s">
        <v>38</v>
      </c>
      <c r="C86" s="25" t="s">
        <v>32</v>
      </c>
      <c r="D86" s="7" t="s">
        <v>5</v>
      </c>
      <c r="E86" s="24" t="s">
        <v>12</v>
      </c>
      <c r="F86" s="24" t="s">
        <v>12</v>
      </c>
      <c r="G86" s="24" t="s">
        <v>12</v>
      </c>
      <c r="H86" s="24" t="s">
        <v>32</v>
      </c>
    </row>
    <row r="87" ht="20" customHeight="1" spans="1:8" x14ac:dyDescent="0.25">
      <c r="A87" s="22" t="s">
        <v>39</v>
      </c>
      <c r="B87" s="22" t="s">
        <v>40</v>
      </c>
      <c r="C87" s="23" t="s">
        <v>32</v>
      </c>
      <c r="D87" s="7" t="s">
        <v>5</v>
      </c>
      <c r="E87" s="22" t="s">
        <v>12</v>
      </c>
      <c r="F87" s="22" t="s">
        <v>12</v>
      </c>
      <c r="G87" s="22" t="s">
        <v>12</v>
      </c>
      <c r="H87" s="22" t="s">
        <v>32</v>
      </c>
    </row>
    <row r="88" ht="20" customHeight="1" spans="1:8" x14ac:dyDescent="0.25">
      <c r="A88" s="24" t="s">
        <v>41</v>
      </c>
      <c r="B88" s="24" t="s">
        <v>42</v>
      </c>
      <c r="C88" s="25" t="s">
        <v>32</v>
      </c>
      <c r="D88" s="16" t="s">
        <v>43</v>
      </c>
      <c r="E88" s="24" t="s">
        <v>12</v>
      </c>
      <c r="F88" s="24" t="s">
        <v>12</v>
      </c>
      <c r="G88" s="24" t="s">
        <v>12</v>
      </c>
      <c r="H88" s="24" t="s">
        <v>32</v>
      </c>
    </row>
    <row r="89" ht="20" customHeight="1" spans="1:8" x14ac:dyDescent="0.25">
      <c r="A89" s="22" t="s">
        <v>44</v>
      </c>
      <c r="B89" s="22" t="s">
        <v>45</v>
      </c>
      <c r="C89" s="23" t="s">
        <v>32</v>
      </c>
      <c r="D89" s="7" t="s">
        <v>5</v>
      </c>
      <c r="E89" s="22" t="s">
        <v>12</v>
      </c>
      <c r="F89" s="22" t="s">
        <v>12</v>
      </c>
      <c r="G89" s="22" t="s">
        <v>12</v>
      </c>
      <c r="H89" s="22" t="s">
        <v>32</v>
      </c>
    </row>
    <row r="90" ht="20" customHeight="1" spans="1:8" x14ac:dyDescent="0.25">
      <c r="A90" s="24" t="s">
        <v>46</v>
      </c>
      <c r="B90" s="24" t="s">
        <v>31</v>
      </c>
      <c r="C90" s="25" t="s">
        <v>32</v>
      </c>
      <c r="D90" s="7" t="s">
        <v>5</v>
      </c>
      <c r="E90" s="24" t="s">
        <v>12</v>
      </c>
      <c r="F90" s="24" t="s">
        <v>12</v>
      </c>
      <c r="G90" s="24" t="s">
        <v>12</v>
      </c>
      <c r="H90" s="24" t="s">
        <v>32</v>
      </c>
    </row>
    <row r="91" ht="20" customHeight="1" spans="1:8" x14ac:dyDescent="0.25">
      <c r="A91" s="22" t="s">
        <v>47</v>
      </c>
      <c r="B91" s="22" t="s">
        <v>34</v>
      </c>
      <c r="C91" s="23" t="s">
        <v>32</v>
      </c>
      <c r="D91" s="7" t="s">
        <v>5</v>
      </c>
      <c r="E91" s="22" t="s">
        <v>12</v>
      </c>
      <c r="F91" s="22" t="s">
        <v>12</v>
      </c>
      <c r="G91" s="22" t="s">
        <v>12</v>
      </c>
      <c r="H91" s="22" t="s">
        <v>32</v>
      </c>
    </row>
    <row r="92" ht="20" customHeight="1" spans="1:8" x14ac:dyDescent="0.25">
      <c r="A92" s="24" t="s">
        <v>48</v>
      </c>
      <c r="B92" s="24" t="s">
        <v>36</v>
      </c>
      <c r="C92" s="25" t="s">
        <v>32</v>
      </c>
      <c r="D92" s="7" t="s">
        <v>5</v>
      </c>
      <c r="E92" s="24" t="s">
        <v>12</v>
      </c>
      <c r="F92" s="24" t="s">
        <v>12</v>
      </c>
      <c r="G92" s="24" t="s">
        <v>12</v>
      </c>
      <c r="H92" s="24" t="s">
        <v>32</v>
      </c>
    </row>
    <row r="93" ht="20" customHeight="1" spans="1:8" x14ac:dyDescent="0.25">
      <c r="A93" s="22" t="s">
        <v>49</v>
      </c>
      <c r="B93" s="22" t="s">
        <v>38</v>
      </c>
      <c r="C93" s="23" t="s">
        <v>32</v>
      </c>
      <c r="D93" s="7" t="s">
        <v>5</v>
      </c>
      <c r="E93" s="22" t="s">
        <v>12</v>
      </c>
      <c r="F93" s="22" t="s">
        <v>12</v>
      </c>
      <c r="G93" s="22" t="s">
        <v>12</v>
      </c>
      <c r="H93" s="22" t="s">
        <v>32</v>
      </c>
    </row>
    <row r="94" ht="20" customHeight="1" spans="1:8" x14ac:dyDescent="0.25">
      <c r="A94" s="24" t="s">
        <v>50</v>
      </c>
      <c r="B94" s="24" t="s">
        <v>40</v>
      </c>
      <c r="C94" s="25" t="s">
        <v>32</v>
      </c>
      <c r="D94" s="16" t="s">
        <v>43</v>
      </c>
      <c r="E94" s="24" t="s">
        <v>12</v>
      </c>
      <c r="F94" s="24" t="s">
        <v>12</v>
      </c>
      <c r="G94" s="24" t="s">
        <v>12</v>
      </c>
      <c r="H94" s="24" t="s">
        <v>32</v>
      </c>
    </row>
    <row r="95" ht="20" customHeight="1" spans="1:8" x14ac:dyDescent="0.25">
      <c r="A95" s="22" t="s">
        <v>51</v>
      </c>
      <c r="B95" s="22" t="s">
        <v>42</v>
      </c>
      <c r="C95" s="23" t="s">
        <v>32</v>
      </c>
      <c r="D95" s="16" t="s">
        <v>43</v>
      </c>
      <c r="E95" s="22" t="s">
        <v>12</v>
      </c>
      <c r="F95" s="22" t="s">
        <v>12</v>
      </c>
      <c r="G95" s="22" t="s">
        <v>12</v>
      </c>
      <c r="H95" s="22" t="s">
        <v>32</v>
      </c>
    </row>
    <row r="96" ht="20" customHeight="1" spans="1:8" x14ac:dyDescent="0.25">
      <c r="A96" s="24" t="s">
        <v>52</v>
      </c>
      <c r="B96" s="24" t="s">
        <v>45</v>
      </c>
      <c r="C96" s="25" t="s">
        <v>32</v>
      </c>
      <c r="D96" s="7" t="s">
        <v>5</v>
      </c>
      <c r="E96" s="24" t="s">
        <v>12</v>
      </c>
      <c r="F96" s="24" t="s">
        <v>12</v>
      </c>
      <c r="G96" s="24" t="s">
        <v>12</v>
      </c>
      <c r="H96" s="24" t="s">
        <v>32</v>
      </c>
    </row>
    <row r="97" ht="20" customHeight="1" spans="1:8" x14ac:dyDescent="0.25">
      <c r="A97" s="22" t="s">
        <v>53</v>
      </c>
      <c r="B97" s="22" t="s">
        <v>31</v>
      </c>
      <c r="C97" s="23" t="s">
        <v>32</v>
      </c>
      <c r="D97" s="7" t="s">
        <v>5</v>
      </c>
      <c r="E97" s="22" t="s">
        <v>12</v>
      </c>
      <c r="F97" s="22" t="s">
        <v>12</v>
      </c>
      <c r="G97" s="22" t="s">
        <v>12</v>
      </c>
      <c r="H97" s="22" t="s">
        <v>32</v>
      </c>
    </row>
    <row r="98" ht="20" customHeight="1" spans="1:8" x14ac:dyDescent="0.25">
      <c r="A98" s="24" t="s">
        <v>54</v>
      </c>
      <c r="B98" s="24" t="s">
        <v>34</v>
      </c>
      <c r="C98" s="25" t="s">
        <v>32</v>
      </c>
      <c r="D98" s="7" t="s">
        <v>5</v>
      </c>
      <c r="E98" s="24" t="s">
        <v>12</v>
      </c>
      <c r="F98" s="24" t="s">
        <v>12</v>
      </c>
      <c r="G98" s="24" t="s">
        <v>12</v>
      </c>
      <c r="H98" s="24" t="s">
        <v>32</v>
      </c>
    </row>
    <row r="99" ht="20" customHeight="1" spans="1:8" x14ac:dyDescent="0.25">
      <c r="A99" s="22" t="s">
        <v>55</v>
      </c>
      <c r="B99" s="22" t="s">
        <v>36</v>
      </c>
      <c r="C99" s="23" t="s">
        <v>32</v>
      </c>
      <c r="D99" s="7" t="s">
        <v>5</v>
      </c>
      <c r="E99" s="22" t="s">
        <v>12</v>
      </c>
      <c r="F99" s="22" t="s">
        <v>12</v>
      </c>
      <c r="G99" s="22" t="s">
        <v>12</v>
      </c>
      <c r="H99" s="22" t="s">
        <v>32</v>
      </c>
    </row>
    <row r="100" ht="20" customHeight="1" spans="1:8" x14ac:dyDescent="0.25">
      <c r="A100" s="24" t="s">
        <v>56</v>
      </c>
      <c r="B100" s="24" t="s">
        <v>38</v>
      </c>
      <c r="C100" s="25" t="s">
        <v>32</v>
      </c>
      <c r="D100" s="7" t="s">
        <v>5</v>
      </c>
      <c r="E100" s="24" t="s">
        <v>12</v>
      </c>
      <c r="F100" s="24" t="s">
        <v>12</v>
      </c>
      <c r="G100" s="24" t="s">
        <v>12</v>
      </c>
      <c r="H100" s="24" t="s">
        <v>32</v>
      </c>
    </row>
    <row r="101" ht="20" customHeight="1" spans="1:8" x14ac:dyDescent="0.25">
      <c r="A101" s="22" t="s">
        <v>57</v>
      </c>
      <c r="B101" s="22" t="s">
        <v>40</v>
      </c>
      <c r="C101" s="23" t="s">
        <v>32</v>
      </c>
      <c r="D101" s="7" t="s">
        <v>5</v>
      </c>
      <c r="E101" s="22" t="s">
        <v>12</v>
      </c>
      <c r="F101" s="22" t="s">
        <v>12</v>
      </c>
      <c r="G101" s="22" t="s">
        <v>12</v>
      </c>
      <c r="H101" s="22" t="s">
        <v>32</v>
      </c>
    </row>
    <row r="102" ht="20" customHeight="1" spans="1:8" x14ac:dyDescent="0.25">
      <c r="A102" s="24" t="s">
        <v>58</v>
      </c>
      <c r="B102" s="24" t="s">
        <v>42</v>
      </c>
      <c r="C102" s="25" t="s">
        <v>32</v>
      </c>
      <c r="D102" s="16" t="s">
        <v>43</v>
      </c>
      <c r="E102" s="24" t="s">
        <v>12</v>
      </c>
      <c r="F102" s="24" t="s">
        <v>12</v>
      </c>
      <c r="G102" s="24" t="s">
        <v>12</v>
      </c>
      <c r="H102" s="24" t="s">
        <v>32</v>
      </c>
    </row>
    <row r="103" ht="20" customHeight="1" spans="1:8" x14ac:dyDescent="0.25">
      <c r="A103" s="22" t="s">
        <v>59</v>
      </c>
      <c r="B103" s="22" t="s">
        <v>45</v>
      </c>
      <c r="C103" s="23" t="s">
        <v>32</v>
      </c>
      <c r="D103" s="7" t="s">
        <v>5</v>
      </c>
      <c r="E103" s="22" t="s">
        <v>12</v>
      </c>
      <c r="F103" s="22" t="s">
        <v>12</v>
      </c>
      <c r="G103" s="22" t="s">
        <v>12</v>
      </c>
      <c r="H103" s="22" t="s">
        <v>32</v>
      </c>
    </row>
    <row r="104" ht="20" customHeight="1" spans="1:8" x14ac:dyDescent="0.25">
      <c r="A104" s="24" t="s">
        <v>60</v>
      </c>
      <c r="B104" s="24" t="s">
        <v>31</v>
      </c>
      <c r="C104" s="25" t="s">
        <v>32</v>
      </c>
      <c r="D104" s="7" t="s">
        <v>5</v>
      </c>
      <c r="E104" s="24" t="s">
        <v>12</v>
      </c>
      <c r="F104" s="24" t="s">
        <v>12</v>
      </c>
      <c r="G104" s="24" t="s">
        <v>12</v>
      </c>
      <c r="H104" s="24" t="s">
        <v>32</v>
      </c>
    </row>
    <row r="105" ht="20" customHeight="1" spans="1:8" x14ac:dyDescent="0.25">
      <c r="A105" s="22" t="s">
        <v>61</v>
      </c>
      <c r="B105" s="22" t="s">
        <v>34</v>
      </c>
      <c r="C105" s="23" t="s">
        <v>32</v>
      </c>
      <c r="D105" s="7" t="s">
        <v>5</v>
      </c>
      <c r="E105" s="22" t="s">
        <v>12</v>
      </c>
      <c r="F105" s="22" t="s">
        <v>12</v>
      </c>
      <c r="G105" s="22" t="s">
        <v>12</v>
      </c>
      <c r="H105" s="22" t="s">
        <v>32</v>
      </c>
    </row>
    <row r="106" ht="20" customHeight="1" spans="1:8" x14ac:dyDescent="0.25">
      <c r="A106" s="24" t="s">
        <v>62</v>
      </c>
      <c r="B106" s="24" t="s">
        <v>36</v>
      </c>
      <c r="C106" s="25" t="s">
        <v>32</v>
      </c>
      <c r="D106" s="7" t="s">
        <v>5</v>
      </c>
      <c r="E106" s="24" t="s">
        <v>12</v>
      </c>
      <c r="F106" s="24" t="s">
        <v>12</v>
      </c>
      <c r="G106" s="24" t="s">
        <v>12</v>
      </c>
      <c r="H106" s="24" t="s">
        <v>32</v>
      </c>
    </row>
    <row r="107" ht="20" customHeight="1" spans="1:8" x14ac:dyDescent="0.25">
      <c r="A107" s="22" t="s">
        <v>63</v>
      </c>
      <c r="B107" s="22" t="s">
        <v>38</v>
      </c>
      <c r="C107" s="23" t="s">
        <v>32</v>
      </c>
      <c r="D107" s="7" t="s">
        <v>5</v>
      </c>
      <c r="E107" s="22" t="s">
        <v>12</v>
      </c>
      <c r="F107" s="22" t="s">
        <v>12</v>
      </c>
      <c r="G107" s="22" t="s">
        <v>12</v>
      </c>
      <c r="H107" s="22" t="s">
        <v>32</v>
      </c>
    </row>
    <row r="108" ht="20" customHeight="1" spans="1:8" x14ac:dyDescent="0.25">
      <c r="A108" s="24" t="s">
        <v>64</v>
      </c>
      <c r="B108" s="24" t="s">
        <v>40</v>
      </c>
      <c r="C108" s="25" t="s">
        <v>32</v>
      </c>
      <c r="D108" s="7" t="s">
        <v>5</v>
      </c>
      <c r="E108" s="24" t="s">
        <v>12</v>
      </c>
      <c r="F108" s="24" t="s">
        <v>12</v>
      </c>
      <c r="G108" s="24" t="s">
        <v>12</v>
      </c>
      <c r="H108" s="24" t="s">
        <v>32</v>
      </c>
    </row>
    <row r="109" ht="20" customHeight="1" spans="1:8" x14ac:dyDescent="0.25">
      <c r="A109" s="22" t="s">
        <v>65</v>
      </c>
      <c r="B109" s="22" t="s">
        <v>42</v>
      </c>
      <c r="C109" s="23" t="s">
        <v>32</v>
      </c>
      <c r="D109" s="16" t="s">
        <v>43</v>
      </c>
      <c r="E109" s="22" t="s">
        <v>12</v>
      </c>
      <c r="F109" s="22" t="s">
        <v>12</v>
      </c>
      <c r="G109" s="22" t="s">
        <v>12</v>
      </c>
      <c r="H109" s="22" t="s">
        <v>32</v>
      </c>
    </row>
    <row r="110" ht="20" customHeight="1" spans="1:8" x14ac:dyDescent="0.25">
      <c r="A110" s="24" t="s">
        <v>66</v>
      </c>
      <c r="B110" s="24" t="s">
        <v>45</v>
      </c>
      <c r="C110" s="25" t="s">
        <v>32</v>
      </c>
      <c r="D110" s="7" t="s">
        <v>5</v>
      </c>
      <c r="E110" s="24" t="s">
        <v>12</v>
      </c>
      <c r="F110" s="24" t="s">
        <v>12</v>
      </c>
      <c r="G110" s="24" t="s">
        <v>12</v>
      </c>
      <c r="H110" s="24" t="s">
        <v>32</v>
      </c>
    </row>
    <row r="111" ht="20" customHeight="1" spans="1:8" x14ac:dyDescent="0.25">
      <c r="A111" s="22" t="s">
        <v>67</v>
      </c>
      <c r="B111" s="22" t="s">
        <v>31</v>
      </c>
      <c r="C111" s="23" t="s">
        <v>32</v>
      </c>
      <c r="D111" s="7" t="s">
        <v>5</v>
      </c>
      <c r="E111" s="22" t="s">
        <v>12</v>
      </c>
      <c r="F111" s="22" t="s">
        <v>12</v>
      </c>
      <c r="G111" s="22" t="s">
        <v>12</v>
      </c>
      <c r="H111" s="22" t="s">
        <v>32</v>
      </c>
    </row>
    <row r="112" ht="20" customHeight="1" spans="1:8" x14ac:dyDescent="0.25">
      <c r="A112" s="24" t="s">
        <v>68</v>
      </c>
      <c r="B112" s="24" t="s">
        <v>34</v>
      </c>
      <c r="C112" s="25" t="s">
        <v>32</v>
      </c>
      <c r="D112" s="7" t="s">
        <v>5</v>
      </c>
      <c r="E112" s="24" t="s">
        <v>12</v>
      </c>
      <c r="F112" s="24" t="s">
        <v>12</v>
      </c>
      <c r="G112" s="24" t="s">
        <v>12</v>
      </c>
      <c r="H112" s="24" t="s">
        <v>32</v>
      </c>
    </row>
    <row r="113" ht="22" customHeight="1" spans="1:8" x14ac:dyDescent="0.25">
      <c r="A113" s="26" t="s">
        <v>69</v>
      </c>
      <c r="B113" s="26"/>
      <c r="C113" s="26"/>
      <c r="D113" s="26"/>
      <c r="E113" s="26"/>
      <c r="F113" s="26"/>
      <c r="G113" s="27" t="s">
        <v>18</v>
      </c>
      <c r="H113" s="28" t="s">
        <v>12</v>
      </c>
    </row>
    <row r="115" ht="26" customHeight="1" spans="1:8" x14ac:dyDescent="0.25">
      <c r="A115" s="20" t="s">
        <v>1755</v>
      </c>
      <c r="B115" s="20"/>
      <c r="C115" s="20"/>
      <c r="D115" s="20"/>
      <c r="E115" s="20"/>
      <c r="F115" s="20"/>
      <c r="G115" s="20"/>
      <c r="H115" s="20"/>
    </row>
    <row r="116" ht="22" customHeight="1" spans="1:8" x14ac:dyDescent="0.25">
      <c r="A116" s="21" t="s">
        <v>22</v>
      </c>
      <c r="B116" s="21" t="s">
        <v>23</v>
      </c>
      <c r="C116" s="21" t="s">
        <v>24</v>
      </c>
      <c r="D116" s="21" t="s">
        <v>25</v>
      </c>
      <c r="E116" s="21" t="s">
        <v>26</v>
      </c>
      <c r="F116" s="21" t="s">
        <v>27</v>
      </c>
      <c r="G116" s="21" t="s">
        <v>28</v>
      </c>
      <c r="H116" s="21" t="s">
        <v>29</v>
      </c>
    </row>
    <row r="117" ht="20" customHeight="1" spans="1:8" x14ac:dyDescent="0.25">
      <c r="A117" s="22" t="s">
        <v>30</v>
      </c>
      <c r="B117" s="22" t="s">
        <v>31</v>
      </c>
      <c r="C117" s="23" t="s">
        <v>32</v>
      </c>
      <c r="D117" s="7" t="s">
        <v>5</v>
      </c>
      <c r="E117" s="22" t="s">
        <v>12</v>
      </c>
      <c r="F117" s="22" t="s">
        <v>12</v>
      </c>
      <c r="G117" s="22" t="s">
        <v>12</v>
      </c>
      <c r="H117" s="22" t="s">
        <v>32</v>
      </c>
    </row>
    <row r="118" ht="20" customHeight="1" spans="1:8" x14ac:dyDescent="0.25">
      <c r="A118" s="24" t="s">
        <v>33</v>
      </c>
      <c r="B118" s="24" t="s">
        <v>34</v>
      </c>
      <c r="C118" s="25" t="s">
        <v>32</v>
      </c>
      <c r="D118" s="7" t="s">
        <v>5</v>
      </c>
      <c r="E118" s="24" t="s">
        <v>12</v>
      </c>
      <c r="F118" s="24" t="s">
        <v>12</v>
      </c>
      <c r="G118" s="24" t="s">
        <v>12</v>
      </c>
      <c r="H118" s="24" t="s">
        <v>32</v>
      </c>
    </row>
    <row r="119" ht="20" customHeight="1" spans="1:8" x14ac:dyDescent="0.25">
      <c r="A119" s="22" t="s">
        <v>35</v>
      </c>
      <c r="B119" s="22" t="s">
        <v>36</v>
      </c>
      <c r="C119" s="23" t="s">
        <v>32</v>
      </c>
      <c r="D119" s="7" t="s">
        <v>5</v>
      </c>
      <c r="E119" s="22" t="s">
        <v>12</v>
      </c>
      <c r="F119" s="22" t="s">
        <v>12</v>
      </c>
      <c r="G119" s="22" t="s">
        <v>12</v>
      </c>
      <c r="H119" s="22" t="s">
        <v>32</v>
      </c>
    </row>
    <row r="120" ht="20" customHeight="1" spans="1:8" x14ac:dyDescent="0.25">
      <c r="A120" s="24" t="s">
        <v>37</v>
      </c>
      <c r="B120" s="24" t="s">
        <v>38</v>
      </c>
      <c r="C120" s="25" t="s">
        <v>32</v>
      </c>
      <c r="D120" s="7" t="s">
        <v>5</v>
      </c>
      <c r="E120" s="24" t="s">
        <v>12</v>
      </c>
      <c r="F120" s="24" t="s">
        <v>12</v>
      </c>
      <c r="G120" s="24" t="s">
        <v>12</v>
      </c>
      <c r="H120" s="24" t="s">
        <v>32</v>
      </c>
    </row>
    <row r="121" ht="20" customHeight="1" spans="1:8" x14ac:dyDescent="0.25">
      <c r="A121" s="22" t="s">
        <v>39</v>
      </c>
      <c r="B121" s="22" t="s">
        <v>40</v>
      </c>
      <c r="C121" s="23" t="s">
        <v>32</v>
      </c>
      <c r="D121" s="7" t="s">
        <v>5</v>
      </c>
      <c r="E121" s="22" t="s">
        <v>12</v>
      </c>
      <c r="F121" s="22" t="s">
        <v>12</v>
      </c>
      <c r="G121" s="22" t="s">
        <v>12</v>
      </c>
      <c r="H121" s="22" t="s">
        <v>32</v>
      </c>
    </row>
    <row r="122" ht="20" customHeight="1" spans="1:8" x14ac:dyDescent="0.25">
      <c r="A122" s="24" t="s">
        <v>41</v>
      </c>
      <c r="B122" s="24" t="s">
        <v>42</v>
      </c>
      <c r="C122" s="25" t="s">
        <v>32</v>
      </c>
      <c r="D122" s="16" t="s">
        <v>43</v>
      </c>
      <c r="E122" s="24" t="s">
        <v>12</v>
      </c>
      <c r="F122" s="24" t="s">
        <v>12</v>
      </c>
      <c r="G122" s="24" t="s">
        <v>12</v>
      </c>
      <c r="H122" s="24" t="s">
        <v>32</v>
      </c>
    </row>
    <row r="123" ht="20" customHeight="1" spans="1:8" x14ac:dyDescent="0.25">
      <c r="A123" s="22" t="s">
        <v>44</v>
      </c>
      <c r="B123" s="22" t="s">
        <v>45</v>
      </c>
      <c r="C123" s="23" t="s">
        <v>32</v>
      </c>
      <c r="D123" s="7" t="s">
        <v>5</v>
      </c>
      <c r="E123" s="22" t="s">
        <v>12</v>
      </c>
      <c r="F123" s="22" t="s">
        <v>12</v>
      </c>
      <c r="G123" s="22" t="s">
        <v>12</v>
      </c>
      <c r="H123" s="22" t="s">
        <v>32</v>
      </c>
    </row>
    <row r="124" ht="20" customHeight="1" spans="1:8" x14ac:dyDescent="0.25">
      <c r="A124" s="24" t="s">
        <v>46</v>
      </c>
      <c r="B124" s="24" t="s">
        <v>31</v>
      </c>
      <c r="C124" s="25" t="s">
        <v>32</v>
      </c>
      <c r="D124" s="7" t="s">
        <v>5</v>
      </c>
      <c r="E124" s="24" t="s">
        <v>12</v>
      </c>
      <c r="F124" s="24" t="s">
        <v>12</v>
      </c>
      <c r="G124" s="24" t="s">
        <v>12</v>
      </c>
      <c r="H124" s="24" t="s">
        <v>32</v>
      </c>
    </row>
    <row r="125" ht="20" customHeight="1" spans="1:8" x14ac:dyDescent="0.25">
      <c r="A125" s="22" t="s">
        <v>47</v>
      </c>
      <c r="B125" s="22" t="s">
        <v>34</v>
      </c>
      <c r="C125" s="23" t="s">
        <v>32</v>
      </c>
      <c r="D125" s="7" t="s">
        <v>5</v>
      </c>
      <c r="E125" s="22" t="s">
        <v>12</v>
      </c>
      <c r="F125" s="22" t="s">
        <v>12</v>
      </c>
      <c r="G125" s="22" t="s">
        <v>12</v>
      </c>
      <c r="H125" s="22" t="s">
        <v>32</v>
      </c>
    </row>
    <row r="126" ht="20" customHeight="1" spans="1:8" x14ac:dyDescent="0.25">
      <c r="A126" s="24" t="s">
        <v>48</v>
      </c>
      <c r="B126" s="24" t="s">
        <v>36</v>
      </c>
      <c r="C126" s="25" t="s">
        <v>32</v>
      </c>
      <c r="D126" s="7" t="s">
        <v>5</v>
      </c>
      <c r="E126" s="24" t="s">
        <v>12</v>
      </c>
      <c r="F126" s="24" t="s">
        <v>12</v>
      </c>
      <c r="G126" s="24" t="s">
        <v>12</v>
      </c>
      <c r="H126" s="24" t="s">
        <v>32</v>
      </c>
    </row>
    <row r="127" ht="20" customHeight="1" spans="1:8" x14ac:dyDescent="0.25">
      <c r="A127" s="22" t="s">
        <v>49</v>
      </c>
      <c r="B127" s="22" t="s">
        <v>38</v>
      </c>
      <c r="C127" s="23" t="s">
        <v>32</v>
      </c>
      <c r="D127" s="7" t="s">
        <v>5</v>
      </c>
      <c r="E127" s="22" t="s">
        <v>12</v>
      </c>
      <c r="F127" s="22" t="s">
        <v>12</v>
      </c>
      <c r="G127" s="22" t="s">
        <v>12</v>
      </c>
      <c r="H127" s="22" t="s">
        <v>32</v>
      </c>
    </row>
    <row r="128" ht="20" customHeight="1" spans="1:8" x14ac:dyDescent="0.25">
      <c r="A128" s="24" t="s">
        <v>50</v>
      </c>
      <c r="B128" s="24" t="s">
        <v>40</v>
      </c>
      <c r="C128" s="25" t="s">
        <v>32</v>
      </c>
      <c r="D128" s="16" t="s">
        <v>43</v>
      </c>
      <c r="E128" s="24" t="s">
        <v>12</v>
      </c>
      <c r="F128" s="24" t="s">
        <v>12</v>
      </c>
      <c r="G128" s="24" t="s">
        <v>12</v>
      </c>
      <c r="H128" s="24" t="s">
        <v>32</v>
      </c>
    </row>
    <row r="129" ht="20" customHeight="1" spans="1:8" x14ac:dyDescent="0.25">
      <c r="A129" s="22" t="s">
        <v>51</v>
      </c>
      <c r="B129" s="22" t="s">
        <v>42</v>
      </c>
      <c r="C129" s="23" t="s">
        <v>32</v>
      </c>
      <c r="D129" s="16" t="s">
        <v>43</v>
      </c>
      <c r="E129" s="22" t="s">
        <v>12</v>
      </c>
      <c r="F129" s="22" t="s">
        <v>12</v>
      </c>
      <c r="G129" s="22" t="s">
        <v>12</v>
      </c>
      <c r="H129" s="22" t="s">
        <v>32</v>
      </c>
    </row>
    <row r="130" ht="20" customHeight="1" spans="1:8" x14ac:dyDescent="0.25">
      <c r="A130" s="24" t="s">
        <v>52</v>
      </c>
      <c r="B130" s="24" t="s">
        <v>45</v>
      </c>
      <c r="C130" s="25" t="s">
        <v>32</v>
      </c>
      <c r="D130" s="7" t="s">
        <v>5</v>
      </c>
      <c r="E130" s="24" t="s">
        <v>12</v>
      </c>
      <c r="F130" s="24" t="s">
        <v>12</v>
      </c>
      <c r="G130" s="24" t="s">
        <v>12</v>
      </c>
      <c r="H130" s="24" t="s">
        <v>32</v>
      </c>
    </row>
    <row r="131" ht="20" customHeight="1" spans="1:8" x14ac:dyDescent="0.25">
      <c r="A131" s="22" t="s">
        <v>53</v>
      </c>
      <c r="B131" s="22" t="s">
        <v>31</v>
      </c>
      <c r="C131" s="23" t="s">
        <v>32</v>
      </c>
      <c r="D131" s="7" t="s">
        <v>5</v>
      </c>
      <c r="E131" s="22" t="s">
        <v>12</v>
      </c>
      <c r="F131" s="22" t="s">
        <v>12</v>
      </c>
      <c r="G131" s="22" t="s">
        <v>12</v>
      </c>
      <c r="H131" s="22" t="s">
        <v>32</v>
      </c>
    </row>
    <row r="132" ht="20" customHeight="1" spans="1:8" x14ac:dyDescent="0.25">
      <c r="A132" s="24" t="s">
        <v>54</v>
      </c>
      <c r="B132" s="24" t="s">
        <v>34</v>
      </c>
      <c r="C132" s="25" t="s">
        <v>32</v>
      </c>
      <c r="D132" s="7" t="s">
        <v>5</v>
      </c>
      <c r="E132" s="24" t="s">
        <v>12</v>
      </c>
      <c r="F132" s="24" t="s">
        <v>12</v>
      </c>
      <c r="G132" s="24" t="s">
        <v>12</v>
      </c>
      <c r="H132" s="24" t="s">
        <v>32</v>
      </c>
    </row>
    <row r="133" ht="20" customHeight="1" spans="1:8" x14ac:dyDescent="0.25">
      <c r="A133" s="22" t="s">
        <v>55</v>
      </c>
      <c r="B133" s="22" t="s">
        <v>36</v>
      </c>
      <c r="C133" s="23" t="s">
        <v>32</v>
      </c>
      <c r="D133" s="7" t="s">
        <v>5</v>
      </c>
      <c r="E133" s="22" t="s">
        <v>12</v>
      </c>
      <c r="F133" s="22" t="s">
        <v>12</v>
      </c>
      <c r="G133" s="22" t="s">
        <v>12</v>
      </c>
      <c r="H133" s="22" t="s">
        <v>32</v>
      </c>
    </row>
    <row r="134" ht="20" customHeight="1" spans="1:8" x14ac:dyDescent="0.25">
      <c r="A134" s="24" t="s">
        <v>56</v>
      </c>
      <c r="B134" s="24" t="s">
        <v>38</v>
      </c>
      <c r="C134" s="25" t="s">
        <v>32</v>
      </c>
      <c r="D134" s="7" t="s">
        <v>5</v>
      </c>
      <c r="E134" s="24" t="s">
        <v>12</v>
      </c>
      <c r="F134" s="24" t="s">
        <v>12</v>
      </c>
      <c r="G134" s="24" t="s">
        <v>12</v>
      </c>
      <c r="H134" s="24" t="s">
        <v>32</v>
      </c>
    </row>
    <row r="135" ht="20" customHeight="1" spans="1:8" x14ac:dyDescent="0.25">
      <c r="A135" s="22" t="s">
        <v>57</v>
      </c>
      <c r="B135" s="22" t="s">
        <v>40</v>
      </c>
      <c r="C135" s="23" t="s">
        <v>32</v>
      </c>
      <c r="D135" s="7" t="s">
        <v>5</v>
      </c>
      <c r="E135" s="22" t="s">
        <v>12</v>
      </c>
      <c r="F135" s="22" t="s">
        <v>12</v>
      </c>
      <c r="G135" s="22" t="s">
        <v>12</v>
      </c>
      <c r="H135" s="22" t="s">
        <v>32</v>
      </c>
    </row>
    <row r="136" ht="20" customHeight="1" spans="1:8" x14ac:dyDescent="0.25">
      <c r="A136" s="24" t="s">
        <v>58</v>
      </c>
      <c r="B136" s="24" t="s">
        <v>42</v>
      </c>
      <c r="C136" s="25" t="s">
        <v>32</v>
      </c>
      <c r="D136" s="16" t="s">
        <v>43</v>
      </c>
      <c r="E136" s="24" t="s">
        <v>12</v>
      </c>
      <c r="F136" s="24" t="s">
        <v>12</v>
      </c>
      <c r="G136" s="24" t="s">
        <v>12</v>
      </c>
      <c r="H136" s="24" t="s">
        <v>32</v>
      </c>
    </row>
    <row r="137" ht="20" customHeight="1" spans="1:8" x14ac:dyDescent="0.25">
      <c r="A137" s="22" t="s">
        <v>59</v>
      </c>
      <c r="B137" s="22" t="s">
        <v>45</v>
      </c>
      <c r="C137" s="23" t="s">
        <v>32</v>
      </c>
      <c r="D137" s="7" t="s">
        <v>5</v>
      </c>
      <c r="E137" s="22" t="s">
        <v>12</v>
      </c>
      <c r="F137" s="22" t="s">
        <v>12</v>
      </c>
      <c r="G137" s="22" t="s">
        <v>12</v>
      </c>
      <c r="H137" s="22" t="s">
        <v>32</v>
      </c>
    </row>
    <row r="138" ht="20" customHeight="1" spans="1:8" x14ac:dyDescent="0.25">
      <c r="A138" s="24" t="s">
        <v>60</v>
      </c>
      <c r="B138" s="24" t="s">
        <v>31</v>
      </c>
      <c r="C138" s="25" t="s">
        <v>32</v>
      </c>
      <c r="D138" s="7" t="s">
        <v>5</v>
      </c>
      <c r="E138" s="24" t="s">
        <v>12</v>
      </c>
      <c r="F138" s="24" t="s">
        <v>12</v>
      </c>
      <c r="G138" s="24" t="s">
        <v>12</v>
      </c>
      <c r="H138" s="24" t="s">
        <v>32</v>
      </c>
    </row>
    <row r="139" ht="20" customHeight="1" spans="1:8" x14ac:dyDescent="0.25">
      <c r="A139" s="22" t="s">
        <v>61</v>
      </c>
      <c r="B139" s="22" t="s">
        <v>34</v>
      </c>
      <c r="C139" s="23" t="s">
        <v>32</v>
      </c>
      <c r="D139" s="7" t="s">
        <v>5</v>
      </c>
      <c r="E139" s="22" t="s">
        <v>12</v>
      </c>
      <c r="F139" s="22" t="s">
        <v>12</v>
      </c>
      <c r="G139" s="22" t="s">
        <v>12</v>
      </c>
      <c r="H139" s="22" t="s">
        <v>32</v>
      </c>
    </row>
    <row r="140" ht="20" customHeight="1" spans="1:8" x14ac:dyDescent="0.25">
      <c r="A140" s="24" t="s">
        <v>62</v>
      </c>
      <c r="B140" s="24" t="s">
        <v>36</v>
      </c>
      <c r="C140" s="25" t="s">
        <v>32</v>
      </c>
      <c r="D140" s="7" t="s">
        <v>5</v>
      </c>
      <c r="E140" s="24" t="s">
        <v>12</v>
      </c>
      <c r="F140" s="24" t="s">
        <v>12</v>
      </c>
      <c r="G140" s="24" t="s">
        <v>12</v>
      </c>
      <c r="H140" s="24" t="s">
        <v>32</v>
      </c>
    </row>
    <row r="141" ht="20" customHeight="1" spans="1:8" x14ac:dyDescent="0.25">
      <c r="A141" s="22" t="s">
        <v>63</v>
      </c>
      <c r="B141" s="22" t="s">
        <v>38</v>
      </c>
      <c r="C141" s="23" t="s">
        <v>32</v>
      </c>
      <c r="D141" s="7" t="s">
        <v>5</v>
      </c>
      <c r="E141" s="22" t="s">
        <v>12</v>
      </c>
      <c r="F141" s="22" t="s">
        <v>12</v>
      </c>
      <c r="G141" s="22" t="s">
        <v>12</v>
      </c>
      <c r="H141" s="22" t="s">
        <v>32</v>
      </c>
    </row>
    <row r="142" ht="20" customHeight="1" spans="1:8" x14ac:dyDescent="0.25">
      <c r="A142" s="24" t="s">
        <v>64</v>
      </c>
      <c r="B142" s="24" t="s">
        <v>40</v>
      </c>
      <c r="C142" s="25" t="s">
        <v>32</v>
      </c>
      <c r="D142" s="7" t="s">
        <v>5</v>
      </c>
      <c r="E142" s="24" t="s">
        <v>12</v>
      </c>
      <c r="F142" s="24" t="s">
        <v>12</v>
      </c>
      <c r="G142" s="24" t="s">
        <v>12</v>
      </c>
      <c r="H142" s="24" t="s">
        <v>32</v>
      </c>
    </row>
    <row r="143" ht="20" customHeight="1" spans="1:8" x14ac:dyDescent="0.25">
      <c r="A143" s="22" t="s">
        <v>65</v>
      </c>
      <c r="B143" s="22" t="s">
        <v>42</v>
      </c>
      <c r="C143" s="23" t="s">
        <v>32</v>
      </c>
      <c r="D143" s="16" t="s">
        <v>43</v>
      </c>
      <c r="E143" s="22" t="s">
        <v>12</v>
      </c>
      <c r="F143" s="22" t="s">
        <v>12</v>
      </c>
      <c r="G143" s="22" t="s">
        <v>12</v>
      </c>
      <c r="H143" s="22" t="s">
        <v>32</v>
      </c>
    </row>
    <row r="144" ht="20" customHeight="1" spans="1:8" x14ac:dyDescent="0.25">
      <c r="A144" s="24" t="s">
        <v>66</v>
      </c>
      <c r="B144" s="24" t="s">
        <v>45</v>
      </c>
      <c r="C144" s="25" t="s">
        <v>32</v>
      </c>
      <c r="D144" s="7" t="s">
        <v>5</v>
      </c>
      <c r="E144" s="24" t="s">
        <v>12</v>
      </c>
      <c r="F144" s="24" t="s">
        <v>12</v>
      </c>
      <c r="G144" s="24" t="s">
        <v>12</v>
      </c>
      <c r="H144" s="24" t="s">
        <v>32</v>
      </c>
    </row>
    <row r="145" ht="20" customHeight="1" spans="1:8" x14ac:dyDescent="0.25">
      <c r="A145" s="22" t="s">
        <v>67</v>
      </c>
      <c r="B145" s="22" t="s">
        <v>31</v>
      </c>
      <c r="C145" s="23" t="s">
        <v>32</v>
      </c>
      <c r="D145" s="7" t="s">
        <v>5</v>
      </c>
      <c r="E145" s="22" t="s">
        <v>12</v>
      </c>
      <c r="F145" s="22" t="s">
        <v>12</v>
      </c>
      <c r="G145" s="22" t="s">
        <v>12</v>
      </c>
      <c r="H145" s="22" t="s">
        <v>32</v>
      </c>
    </row>
    <row r="146" ht="20" customHeight="1" spans="1:8" x14ac:dyDescent="0.25">
      <c r="A146" s="24" t="s">
        <v>68</v>
      </c>
      <c r="B146" s="24" t="s">
        <v>34</v>
      </c>
      <c r="C146" s="25" t="s">
        <v>32</v>
      </c>
      <c r="D146" s="7" t="s">
        <v>5</v>
      </c>
      <c r="E146" s="24" t="s">
        <v>12</v>
      </c>
      <c r="F146" s="24" t="s">
        <v>12</v>
      </c>
      <c r="G146" s="24" t="s">
        <v>12</v>
      </c>
      <c r="H146" s="24" t="s">
        <v>32</v>
      </c>
    </row>
    <row r="147" ht="22" customHeight="1" spans="1:8" x14ac:dyDescent="0.25">
      <c r="A147" s="26" t="s">
        <v>69</v>
      </c>
      <c r="B147" s="26"/>
      <c r="C147" s="26"/>
      <c r="D147" s="26"/>
      <c r="E147" s="26"/>
      <c r="F147" s="26"/>
      <c r="G147" s="27" t="s">
        <v>18</v>
      </c>
      <c r="H147" s="28" t="s">
        <v>12</v>
      </c>
    </row>
    <row r="149" ht="26" customHeight="1" spans="1:8" x14ac:dyDescent="0.25">
      <c r="A149" s="20" t="s">
        <v>1756</v>
      </c>
      <c r="B149" s="20"/>
      <c r="C149" s="20"/>
      <c r="D149" s="20"/>
      <c r="E149" s="20"/>
      <c r="F149" s="20"/>
      <c r="G149" s="20"/>
      <c r="H149" s="20"/>
    </row>
    <row r="150" ht="22" customHeight="1" spans="1:8" x14ac:dyDescent="0.25">
      <c r="A150" s="21" t="s">
        <v>22</v>
      </c>
      <c r="B150" s="21" t="s">
        <v>23</v>
      </c>
      <c r="C150" s="21" t="s">
        <v>24</v>
      </c>
      <c r="D150" s="21" t="s">
        <v>25</v>
      </c>
      <c r="E150" s="21" t="s">
        <v>26</v>
      </c>
      <c r="F150" s="21" t="s">
        <v>27</v>
      </c>
      <c r="G150" s="21" t="s">
        <v>28</v>
      </c>
      <c r="H150" s="21" t="s">
        <v>29</v>
      </c>
    </row>
    <row r="151" ht="20" customHeight="1" spans="1:8" x14ac:dyDescent="0.25">
      <c r="A151" s="22" t="s">
        <v>30</v>
      </c>
      <c r="B151" s="22" t="s">
        <v>31</v>
      </c>
      <c r="C151" s="23" t="s">
        <v>32</v>
      </c>
      <c r="D151" s="7" t="s">
        <v>5</v>
      </c>
      <c r="E151" s="22" t="s">
        <v>12</v>
      </c>
      <c r="F151" s="22" t="s">
        <v>12</v>
      </c>
      <c r="G151" s="22" t="s">
        <v>12</v>
      </c>
      <c r="H151" s="22" t="s">
        <v>32</v>
      </c>
    </row>
    <row r="152" ht="20" customHeight="1" spans="1:8" x14ac:dyDescent="0.25">
      <c r="A152" s="24" t="s">
        <v>33</v>
      </c>
      <c r="B152" s="24" t="s">
        <v>34</v>
      </c>
      <c r="C152" s="25" t="s">
        <v>32</v>
      </c>
      <c r="D152" s="7" t="s">
        <v>5</v>
      </c>
      <c r="E152" s="24" t="s">
        <v>12</v>
      </c>
      <c r="F152" s="24" t="s">
        <v>12</v>
      </c>
      <c r="G152" s="24" t="s">
        <v>12</v>
      </c>
      <c r="H152" s="24" t="s">
        <v>32</v>
      </c>
    </row>
    <row r="153" ht="20" customHeight="1" spans="1:8" x14ac:dyDescent="0.25">
      <c r="A153" s="22" t="s">
        <v>35</v>
      </c>
      <c r="B153" s="22" t="s">
        <v>36</v>
      </c>
      <c r="C153" s="23" t="s">
        <v>32</v>
      </c>
      <c r="D153" s="7" t="s">
        <v>5</v>
      </c>
      <c r="E153" s="22" t="s">
        <v>12</v>
      </c>
      <c r="F153" s="22" t="s">
        <v>12</v>
      </c>
      <c r="G153" s="22" t="s">
        <v>12</v>
      </c>
      <c r="H153" s="22" t="s">
        <v>32</v>
      </c>
    </row>
    <row r="154" ht="20" customHeight="1" spans="1:8" x14ac:dyDescent="0.25">
      <c r="A154" s="24" t="s">
        <v>37</v>
      </c>
      <c r="B154" s="24" t="s">
        <v>38</v>
      </c>
      <c r="C154" s="25" t="s">
        <v>32</v>
      </c>
      <c r="D154" s="7" t="s">
        <v>5</v>
      </c>
      <c r="E154" s="24" t="s">
        <v>12</v>
      </c>
      <c r="F154" s="24" t="s">
        <v>12</v>
      </c>
      <c r="G154" s="24" t="s">
        <v>12</v>
      </c>
      <c r="H154" s="24" t="s">
        <v>32</v>
      </c>
    </row>
    <row r="155" ht="20" customHeight="1" spans="1:8" x14ac:dyDescent="0.25">
      <c r="A155" s="22" t="s">
        <v>39</v>
      </c>
      <c r="B155" s="22" t="s">
        <v>40</v>
      </c>
      <c r="C155" s="23" t="s">
        <v>32</v>
      </c>
      <c r="D155" s="7" t="s">
        <v>5</v>
      </c>
      <c r="E155" s="22" t="s">
        <v>12</v>
      </c>
      <c r="F155" s="22" t="s">
        <v>12</v>
      </c>
      <c r="G155" s="22" t="s">
        <v>12</v>
      </c>
      <c r="H155" s="22" t="s">
        <v>32</v>
      </c>
    </row>
    <row r="156" ht="20" customHeight="1" spans="1:8" x14ac:dyDescent="0.25">
      <c r="A156" s="24" t="s">
        <v>41</v>
      </c>
      <c r="B156" s="24" t="s">
        <v>42</v>
      </c>
      <c r="C156" s="25" t="s">
        <v>32</v>
      </c>
      <c r="D156" s="16" t="s">
        <v>43</v>
      </c>
      <c r="E156" s="24" t="s">
        <v>12</v>
      </c>
      <c r="F156" s="24" t="s">
        <v>12</v>
      </c>
      <c r="G156" s="24" t="s">
        <v>12</v>
      </c>
      <c r="H156" s="24" t="s">
        <v>32</v>
      </c>
    </row>
    <row r="157" ht="20" customHeight="1" spans="1:8" x14ac:dyDescent="0.25">
      <c r="A157" s="22" t="s">
        <v>44</v>
      </c>
      <c r="B157" s="22" t="s">
        <v>45</v>
      </c>
      <c r="C157" s="23" t="s">
        <v>32</v>
      </c>
      <c r="D157" s="7" t="s">
        <v>5</v>
      </c>
      <c r="E157" s="22" t="s">
        <v>12</v>
      </c>
      <c r="F157" s="22" t="s">
        <v>12</v>
      </c>
      <c r="G157" s="22" t="s">
        <v>12</v>
      </c>
      <c r="H157" s="22" t="s">
        <v>32</v>
      </c>
    </row>
    <row r="158" ht="20" customHeight="1" spans="1:8" x14ac:dyDescent="0.25">
      <c r="A158" s="24" t="s">
        <v>46</v>
      </c>
      <c r="B158" s="24" t="s">
        <v>31</v>
      </c>
      <c r="C158" s="25" t="s">
        <v>32</v>
      </c>
      <c r="D158" s="7" t="s">
        <v>5</v>
      </c>
      <c r="E158" s="24" t="s">
        <v>12</v>
      </c>
      <c r="F158" s="24" t="s">
        <v>12</v>
      </c>
      <c r="G158" s="24" t="s">
        <v>12</v>
      </c>
      <c r="H158" s="24" t="s">
        <v>32</v>
      </c>
    </row>
    <row r="159" ht="20" customHeight="1" spans="1:8" x14ac:dyDescent="0.25">
      <c r="A159" s="22" t="s">
        <v>47</v>
      </c>
      <c r="B159" s="22" t="s">
        <v>34</v>
      </c>
      <c r="C159" s="23" t="s">
        <v>32</v>
      </c>
      <c r="D159" s="7" t="s">
        <v>5</v>
      </c>
      <c r="E159" s="22" t="s">
        <v>12</v>
      </c>
      <c r="F159" s="22" t="s">
        <v>12</v>
      </c>
      <c r="G159" s="22" t="s">
        <v>12</v>
      </c>
      <c r="H159" s="22" t="s">
        <v>32</v>
      </c>
    </row>
    <row r="160" ht="20" customHeight="1" spans="1:8" x14ac:dyDescent="0.25">
      <c r="A160" s="24" t="s">
        <v>48</v>
      </c>
      <c r="B160" s="24" t="s">
        <v>36</v>
      </c>
      <c r="C160" s="25" t="s">
        <v>32</v>
      </c>
      <c r="D160" s="7" t="s">
        <v>5</v>
      </c>
      <c r="E160" s="24" t="s">
        <v>12</v>
      </c>
      <c r="F160" s="24" t="s">
        <v>12</v>
      </c>
      <c r="G160" s="24" t="s">
        <v>12</v>
      </c>
      <c r="H160" s="24" t="s">
        <v>32</v>
      </c>
    </row>
    <row r="161" ht="20" customHeight="1" spans="1:8" x14ac:dyDescent="0.25">
      <c r="A161" s="22" t="s">
        <v>49</v>
      </c>
      <c r="B161" s="22" t="s">
        <v>38</v>
      </c>
      <c r="C161" s="23" t="s">
        <v>32</v>
      </c>
      <c r="D161" s="7" t="s">
        <v>5</v>
      </c>
      <c r="E161" s="22" t="s">
        <v>12</v>
      </c>
      <c r="F161" s="22" t="s">
        <v>12</v>
      </c>
      <c r="G161" s="22" t="s">
        <v>12</v>
      </c>
      <c r="H161" s="22" t="s">
        <v>32</v>
      </c>
    </row>
    <row r="162" ht="20" customHeight="1" spans="1:8" x14ac:dyDescent="0.25">
      <c r="A162" s="24" t="s">
        <v>50</v>
      </c>
      <c r="B162" s="24" t="s">
        <v>40</v>
      </c>
      <c r="C162" s="25" t="s">
        <v>32</v>
      </c>
      <c r="D162" s="16" t="s">
        <v>43</v>
      </c>
      <c r="E162" s="24" t="s">
        <v>12</v>
      </c>
      <c r="F162" s="24" t="s">
        <v>12</v>
      </c>
      <c r="G162" s="24" t="s">
        <v>12</v>
      </c>
      <c r="H162" s="24" t="s">
        <v>32</v>
      </c>
    </row>
    <row r="163" ht="20" customHeight="1" spans="1:8" x14ac:dyDescent="0.25">
      <c r="A163" s="22" t="s">
        <v>51</v>
      </c>
      <c r="B163" s="22" t="s">
        <v>42</v>
      </c>
      <c r="C163" s="23" t="s">
        <v>32</v>
      </c>
      <c r="D163" s="16" t="s">
        <v>43</v>
      </c>
      <c r="E163" s="22" t="s">
        <v>12</v>
      </c>
      <c r="F163" s="22" t="s">
        <v>12</v>
      </c>
      <c r="G163" s="22" t="s">
        <v>12</v>
      </c>
      <c r="H163" s="22" t="s">
        <v>32</v>
      </c>
    </row>
    <row r="164" ht="20" customHeight="1" spans="1:8" x14ac:dyDescent="0.25">
      <c r="A164" s="24" t="s">
        <v>52</v>
      </c>
      <c r="B164" s="24" t="s">
        <v>45</v>
      </c>
      <c r="C164" s="25" t="s">
        <v>32</v>
      </c>
      <c r="D164" s="7" t="s">
        <v>5</v>
      </c>
      <c r="E164" s="24" t="s">
        <v>12</v>
      </c>
      <c r="F164" s="24" t="s">
        <v>12</v>
      </c>
      <c r="G164" s="24" t="s">
        <v>12</v>
      </c>
      <c r="H164" s="24" t="s">
        <v>32</v>
      </c>
    </row>
    <row r="165" ht="20" customHeight="1" spans="1:8" x14ac:dyDescent="0.25">
      <c r="A165" s="22" t="s">
        <v>53</v>
      </c>
      <c r="B165" s="22" t="s">
        <v>31</v>
      </c>
      <c r="C165" s="23" t="s">
        <v>32</v>
      </c>
      <c r="D165" s="7" t="s">
        <v>5</v>
      </c>
      <c r="E165" s="22" t="s">
        <v>12</v>
      </c>
      <c r="F165" s="22" t="s">
        <v>12</v>
      </c>
      <c r="G165" s="22" t="s">
        <v>12</v>
      </c>
      <c r="H165" s="22" t="s">
        <v>32</v>
      </c>
    </row>
    <row r="166" ht="20" customHeight="1" spans="1:8" x14ac:dyDescent="0.25">
      <c r="A166" s="24" t="s">
        <v>54</v>
      </c>
      <c r="B166" s="24" t="s">
        <v>34</v>
      </c>
      <c r="C166" s="25" t="s">
        <v>32</v>
      </c>
      <c r="D166" s="7" t="s">
        <v>5</v>
      </c>
      <c r="E166" s="24" t="s">
        <v>12</v>
      </c>
      <c r="F166" s="24" t="s">
        <v>12</v>
      </c>
      <c r="G166" s="24" t="s">
        <v>12</v>
      </c>
      <c r="H166" s="24" t="s">
        <v>32</v>
      </c>
    </row>
    <row r="167" ht="20" customHeight="1" spans="1:8" x14ac:dyDescent="0.25">
      <c r="A167" s="22" t="s">
        <v>55</v>
      </c>
      <c r="B167" s="22" t="s">
        <v>36</v>
      </c>
      <c r="C167" s="23" t="s">
        <v>32</v>
      </c>
      <c r="D167" s="7" t="s">
        <v>5</v>
      </c>
      <c r="E167" s="22" t="s">
        <v>12</v>
      </c>
      <c r="F167" s="22" t="s">
        <v>12</v>
      </c>
      <c r="G167" s="22" t="s">
        <v>12</v>
      </c>
      <c r="H167" s="22" t="s">
        <v>32</v>
      </c>
    </row>
    <row r="168" ht="20" customHeight="1" spans="1:8" x14ac:dyDescent="0.25">
      <c r="A168" s="24" t="s">
        <v>56</v>
      </c>
      <c r="B168" s="24" t="s">
        <v>38</v>
      </c>
      <c r="C168" s="25" t="s">
        <v>32</v>
      </c>
      <c r="D168" s="7" t="s">
        <v>5</v>
      </c>
      <c r="E168" s="24" t="s">
        <v>12</v>
      </c>
      <c r="F168" s="24" t="s">
        <v>12</v>
      </c>
      <c r="G168" s="24" t="s">
        <v>12</v>
      </c>
      <c r="H168" s="24" t="s">
        <v>32</v>
      </c>
    </row>
    <row r="169" ht="20" customHeight="1" spans="1:8" x14ac:dyDescent="0.25">
      <c r="A169" s="22" t="s">
        <v>57</v>
      </c>
      <c r="B169" s="22" t="s">
        <v>40</v>
      </c>
      <c r="C169" s="23" t="s">
        <v>32</v>
      </c>
      <c r="D169" s="7" t="s">
        <v>5</v>
      </c>
      <c r="E169" s="22" t="s">
        <v>12</v>
      </c>
      <c r="F169" s="22" t="s">
        <v>12</v>
      </c>
      <c r="G169" s="22" t="s">
        <v>12</v>
      </c>
      <c r="H169" s="22" t="s">
        <v>32</v>
      </c>
    </row>
    <row r="170" ht="20" customHeight="1" spans="1:8" x14ac:dyDescent="0.25">
      <c r="A170" s="24" t="s">
        <v>58</v>
      </c>
      <c r="B170" s="24" t="s">
        <v>42</v>
      </c>
      <c r="C170" s="25" t="s">
        <v>32</v>
      </c>
      <c r="D170" s="16" t="s">
        <v>43</v>
      </c>
      <c r="E170" s="24" t="s">
        <v>12</v>
      </c>
      <c r="F170" s="24" t="s">
        <v>12</v>
      </c>
      <c r="G170" s="24" t="s">
        <v>12</v>
      </c>
      <c r="H170" s="24" t="s">
        <v>32</v>
      </c>
    </row>
    <row r="171" ht="20" customHeight="1" spans="1:8" x14ac:dyDescent="0.25">
      <c r="A171" s="22" t="s">
        <v>59</v>
      </c>
      <c r="B171" s="22" t="s">
        <v>45</v>
      </c>
      <c r="C171" s="23" t="s">
        <v>32</v>
      </c>
      <c r="D171" s="7" t="s">
        <v>5</v>
      </c>
      <c r="E171" s="22" t="s">
        <v>12</v>
      </c>
      <c r="F171" s="22" t="s">
        <v>12</v>
      </c>
      <c r="G171" s="22" t="s">
        <v>12</v>
      </c>
      <c r="H171" s="22" t="s">
        <v>32</v>
      </c>
    </row>
    <row r="172" ht="20" customHeight="1" spans="1:8" x14ac:dyDescent="0.25">
      <c r="A172" s="24" t="s">
        <v>60</v>
      </c>
      <c r="B172" s="24" t="s">
        <v>31</v>
      </c>
      <c r="C172" s="25" t="s">
        <v>32</v>
      </c>
      <c r="D172" s="7" t="s">
        <v>5</v>
      </c>
      <c r="E172" s="24" t="s">
        <v>12</v>
      </c>
      <c r="F172" s="24" t="s">
        <v>12</v>
      </c>
      <c r="G172" s="24" t="s">
        <v>12</v>
      </c>
      <c r="H172" s="24" t="s">
        <v>32</v>
      </c>
    </row>
    <row r="173" ht="20" customHeight="1" spans="1:8" x14ac:dyDescent="0.25">
      <c r="A173" s="22" t="s">
        <v>61</v>
      </c>
      <c r="B173" s="22" t="s">
        <v>34</v>
      </c>
      <c r="C173" s="23" t="s">
        <v>32</v>
      </c>
      <c r="D173" s="7" t="s">
        <v>5</v>
      </c>
      <c r="E173" s="22" t="s">
        <v>12</v>
      </c>
      <c r="F173" s="22" t="s">
        <v>12</v>
      </c>
      <c r="G173" s="22" t="s">
        <v>12</v>
      </c>
      <c r="H173" s="22" t="s">
        <v>32</v>
      </c>
    </row>
    <row r="174" ht="20" customHeight="1" spans="1:8" x14ac:dyDescent="0.25">
      <c r="A174" s="24" t="s">
        <v>62</v>
      </c>
      <c r="B174" s="24" t="s">
        <v>36</v>
      </c>
      <c r="C174" s="25" t="s">
        <v>32</v>
      </c>
      <c r="D174" s="7" t="s">
        <v>5</v>
      </c>
      <c r="E174" s="24" t="s">
        <v>12</v>
      </c>
      <c r="F174" s="24" t="s">
        <v>12</v>
      </c>
      <c r="G174" s="24" t="s">
        <v>12</v>
      </c>
      <c r="H174" s="24" t="s">
        <v>32</v>
      </c>
    </row>
    <row r="175" ht="20" customHeight="1" spans="1:8" x14ac:dyDescent="0.25">
      <c r="A175" s="22" t="s">
        <v>63</v>
      </c>
      <c r="B175" s="22" t="s">
        <v>38</v>
      </c>
      <c r="C175" s="23" t="s">
        <v>32</v>
      </c>
      <c r="D175" s="7" t="s">
        <v>5</v>
      </c>
      <c r="E175" s="22" t="s">
        <v>12</v>
      </c>
      <c r="F175" s="22" t="s">
        <v>12</v>
      </c>
      <c r="G175" s="22" t="s">
        <v>12</v>
      </c>
      <c r="H175" s="22" t="s">
        <v>32</v>
      </c>
    </row>
    <row r="176" ht="20" customHeight="1" spans="1:8" x14ac:dyDescent="0.25">
      <c r="A176" s="24" t="s">
        <v>64</v>
      </c>
      <c r="B176" s="24" t="s">
        <v>40</v>
      </c>
      <c r="C176" s="25" t="s">
        <v>32</v>
      </c>
      <c r="D176" s="7" t="s">
        <v>5</v>
      </c>
      <c r="E176" s="24" t="s">
        <v>12</v>
      </c>
      <c r="F176" s="24" t="s">
        <v>12</v>
      </c>
      <c r="G176" s="24" t="s">
        <v>12</v>
      </c>
      <c r="H176" s="24" t="s">
        <v>32</v>
      </c>
    </row>
    <row r="177" ht="20" customHeight="1" spans="1:8" x14ac:dyDescent="0.25">
      <c r="A177" s="22" t="s">
        <v>65</v>
      </c>
      <c r="B177" s="22" t="s">
        <v>42</v>
      </c>
      <c r="C177" s="23" t="s">
        <v>32</v>
      </c>
      <c r="D177" s="16" t="s">
        <v>43</v>
      </c>
      <c r="E177" s="22" t="s">
        <v>12</v>
      </c>
      <c r="F177" s="22" t="s">
        <v>12</v>
      </c>
      <c r="G177" s="22" t="s">
        <v>12</v>
      </c>
      <c r="H177" s="22" t="s">
        <v>32</v>
      </c>
    </row>
    <row r="178" ht="20" customHeight="1" spans="1:8" x14ac:dyDescent="0.25">
      <c r="A178" s="24" t="s">
        <v>66</v>
      </c>
      <c r="B178" s="24" t="s">
        <v>45</v>
      </c>
      <c r="C178" s="25" t="s">
        <v>32</v>
      </c>
      <c r="D178" s="7" t="s">
        <v>5</v>
      </c>
      <c r="E178" s="24" t="s">
        <v>12</v>
      </c>
      <c r="F178" s="24" t="s">
        <v>12</v>
      </c>
      <c r="G178" s="24" t="s">
        <v>12</v>
      </c>
      <c r="H178" s="24" t="s">
        <v>32</v>
      </c>
    </row>
    <row r="179" ht="20" customHeight="1" spans="1:8" x14ac:dyDescent="0.25">
      <c r="A179" s="22" t="s">
        <v>67</v>
      </c>
      <c r="B179" s="22" t="s">
        <v>31</v>
      </c>
      <c r="C179" s="23" t="s">
        <v>32</v>
      </c>
      <c r="D179" s="7" t="s">
        <v>5</v>
      </c>
      <c r="E179" s="22" t="s">
        <v>12</v>
      </c>
      <c r="F179" s="22" t="s">
        <v>12</v>
      </c>
      <c r="G179" s="22" t="s">
        <v>12</v>
      </c>
      <c r="H179" s="22" t="s">
        <v>32</v>
      </c>
    </row>
    <row r="180" ht="20" customHeight="1" spans="1:8" x14ac:dyDescent="0.25">
      <c r="A180" s="24" t="s">
        <v>68</v>
      </c>
      <c r="B180" s="24" t="s">
        <v>34</v>
      </c>
      <c r="C180" s="25" t="s">
        <v>32</v>
      </c>
      <c r="D180" s="7" t="s">
        <v>5</v>
      </c>
      <c r="E180" s="24" t="s">
        <v>12</v>
      </c>
      <c r="F180" s="24" t="s">
        <v>12</v>
      </c>
      <c r="G180" s="24" t="s">
        <v>12</v>
      </c>
      <c r="H180" s="24" t="s">
        <v>32</v>
      </c>
    </row>
    <row r="181" ht="22" customHeight="1" spans="1:8" x14ac:dyDescent="0.25">
      <c r="A181" s="26" t="s">
        <v>69</v>
      </c>
      <c r="B181" s="26"/>
      <c r="C181" s="26"/>
      <c r="D181" s="26"/>
      <c r="E181" s="26"/>
      <c r="F181" s="26"/>
      <c r="G181" s="27" t="s">
        <v>18</v>
      </c>
      <c r="H181" s="28" t="s">
        <v>12</v>
      </c>
    </row>
    <row r="183" ht="26" customHeight="1" spans="1:8" x14ac:dyDescent="0.25">
      <c r="A183" s="20" t="s">
        <v>1757</v>
      </c>
      <c r="B183" s="20"/>
      <c r="C183" s="20"/>
      <c r="D183" s="20"/>
      <c r="E183" s="20"/>
      <c r="F183" s="20"/>
      <c r="G183" s="20"/>
      <c r="H183" s="20"/>
    </row>
    <row r="184" ht="22" customHeight="1" spans="1:8" x14ac:dyDescent="0.25">
      <c r="A184" s="21" t="s">
        <v>22</v>
      </c>
      <c r="B184" s="21" t="s">
        <v>23</v>
      </c>
      <c r="C184" s="21" t="s">
        <v>24</v>
      </c>
      <c r="D184" s="21" t="s">
        <v>25</v>
      </c>
      <c r="E184" s="21" t="s">
        <v>26</v>
      </c>
      <c r="F184" s="21" t="s">
        <v>27</v>
      </c>
      <c r="G184" s="21" t="s">
        <v>28</v>
      </c>
      <c r="H184" s="21" t="s">
        <v>29</v>
      </c>
    </row>
    <row r="185" ht="20" customHeight="1" spans="1:8" x14ac:dyDescent="0.25">
      <c r="A185" s="22" t="s">
        <v>30</v>
      </c>
      <c r="B185" s="22" t="s">
        <v>31</v>
      </c>
      <c r="C185" s="23" t="s">
        <v>32</v>
      </c>
      <c r="D185" s="7" t="s">
        <v>5</v>
      </c>
      <c r="E185" s="22" t="s">
        <v>12</v>
      </c>
      <c r="F185" s="22" t="s">
        <v>12</v>
      </c>
      <c r="G185" s="22" t="s">
        <v>12</v>
      </c>
      <c r="H185" s="22" t="s">
        <v>32</v>
      </c>
    </row>
    <row r="186" ht="20" customHeight="1" spans="1:8" x14ac:dyDescent="0.25">
      <c r="A186" s="24" t="s">
        <v>33</v>
      </c>
      <c r="B186" s="24" t="s">
        <v>34</v>
      </c>
      <c r="C186" s="25" t="s">
        <v>32</v>
      </c>
      <c r="D186" s="7" t="s">
        <v>5</v>
      </c>
      <c r="E186" s="24" t="s">
        <v>12</v>
      </c>
      <c r="F186" s="24" t="s">
        <v>12</v>
      </c>
      <c r="G186" s="24" t="s">
        <v>12</v>
      </c>
      <c r="H186" s="24" t="s">
        <v>32</v>
      </c>
    </row>
    <row r="187" ht="20" customHeight="1" spans="1:8" x14ac:dyDescent="0.25">
      <c r="A187" s="22" t="s">
        <v>35</v>
      </c>
      <c r="B187" s="22" t="s">
        <v>36</v>
      </c>
      <c r="C187" s="23" t="s">
        <v>32</v>
      </c>
      <c r="D187" s="7" t="s">
        <v>5</v>
      </c>
      <c r="E187" s="22" t="s">
        <v>12</v>
      </c>
      <c r="F187" s="22" t="s">
        <v>12</v>
      </c>
      <c r="G187" s="22" t="s">
        <v>12</v>
      </c>
      <c r="H187" s="22" t="s">
        <v>32</v>
      </c>
    </row>
    <row r="188" ht="20" customHeight="1" spans="1:8" x14ac:dyDescent="0.25">
      <c r="A188" s="24" t="s">
        <v>37</v>
      </c>
      <c r="B188" s="24" t="s">
        <v>38</v>
      </c>
      <c r="C188" s="25" t="s">
        <v>32</v>
      </c>
      <c r="D188" s="7" t="s">
        <v>5</v>
      </c>
      <c r="E188" s="24" t="s">
        <v>12</v>
      </c>
      <c r="F188" s="24" t="s">
        <v>12</v>
      </c>
      <c r="G188" s="24" t="s">
        <v>12</v>
      </c>
      <c r="H188" s="24" t="s">
        <v>32</v>
      </c>
    </row>
    <row r="189" ht="20" customHeight="1" spans="1:8" x14ac:dyDescent="0.25">
      <c r="A189" s="22" t="s">
        <v>39</v>
      </c>
      <c r="B189" s="22" t="s">
        <v>40</v>
      </c>
      <c r="C189" s="23" t="s">
        <v>32</v>
      </c>
      <c r="D189" s="7" t="s">
        <v>5</v>
      </c>
      <c r="E189" s="22" t="s">
        <v>12</v>
      </c>
      <c r="F189" s="22" t="s">
        <v>12</v>
      </c>
      <c r="G189" s="22" t="s">
        <v>12</v>
      </c>
      <c r="H189" s="22" t="s">
        <v>32</v>
      </c>
    </row>
    <row r="190" ht="20" customHeight="1" spans="1:8" x14ac:dyDescent="0.25">
      <c r="A190" s="24" t="s">
        <v>41</v>
      </c>
      <c r="B190" s="24" t="s">
        <v>42</v>
      </c>
      <c r="C190" s="25" t="s">
        <v>32</v>
      </c>
      <c r="D190" s="16" t="s">
        <v>43</v>
      </c>
      <c r="E190" s="24" t="s">
        <v>12</v>
      </c>
      <c r="F190" s="24" t="s">
        <v>12</v>
      </c>
      <c r="G190" s="24" t="s">
        <v>12</v>
      </c>
      <c r="H190" s="24" t="s">
        <v>32</v>
      </c>
    </row>
    <row r="191" ht="20" customHeight="1" spans="1:8" x14ac:dyDescent="0.25">
      <c r="A191" s="22" t="s">
        <v>44</v>
      </c>
      <c r="B191" s="22" t="s">
        <v>45</v>
      </c>
      <c r="C191" s="23" t="s">
        <v>32</v>
      </c>
      <c r="D191" s="7" t="s">
        <v>5</v>
      </c>
      <c r="E191" s="22" t="s">
        <v>12</v>
      </c>
      <c r="F191" s="22" t="s">
        <v>12</v>
      </c>
      <c r="G191" s="22" t="s">
        <v>12</v>
      </c>
      <c r="H191" s="22" t="s">
        <v>32</v>
      </c>
    </row>
    <row r="192" ht="20" customHeight="1" spans="1:8" x14ac:dyDescent="0.25">
      <c r="A192" s="24" t="s">
        <v>46</v>
      </c>
      <c r="B192" s="24" t="s">
        <v>31</v>
      </c>
      <c r="C192" s="25" t="s">
        <v>32</v>
      </c>
      <c r="D192" s="7" t="s">
        <v>5</v>
      </c>
      <c r="E192" s="24" t="s">
        <v>12</v>
      </c>
      <c r="F192" s="24" t="s">
        <v>12</v>
      </c>
      <c r="G192" s="24" t="s">
        <v>12</v>
      </c>
      <c r="H192" s="24" t="s">
        <v>32</v>
      </c>
    </row>
    <row r="193" ht="20" customHeight="1" spans="1:8" x14ac:dyDescent="0.25">
      <c r="A193" s="22" t="s">
        <v>47</v>
      </c>
      <c r="B193" s="22" t="s">
        <v>34</v>
      </c>
      <c r="C193" s="23" t="s">
        <v>32</v>
      </c>
      <c r="D193" s="7" t="s">
        <v>5</v>
      </c>
      <c r="E193" s="22" t="s">
        <v>12</v>
      </c>
      <c r="F193" s="22" t="s">
        <v>12</v>
      </c>
      <c r="G193" s="22" t="s">
        <v>12</v>
      </c>
      <c r="H193" s="22" t="s">
        <v>32</v>
      </c>
    </row>
    <row r="194" ht="20" customHeight="1" spans="1:8" x14ac:dyDescent="0.25">
      <c r="A194" s="24" t="s">
        <v>48</v>
      </c>
      <c r="B194" s="24" t="s">
        <v>36</v>
      </c>
      <c r="C194" s="25" t="s">
        <v>32</v>
      </c>
      <c r="D194" s="7" t="s">
        <v>5</v>
      </c>
      <c r="E194" s="24" t="s">
        <v>12</v>
      </c>
      <c r="F194" s="24" t="s">
        <v>12</v>
      </c>
      <c r="G194" s="24" t="s">
        <v>12</v>
      </c>
      <c r="H194" s="24" t="s">
        <v>32</v>
      </c>
    </row>
    <row r="195" ht="20" customHeight="1" spans="1:8" x14ac:dyDescent="0.25">
      <c r="A195" s="22" t="s">
        <v>49</v>
      </c>
      <c r="B195" s="22" t="s">
        <v>38</v>
      </c>
      <c r="C195" s="23" t="s">
        <v>32</v>
      </c>
      <c r="D195" s="7" t="s">
        <v>5</v>
      </c>
      <c r="E195" s="22" t="s">
        <v>12</v>
      </c>
      <c r="F195" s="22" t="s">
        <v>12</v>
      </c>
      <c r="G195" s="22" t="s">
        <v>12</v>
      </c>
      <c r="H195" s="22" t="s">
        <v>32</v>
      </c>
    </row>
    <row r="196" ht="20" customHeight="1" spans="1:8" x14ac:dyDescent="0.25">
      <c r="A196" s="24" t="s">
        <v>50</v>
      </c>
      <c r="B196" s="24" t="s">
        <v>40</v>
      </c>
      <c r="C196" s="25" t="s">
        <v>32</v>
      </c>
      <c r="D196" s="16" t="s">
        <v>43</v>
      </c>
      <c r="E196" s="24" t="s">
        <v>12</v>
      </c>
      <c r="F196" s="24" t="s">
        <v>12</v>
      </c>
      <c r="G196" s="24" t="s">
        <v>12</v>
      </c>
      <c r="H196" s="24" t="s">
        <v>32</v>
      </c>
    </row>
    <row r="197" ht="20" customHeight="1" spans="1:8" x14ac:dyDescent="0.25">
      <c r="A197" s="22" t="s">
        <v>51</v>
      </c>
      <c r="B197" s="22" t="s">
        <v>42</v>
      </c>
      <c r="C197" s="23" t="s">
        <v>32</v>
      </c>
      <c r="D197" s="16" t="s">
        <v>43</v>
      </c>
      <c r="E197" s="22" t="s">
        <v>12</v>
      </c>
      <c r="F197" s="22" t="s">
        <v>12</v>
      </c>
      <c r="G197" s="22" t="s">
        <v>12</v>
      </c>
      <c r="H197" s="22" t="s">
        <v>32</v>
      </c>
    </row>
    <row r="198" ht="20" customHeight="1" spans="1:8" x14ac:dyDescent="0.25">
      <c r="A198" s="24" t="s">
        <v>52</v>
      </c>
      <c r="B198" s="24" t="s">
        <v>45</v>
      </c>
      <c r="C198" s="25" t="s">
        <v>32</v>
      </c>
      <c r="D198" s="7" t="s">
        <v>5</v>
      </c>
      <c r="E198" s="24" t="s">
        <v>12</v>
      </c>
      <c r="F198" s="24" t="s">
        <v>12</v>
      </c>
      <c r="G198" s="24" t="s">
        <v>12</v>
      </c>
      <c r="H198" s="24" t="s">
        <v>32</v>
      </c>
    </row>
    <row r="199" ht="20" customHeight="1" spans="1:8" x14ac:dyDescent="0.25">
      <c r="A199" s="22" t="s">
        <v>53</v>
      </c>
      <c r="B199" s="22" t="s">
        <v>31</v>
      </c>
      <c r="C199" s="23" t="s">
        <v>32</v>
      </c>
      <c r="D199" s="7" t="s">
        <v>5</v>
      </c>
      <c r="E199" s="22" t="s">
        <v>12</v>
      </c>
      <c r="F199" s="22" t="s">
        <v>12</v>
      </c>
      <c r="G199" s="22" t="s">
        <v>12</v>
      </c>
      <c r="H199" s="22" t="s">
        <v>32</v>
      </c>
    </row>
    <row r="200" ht="20" customHeight="1" spans="1:8" x14ac:dyDescent="0.25">
      <c r="A200" s="24" t="s">
        <v>54</v>
      </c>
      <c r="B200" s="24" t="s">
        <v>34</v>
      </c>
      <c r="C200" s="25" t="s">
        <v>32</v>
      </c>
      <c r="D200" s="7" t="s">
        <v>5</v>
      </c>
      <c r="E200" s="24" t="s">
        <v>12</v>
      </c>
      <c r="F200" s="24" t="s">
        <v>12</v>
      </c>
      <c r="G200" s="24" t="s">
        <v>12</v>
      </c>
      <c r="H200" s="24" t="s">
        <v>32</v>
      </c>
    </row>
    <row r="201" ht="20" customHeight="1" spans="1:8" x14ac:dyDescent="0.25">
      <c r="A201" s="22" t="s">
        <v>55</v>
      </c>
      <c r="B201" s="22" t="s">
        <v>36</v>
      </c>
      <c r="C201" s="23" t="s">
        <v>32</v>
      </c>
      <c r="D201" s="7" t="s">
        <v>5</v>
      </c>
      <c r="E201" s="22" t="s">
        <v>12</v>
      </c>
      <c r="F201" s="22" t="s">
        <v>12</v>
      </c>
      <c r="G201" s="22" t="s">
        <v>12</v>
      </c>
      <c r="H201" s="22" t="s">
        <v>32</v>
      </c>
    </row>
    <row r="202" ht="20" customHeight="1" spans="1:8" x14ac:dyDescent="0.25">
      <c r="A202" s="24" t="s">
        <v>56</v>
      </c>
      <c r="B202" s="24" t="s">
        <v>38</v>
      </c>
      <c r="C202" s="25" t="s">
        <v>32</v>
      </c>
      <c r="D202" s="7" t="s">
        <v>5</v>
      </c>
      <c r="E202" s="24" t="s">
        <v>12</v>
      </c>
      <c r="F202" s="24" t="s">
        <v>12</v>
      </c>
      <c r="G202" s="24" t="s">
        <v>12</v>
      </c>
      <c r="H202" s="24" t="s">
        <v>32</v>
      </c>
    </row>
    <row r="203" ht="20" customHeight="1" spans="1:8" x14ac:dyDescent="0.25">
      <c r="A203" s="22" t="s">
        <v>57</v>
      </c>
      <c r="B203" s="22" t="s">
        <v>40</v>
      </c>
      <c r="C203" s="23" t="s">
        <v>32</v>
      </c>
      <c r="D203" s="7" t="s">
        <v>5</v>
      </c>
      <c r="E203" s="22" t="s">
        <v>12</v>
      </c>
      <c r="F203" s="22" t="s">
        <v>12</v>
      </c>
      <c r="G203" s="22" t="s">
        <v>12</v>
      </c>
      <c r="H203" s="22" t="s">
        <v>32</v>
      </c>
    </row>
    <row r="204" ht="20" customHeight="1" spans="1:8" x14ac:dyDescent="0.25">
      <c r="A204" s="24" t="s">
        <v>58</v>
      </c>
      <c r="B204" s="24" t="s">
        <v>42</v>
      </c>
      <c r="C204" s="25" t="s">
        <v>32</v>
      </c>
      <c r="D204" s="16" t="s">
        <v>43</v>
      </c>
      <c r="E204" s="24" t="s">
        <v>12</v>
      </c>
      <c r="F204" s="24" t="s">
        <v>12</v>
      </c>
      <c r="G204" s="24" t="s">
        <v>12</v>
      </c>
      <c r="H204" s="24" t="s">
        <v>32</v>
      </c>
    </row>
    <row r="205" ht="20" customHeight="1" spans="1:8" x14ac:dyDescent="0.25">
      <c r="A205" s="22" t="s">
        <v>59</v>
      </c>
      <c r="B205" s="22" t="s">
        <v>45</v>
      </c>
      <c r="C205" s="23" t="s">
        <v>32</v>
      </c>
      <c r="D205" s="7" t="s">
        <v>5</v>
      </c>
      <c r="E205" s="22" t="s">
        <v>12</v>
      </c>
      <c r="F205" s="22" t="s">
        <v>12</v>
      </c>
      <c r="G205" s="22" t="s">
        <v>12</v>
      </c>
      <c r="H205" s="22" t="s">
        <v>32</v>
      </c>
    </row>
    <row r="206" ht="20" customHeight="1" spans="1:8" x14ac:dyDescent="0.25">
      <c r="A206" s="24" t="s">
        <v>60</v>
      </c>
      <c r="B206" s="24" t="s">
        <v>31</v>
      </c>
      <c r="C206" s="25" t="s">
        <v>32</v>
      </c>
      <c r="D206" s="7" t="s">
        <v>5</v>
      </c>
      <c r="E206" s="24" t="s">
        <v>12</v>
      </c>
      <c r="F206" s="24" t="s">
        <v>12</v>
      </c>
      <c r="G206" s="24" t="s">
        <v>12</v>
      </c>
      <c r="H206" s="24" t="s">
        <v>32</v>
      </c>
    </row>
    <row r="207" ht="20" customHeight="1" spans="1:8" x14ac:dyDescent="0.25">
      <c r="A207" s="22" t="s">
        <v>61</v>
      </c>
      <c r="B207" s="22" t="s">
        <v>34</v>
      </c>
      <c r="C207" s="23" t="s">
        <v>32</v>
      </c>
      <c r="D207" s="7" t="s">
        <v>5</v>
      </c>
      <c r="E207" s="22" t="s">
        <v>12</v>
      </c>
      <c r="F207" s="22" t="s">
        <v>12</v>
      </c>
      <c r="G207" s="22" t="s">
        <v>12</v>
      </c>
      <c r="H207" s="22" t="s">
        <v>32</v>
      </c>
    </row>
    <row r="208" ht="20" customHeight="1" spans="1:8" x14ac:dyDescent="0.25">
      <c r="A208" s="24" t="s">
        <v>62</v>
      </c>
      <c r="B208" s="24" t="s">
        <v>36</v>
      </c>
      <c r="C208" s="25" t="s">
        <v>32</v>
      </c>
      <c r="D208" s="7" t="s">
        <v>5</v>
      </c>
      <c r="E208" s="24" t="s">
        <v>12</v>
      </c>
      <c r="F208" s="24" t="s">
        <v>12</v>
      </c>
      <c r="G208" s="24" t="s">
        <v>12</v>
      </c>
      <c r="H208" s="24" t="s">
        <v>32</v>
      </c>
    </row>
    <row r="209" ht="20" customHeight="1" spans="1:8" x14ac:dyDescent="0.25">
      <c r="A209" s="22" t="s">
        <v>63</v>
      </c>
      <c r="B209" s="22" t="s">
        <v>38</v>
      </c>
      <c r="C209" s="23" t="s">
        <v>32</v>
      </c>
      <c r="D209" s="7" t="s">
        <v>5</v>
      </c>
      <c r="E209" s="22" t="s">
        <v>12</v>
      </c>
      <c r="F209" s="22" t="s">
        <v>12</v>
      </c>
      <c r="G209" s="22" t="s">
        <v>12</v>
      </c>
      <c r="H209" s="22" t="s">
        <v>32</v>
      </c>
    </row>
    <row r="210" ht="20" customHeight="1" spans="1:8" x14ac:dyDescent="0.25">
      <c r="A210" s="24" t="s">
        <v>64</v>
      </c>
      <c r="B210" s="24" t="s">
        <v>40</v>
      </c>
      <c r="C210" s="25" t="s">
        <v>32</v>
      </c>
      <c r="D210" s="7" t="s">
        <v>5</v>
      </c>
      <c r="E210" s="24" t="s">
        <v>12</v>
      </c>
      <c r="F210" s="24" t="s">
        <v>12</v>
      </c>
      <c r="G210" s="24" t="s">
        <v>12</v>
      </c>
      <c r="H210" s="24" t="s">
        <v>32</v>
      </c>
    </row>
    <row r="211" ht="20" customHeight="1" spans="1:8" x14ac:dyDescent="0.25">
      <c r="A211" s="22" t="s">
        <v>65</v>
      </c>
      <c r="B211" s="22" t="s">
        <v>42</v>
      </c>
      <c r="C211" s="23" t="s">
        <v>32</v>
      </c>
      <c r="D211" s="16" t="s">
        <v>43</v>
      </c>
      <c r="E211" s="22" t="s">
        <v>12</v>
      </c>
      <c r="F211" s="22" t="s">
        <v>12</v>
      </c>
      <c r="G211" s="22" t="s">
        <v>12</v>
      </c>
      <c r="H211" s="22" t="s">
        <v>32</v>
      </c>
    </row>
    <row r="212" ht="20" customHeight="1" spans="1:8" x14ac:dyDescent="0.25">
      <c r="A212" s="24" t="s">
        <v>66</v>
      </c>
      <c r="B212" s="24" t="s">
        <v>45</v>
      </c>
      <c r="C212" s="25" t="s">
        <v>32</v>
      </c>
      <c r="D212" s="7" t="s">
        <v>5</v>
      </c>
      <c r="E212" s="24" t="s">
        <v>12</v>
      </c>
      <c r="F212" s="24" t="s">
        <v>12</v>
      </c>
      <c r="G212" s="24" t="s">
        <v>12</v>
      </c>
      <c r="H212" s="24" t="s">
        <v>32</v>
      </c>
    </row>
    <row r="213" ht="20" customHeight="1" spans="1:8" x14ac:dyDescent="0.25">
      <c r="A213" s="22" t="s">
        <v>67</v>
      </c>
      <c r="B213" s="22" t="s">
        <v>31</v>
      </c>
      <c r="C213" s="23" t="s">
        <v>32</v>
      </c>
      <c r="D213" s="7" t="s">
        <v>5</v>
      </c>
      <c r="E213" s="22" t="s">
        <v>12</v>
      </c>
      <c r="F213" s="22" t="s">
        <v>12</v>
      </c>
      <c r="G213" s="22" t="s">
        <v>12</v>
      </c>
      <c r="H213" s="22" t="s">
        <v>32</v>
      </c>
    </row>
    <row r="214" ht="20" customHeight="1" spans="1:8" x14ac:dyDescent="0.25">
      <c r="A214" s="24" t="s">
        <v>68</v>
      </c>
      <c r="B214" s="24" t="s">
        <v>34</v>
      </c>
      <c r="C214" s="25" t="s">
        <v>32</v>
      </c>
      <c r="D214" s="7" t="s">
        <v>5</v>
      </c>
      <c r="E214" s="24" t="s">
        <v>12</v>
      </c>
      <c r="F214" s="24" t="s">
        <v>12</v>
      </c>
      <c r="G214" s="24" t="s">
        <v>12</v>
      </c>
      <c r="H214" s="24" t="s">
        <v>32</v>
      </c>
    </row>
    <row r="215" ht="22" customHeight="1" spans="1:8" x14ac:dyDescent="0.25">
      <c r="A215" s="26" t="s">
        <v>69</v>
      </c>
      <c r="B215" s="26"/>
      <c r="C215" s="26"/>
      <c r="D215" s="26"/>
      <c r="E215" s="26"/>
      <c r="F215" s="26"/>
      <c r="G215" s="27" t="s">
        <v>18</v>
      </c>
      <c r="H215" s="28" t="s">
        <v>12</v>
      </c>
    </row>
  </sheetData>
  <mergeCells count="14">
    <mergeCell ref="A1:P1"/>
    <mergeCell ref="A2:P2"/>
    <mergeCell ref="A13:H13"/>
    <mergeCell ref="A45:F45"/>
    <mergeCell ref="A47:H47"/>
    <mergeCell ref="A79:F79"/>
    <mergeCell ref="A81:H81"/>
    <mergeCell ref="A113:F113"/>
    <mergeCell ref="A115:H115"/>
    <mergeCell ref="A147:F147"/>
    <mergeCell ref="A149:H149"/>
    <mergeCell ref="A181:F181"/>
    <mergeCell ref="A183:H183"/>
    <mergeCell ref="A215:F2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146C78"/>
  </sheetPr>
  <sheetViews>
    <sheetView showGridLines="0" workbookViewId="0"/>
  </sheetViews>
  <sheetFormatPr defaultRowHeight="15"/>
  <cols>
    <col min="1" max="1" width="3" hidden="0" customWidth="1"/>
    <col min="2" max="2" width="43" hidden="0" customWidth="1"/>
    <col min="3" max="3" width="11" hidden="0" customWidth="1"/>
    <col min="4" max="4" width="11" hidden="0" customWidth="1"/>
    <col min="5" max="5" width="11" hidden="0" customWidth="1"/>
    <col min="6" max="6" width="11" hidden="0" customWidth="1"/>
    <col min="7" max="7" width="11" hidden="0" customWidth="1"/>
    <col min="8" max="8" width="11" hidden="0" customWidth="1"/>
    <col min="9" max="9" width="11" hidden="0" customWidth="1"/>
    <col min="10" max="10" width="11" hidden="0" customWidth="1"/>
    <col min="11" max="11" width="11" hidden="0" customWidth="1"/>
    <col min="12" max="12" width="11" hidden="0" customWidth="1"/>
    <col min="13" max="13" width="11" hidden="0" customWidth="1"/>
    <col min="14" max="14" width="11" hidden="0" customWidth="1"/>
    <col min="15" max="15" width="11" hidden="0" customWidth="1"/>
  </cols>
  <sheetData>
    <row r="1" ht="24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ht="34" customHeight="1">
      <c r="A2" s="75"/>
      <c r="B2" s="76" t="str">
        <v>Attendance &amp; leave report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ht="24" customHeight="1">
      <c r="A3" s="75"/>
      <c r="B3" s="77" t="str">
        <v>01–30 September 2026 · company overview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</row>
    <row r="4" ht="24" customHeight="1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</row>
    <row r="5" ht="24" customHeight="1">
      <c r="A5" s="75"/>
      <c r="B5" s="77" t="str">
        <v>Employees</v>
      </c>
      <c r="C5" s="77" t="str">
        <v>Employees</v>
      </c>
      <c r="D5" s="77" t="str">
        <v>Employees</v>
      </c>
      <c r="E5" s="75"/>
      <c r="F5" s="77" t="str">
        <v>Present days</v>
      </c>
      <c r="G5" s="77" t="str">
        <v>Present days</v>
      </c>
      <c r="H5" s="77" t="str">
        <v>Present days</v>
      </c>
      <c r="I5" s="75"/>
      <c r="J5" s="77" t="str">
        <v>PL taken (days)</v>
      </c>
      <c r="K5" s="77" t="str">
        <v>PL taken (days)</v>
      </c>
      <c r="L5" s="77" t="str">
        <v>PL taken (days)</v>
      </c>
      <c r="M5" s="75"/>
      <c r="N5" s="77" t="str">
        <v>LWP (days)</v>
      </c>
      <c r="O5" s="77" t="str">
        <v>LWP (days)</v>
      </c>
    </row>
    <row r="6" ht="24" customHeight="1">
      <c r="A6" s="75"/>
      <c r="B6" s="90" t="n">
        <f>SUM(C28:C37)</f>
        <v>125</v>
      </c>
      <c r="C6" s="90"/>
      <c r="D6" s="90"/>
      <c r="E6" s="75"/>
      <c r="F6" s="91" t="n">
        <f>SUM(E28:E37)</f>
        <v>2476.5</v>
      </c>
      <c r="G6" s="91"/>
      <c r="H6" s="91"/>
      <c r="I6" s="75"/>
      <c r="J6" s="91" t="n">
        <f>SUM(I28:I37)</f>
        <v>178.5</v>
      </c>
      <c r="K6" s="91"/>
      <c r="L6" s="91"/>
      <c r="M6" s="75"/>
      <c r="N6" s="91" t="n">
        <f>SUM(J28:J37)</f>
        <v>91.5</v>
      </c>
      <c r="O6" s="91"/>
    </row>
    <row r="7" ht="24" customHeight="1">
      <c r="A7" s="75"/>
      <c r="B7" s="90"/>
      <c r="C7" s="90"/>
      <c r="D7" s="90"/>
      <c r="E7" s="75"/>
      <c r="F7" s="91"/>
      <c r="G7" s="91"/>
      <c r="H7" s="91"/>
      <c r="I7" s="75"/>
      <c r="J7" s="91"/>
      <c r="K7" s="91"/>
      <c r="L7" s="91"/>
      <c r="M7" s="75"/>
      <c r="N7" s="91"/>
      <c r="O7" s="91"/>
    </row>
    <row r="8" ht="24" customHeight="1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</row>
    <row r="9" ht="24" customHeight="1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</row>
    <row r="10" ht="24" customHeight="1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</row>
    <row r="11" ht="24" customHeight="1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</row>
    <row r="12" ht="24" customHeight="1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</row>
    <row r="13" ht="24" customHeight="1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</row>
    <row r="14" ht="24" customHeight="1">
      <c r="A14" s="75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</row>
    <row r="15" ht="24" customHeight="1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</row>
    <row r="16" ht="24" customHeight="1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</row>
    <row r="17" ht="24" customHeight="1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</row>
    <row r="18" ht="24" customHeight="1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</row>
    <row r="19" ht="24" customHeight="1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</row>
    <row r="20" ht="24" customHeight="1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</row>
    <row r="21" ht="24" customHeight="1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</row>
    <row r="22" ht="24" customHeight="1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</row>
    <row r="23" ht="24" customHeight="1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</row>
    <row r="24" ht="24" customHeight="1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</row>
    <row r="25" ht="24" customHeight="1">
      <c r="A25" s="75"/>
      <c r="B25" s="92" t="str">
        <v>Company summary</v>
      </c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</row>
    <row r="26" ht="24" customHeight="1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</row>
    <row r="27" ht="46" customHeight="1">
      <c r="A27" s="75"/>
      <c r="B27" s="81" t="str">
        <v>Company</v>
      </c>
      <c r="C27" s="81" t="str">
        <v>Employees</v>
      </c>
      <c r="D27" s="81" t="str">
        <v>Total Working Days</v>
      </c>
      <c r="E27" s="81" t="str">
        <v>Present</v>
      </c>
      <c r="F27" s="81" t="str">
        <v>Absent</v>
      </c>
      <c r="G27" s="81" t="str">
        <v>Half Day PL</v>
      </c>
      <c r="H27" s="81" t="str">
        <v>Full Day PL</v>
      </c>
      <c r="I27" s="81" t="str">
        <v>Total PL Taken</v>
      </c>
      <c r="J27" s="81" t="str">
        <v>LWP Taken</v>
      </c>
      <c r="K27" s="81" t="str">
        <v>Week Off</v>
      </c>
      <c r="L27" s="81" t="str">
        <v>Holiday</v>
      </c>
      <c r="M27" s="81" t="str">
        <v>September Opening Balance</v>
      </c>
      <c r="N27" s="81" t="str">
        <v>PL Taken (Ledger)</v>
      </c>
      <c r="O27" s="81" t="str">
        <v>Available Balance</v>
      </c>
    </row>
    <row r="28" ht="34" customHeight="1">
      <c r="A28" s="75"/>
      <c r="B28" s="82" t="str">
        <v>ALLUVIUM IOT SOLUTIONS PRIVATE LIMITED</v>
      </c>
      <c r="C28" s="86" t="n">
        <f>COUNTIFS('Employee Summary'!$A$7:$A$131,B28)</f>
        <v>2</v>
      </c>
      <c r="D28" s="85" t="n">
        <f>SUMIFS('Employee Summary'!$C$7:$C$131,'Employee Summary'!$A$7:$A$131,$B28)</f>
        <v>30</v>
      </c>
      <c r="E28" s="85" t="n">
        <f>SUMIFS('Employee Summary'!$D$7:$D$131,'Employee Summary'!$A$7:$A$131,$B28)</f>
        <v>21</v>
      </c>
      <c r="F28" s="85" t="n">
        <f>SUMIFS('Employee Summary'!$E$7:$E$131,'Employee Summary'!$A$7:$A$131,$B28)</f>
        <v>26</v>
      </c>
      <c r="G28" s="86" t="n">
        <f>SUMIFS('Employee Summary'!$F$7:$F$131,'Employee Summary'!$A$7:$A$131,$B28)</f>
        <v>0</v>
      </c>
      <c r="H28" s="86" t="n">
        <f>SUMIFS('Employee Summary'!$G$7:$G$131,'Employee Summary'!$A$7:$A$131,$B28)</f>
        <v>2</v>
      </c>
      <c r="I28" s="85" t="n">
        <f>SUMIFS('Employee Summary'!$H$7:$H$131,'Employee Summary'!$A$7:$A$131,$B28)</f>
        <v>2</v>
      </c>
      <c r="J28" s="85" t="n">
        <f>SUMIFS('Employee Summary'!$I$7:$I$131,'Employee Summary'!$A$7:$A$131,$B28)</f>
        <v>4</v>
      </c>
      <c r="K28" s="86" t="n">
        <f>SUMIFS('Employee Summary'!$J$7:$J$131,'Employee Summary'!$A$7:$A$131,$B28)</f>
        <v>6</v>
      </c>
      <c r="L28" s="86" t="n">
        <f>SUMIFS('Employee Summary'!$K$7:$K$131,'Employee Summary'!$A$7:$A$131,$B28)</f>
        <v>1</v>
      </c>
      <c r="M28" s="85" t="n">
        <f>SUMIFS('Employee Summary'!$L$7:$L$131,'Employee Summary'!$A$7:$A$131,$B28)</f>
        <v>10</v>
      </c>
      <c r="N28" s="85" t="n">
        <f>SUMIFS('Employee Summary'!$M$7:$M$131,'Employee Summary'!$A$7:$A$131,$B28)</f>
        <v>2</v>
      </c>
      <c r="O28" s="85" t="n">
        <f>SUMIFS('Employee Summary'!$N$7:$N$131,'Employee Summary'!$A$7:$A$131,$B28)</f>
        <v>8</v>
      </c>
    </row>
    <row r="29" ht="34" customHeight="1">
      <c r="A29" s="75"/>
      <c r="B29" s="94" t="str">
        <v>EXIMBIZ ENTERPRISE</v>
      </c>
      <c r="C29" s="97" t="n">
        <f>COUNTIFS('Employee Summary'!$A$7:$A$131,B29)</f>
        <v>8</v>
      </c>
      <c r="D29" s="96" t="n">
        <f>SUMIFS('Employee Summary'!$C$7:$C$131,'Employee Summary'!$A$7:$A$131,$B29)</f>
        <v>240</v>
      </c>
      <c r="E29" s="96" t="n">
        <f>SUMIFS('Employee Summary'!$D$7:$D$131,'Employee Summary'!$A$7:$A$131,$B29)</f>
        <v>181</v>
      </c>
      <c r="F29" s="96" t="n">
        <f>SUMIFS('Employee Summary'!$E$7:$E$131,'Employee Summary'!$A$7:$A$131,$B29)</f>
        <v>0</v>
      </c>
      <c r="G29" s="97" t="n">
        <f>SUMIFS('Employee Summary'!$F$7:$F$131,'Employee Summary'!$A$7:$A$131,$B29)</f>
        <v>8</v>
      </c>
      <c r="H29" s="97" t="n">
        <f>SUMIFS('Employee Summary'!$G$7:$G$131,'Employee Summary'!$A$7:$A$131,$B29)</f>
        <v>8</v>
      </c>
      <c r="I29" s="96" t="n">
        <f>SUMIFS('Employee Summary'!$H$7:$H$131,'Employee Summary'!$A$7:$A$131,$B29)</f>
        <v>12</v>
      </c>
      <c r="J29" s="96" t="n">
        <f>SUMIFS('Employee Summary'!$I$7:$I$131,'Employee Summary'!$A$7:$A$131,$B29)</f>
        <v>0</v>
      </c>
      <c r="K29" s="97" t="n">
        <f>SUMIFS('Employee Summary'!$J$7:$J$131,'Employee Summary'!$A$7:$A$131,$B29)</f>
        <v>39</v>
      </c>
      <c r="L29" s="97" t="n">
        <f>SUMIFS('Employee Summary'!$K$7:$K$131,'Employee Summary'!$A$7:$A$131,$B29)</f>
        <v>8</v>
      </c>
      <c r="M29" s="96" t="n">
        <f>SUMIFS('Employee Summary'!$L$7:$L$131,'Employee Summary'!$A$7:$A$131,$B29)</f>
        <v>124</v>
      </c>
      <c r="N29" s="96" t="n">
        <f>SUMIFS('Employee Summary'!$M$7:$M$131,'Employee Summary'!$A$7:$A$131,$B29)</f>
        <v>12</v>
      </c>
      <c r="O29" s="96" t="n">
        <f>SUMIFS('Employee Summary'!$N$7:$N$131,'Employee Summary'!$A$7:$A$131,$B29)</f>
        <v>112</v>
      </c>
    </row>
    <row r="30" ht="34" customHeight="1">
      <c r="A30" s="75"/>
      <c r="B30" s="82" t="str">
        <v>NOVUSHA CONSULTING SERVICES INDIA LLP</v>
      </c>
      <c r="C30" s="86" t="n">
        <f>COUNTIFS('Employee Summary'!$A$7:$A$131,B30)</f>
        <v>13</v>
      </c>
      <c r="D30" s="85" t="n">
        <f>SUMIFS('Employee Summary'!$C$7:$C$131,'Employee Summary'!$A$7:$A$131,$B30)</f>
        <v>328</v>
      </c>
      <c r="E30" s="85" t="n">
        <f>SUMIFS('Employee Summary'!$D$7:$D$131,'Employee Summary'!$A$7:$A$131,$B30)</f>
        <v>232</v>
      </c>
      <c r="F30" s="85" t="n">
        <f>SUMIFS('Employee Summary'!$E$7:$E$131,'Employee Summary'!$A$7:$A$131,$B30)</f>
        <v>52</v>
      </c>
      <c r="G30" s="86" t="n">
        <f>SUMIFS('Employee Summary'!$F$7:$F$131,'Employee Summary'!$A$7:$A$131,$B30)</f>
        <v>4</v>
      </c>
      <c r="H30" s="86" t="n">
        <f>SUMIFS('Employee Summary'!$G$7:$G$131,'Employee Summary'!$A$7:$A$131,$B30)</f>
        <v>21</v>
      </c>
      <c r="I30" s="85" t="n">
        <f>SUMIFS('Employee Summary'!$H$7:$H$131,'Employee Summary'!$A$7:$A$131,$B30)</f>
        <v>23</v>
      </c>
      <c r="J30" s="85" t="n">
        <f>SUMIFS('Employee Summary'!$I$7:$I$131,'Employee Summary'!$A$7:$A$131,$B30)</f>
        <v>10</v>
      </c>
      <c r="K30" s="86" t="n">
        <f>SUMIFS('Employee Summary'!$J$7:$J$131,'Employee Summary'!$A$7:$A$131,$B30)</f>
        <v>62</v>
      </c>
      <c r="L30" s="86" t="n">
        <f>SUMIFS('Employee Summary'!$K$7:$K$131,'Employee Summary'!$A$7:$A$131,$B30)</f>
        <v>11</v>
      </c>
      <c r="M30" s="85" t="n">
        <f>SUMIFS('Employee Summary'!$L$7:$L$131,'Employee Summary'!$A$7:$A$131,$B30)</f>
        <v>137</v>
      </c>
      <c r="N30" s="85" t="n">
        <f>SUMIFS('Employee Summary'!$M$7:$M$131,'Employee Summary'!$A$7:$A$131,$B30)</f>
        <v>23</v>
      </c>
      <c r="O30" s="85" t="n">
        <f>SUMIFS('Employee Summary'!$N$7:$N$131,'Employee Summary'!$A$7:$A$131,$B30)</f>
        <v>114</v>
      </c>
    </row>
    <row r="31" ht="34" customHeight="1">
      <c r="A31" s="75"/>
      <c r="B31" s="94" t="str">
        <v>PARAMOUNT PROPACK PRIVATE LIMITED</v>
      </c>
      <c r="C31" s="97" t="n">
        <f>COUNTIFS('Employee Summary'!$A$7:$A$131,B31)</f>
        <v>2</v>
      </c>
      <c r="D31" s="96" t="n">
        <f>SUMIFS('Employee Summary'!$C$7:$C$131,'Employee Summary'!$A$7:$A$131,$B31)</f>
        <v>30</v>
      </c>
      <c r="E31" s="96" t="n">
        <f>SUMIFS('Employee Summary'!$D$7:$D$131,'Employee Summary'!$A$7:$A$131,$B31)</f>
        <v>23</v>
      </c>
      <c r="F31" s="96" t="n">
        <f>SUMIFS('Employee Summary'!$E$7:$E$131,'Employee Summary'!$A$7:$A$131,$B31)</f>
        <v>24</v>
      </c>
      <c r="G31" s="97" t="n">
        <f>SUMIFS('Employee Summary'!$F$7:$F$131,'Employee Summary'!$A$7:$A$131,$B31)</f>
        <v>0</v>
      </c>
      <c r="H31" s="97" t="n">
        <f>SUMIFS('Employee Summary'!$G$7:$G$131,'Employee Summary'!$A$7:$A$131,$B31)</f>
        <v>1</v>
      </c>
      <c r="I31" s="96" t="n">
        <f>SUMIFS('Employee Summary'!$H$7:$H$131,'Employee Summary'!$A$7:$A$131,$B31)</f>
        <v>1</v>
      </c>
      <c r="J31" s="96" t="n">
        <f>SUMIFS('Employee Summary'!$I$7:$I$131,'Employee Summary'!$A$7:$A$131,$B31)</f>
        <v>6</v>
      </c>
      <c r="K31" s="97" t="n">
        <f>SUMIFS('Employee Summary'!$J$7:$J$131,'Employee Summary'!$A$7:$A$131,$B31)</f>
        <v>5</v>
      </c>
      <c r="L31" s="97" t="n">
        <f>SUMIFS('Employee Summary'!$K$7:$K$131,'Employee Summary'!$A$7:$A$131,$B31)</f>
        <v>1</v>
      </c>
      <c r="M31" s="96" t="n">
        <f>SUMIFS('Employee Summary'!$L$7:$L$131,'Employee Summary'!$A$7:$A$131,$B31)</f>
        <v>36.5</v>
      </c>
      <c r="N31" s="96" t="n">
        <f>SUMIFS('Employee Summary'!$M$7:$M$131,'Employee Summary'!$A$7:$A$131,$B31)</f>
        <v>1</v>
      </c>
      <c r="O31" s="96" t="n">
        <f>SUMIFS('Employee Summary'!$N$7:$N$131,'Employee Summary'!$A$7:$A$131,$B31)</f>
        <v>35.5</v>
      </c>
    </row>
    <row r="32" ht="34" customHeight="1">
      <c r="A32" s="75"/>
      <c r="B32" s="82" t="str">
        <v>SANSAR TRADELINK</v>
      </c>
      <c r="C32" s="86" t="n">
        <f>COUNTIFS('Employee Summary'!$A$7:$A$131,B32)</f>
        <v>11</v>
      </c>
      <c r="D32" s="85" t="n">
        <f>SUMIFS('Employee Summary'!$C$7:$C$131,'Employee Summary'!$A$7:$A$131,$B32)</f>
        <v>327.5</v>
      </c>
      <c r="E32" s="85" t="n">
        <f>SUMIFS('Employee Summary'!$D$7:$D$131,'Employee Summary'!$A$7:$A$131,$B32)</f>
        <v>242.5</v>
      </c>
      <c r="F32" s="85" t="n">
        <f>SUMIFS('Employee Summary'!$E$7:$E$131,'Employee Summary'!$A$7:$A$131,$B32)</f>
        <v>0.5</v>
      </c>
      <c r="G32" s="86" t="n">
        <f>SUMIFS('Employee Summary'!$F$7:$F$131,'Employee Summary'!$A$7:$A$131,$B32)</f>
        <v>2</v>
      </c>
      <c r="H32" s="86" t="n">
        <f>SUMIFS('Employee Summary'!$G$7:$G$131,'Employee Summary'!$A$7:$A$131,$B32)</f>
        <v>23</v>
      </c>
      <c r="I32" s="85" t="n">
        <f>SUMIFS('Employee Summary'!$H$7:$H$131,'Employee Summary'!$A$7:$A$131,$B32)</f>
        <v>24</v>
      </c>
      <c r="J32" s="85" t="n">
        <f>SUMIFS('Employee Summary'!$I$7:$I$131,'Employee Summary'!$A$7:$A$131,$B32)</f>
        <v>2</v>
      </c>
      <c r="K32" s="86" t="n">
        <f>SUMIFS('Employee Summary'!$J$7:$J$131,'Employee Summary'!$A$7:$A$131,$B32)</f>
        <v>53</v>
      </c>
      <c r="L32" s="86" t="n">
        <f>SUMIFS('Employee Summary'!$K$7:$K$131,'Employee Summary'!$A$7:$A$131,$B32)</f>
        <v>8</v>
      </c>
      <c r="M32" s="85" t="n">
        <f>SUMIFS('Employee Summary'!$L$7:$L$131,'Employee Summary'!$A$7:$A$131,$B32)</f>
        <v>198.5</v>
      </c>
      <c r="N32" s="85" t="n">
        <f>SUMIFS('Employee Summary'!$M$7:$M$131,'Employee Summary'!$A$7:$A$131,$B32)</f>
        <v>24</v>
      </c>
      <c r="O32" s="85" t="n">
        <f>SUMIFS('Employee Summary'!$N$7:$N$131,'Employee Summary'!$A$7:$A$131,$B32)</f>
        <v>174.5</v>
      </c>
    </row>
    <row r="33" ht="34" customHeight="1">
      <c r="A33" s="75"/>
      <c r="B33" s="94" t="str">
        <v>SR CONTAINER CARRIERS</v>
      </c>
      <c r="C33" s="97" t="n">
        <f>COUNTIFS('Employee Summary'!$A$7:$A$131,B33)</f>
        <v>19</v>
      </c>
      <c r="D33" s="96" t="n">
        <f>SUMIFS('Employee Summary'!$C$7:$C$131,'Employee Summary'!$A$7:$A$131,$B33)</f>
        <v>515.5</v>
      </c>
      <c r="E33" s="96" t="n">
        <f>SUMIFS('Employee Summary'!$D$7:$D$131,'Employee Summary'!$A$7:$A$131,$B33)</f>
        <v>400</v>
      </c>
      <c r="F33" s="96" t="n">
        <f>SUMIFS('Employee Summary'!$E$7:$E$131,'Employee Summary'!$A$7:$A$131,$B33)</f>
        <v>31.5</v>
      </c>
      <c r="G33" s="97" t="n">
        <f>SUMIFS('Employee Summary'!$F$7:$F$131,'Employee Summary'!$A$7:$A$131,$B33)</f>
        <v>1</v>
      </c>
      <c r="H33" s="97" t="n">
        <f>SUMIFS('Employee Summary'!$G$7:$G$131,'Employee Summary'!$A$7:$A$131,$B33)</f>
        <v>22</v>
      </c>
      <c r="I33" s="96" t="n">
        <f>SUMIFS('Employee Summary'!$H$7:$H$131,'Employee Summary'!$A$7:$A$131,$B33)</f>
        <v>22.5</v>
      </c>
      <c r="J33" s="96" t="n">
        <f>SUMIFS('Employee Summary'!$I$7:$I$131,'Employee Summary'!$A$7:$A$131,$B33)</f>
        <v>13</v>
      </c>
      <c r="K33" s="97" t="n">
        <f>SUMIFS('Employee Summary'!$J$7:$J$131,'Employee Summary'!$A$7:$A$131,$B33)</f>
        <v>79</v>
      </c>
      <c r="L33" s="97" t="n">
        <f>SUMIFS('Employee Summary'!$K$7:$K$131,'Employee Summary'!$A$7:$A$131,$B33)</f>
        <v>14</v>
      </c>
      <c r="M33" s="96" t="n">
        <f>SUMIFS('Employee Summary'!$L$7:$L$131,'Employee Summary'!$A$7:$A$131,$B33)</f>
        <v>403</v>
      </c>
      <c r="N33" s="96" t="n">
        <f>SUMIFS('Employee Summary'!$M$7:$M$131,'Employee Summary'!$A$7:$A$131,$B33)</f>
        <v>22.5</v>
      </c>
      <c r="O33" s="96" t="n">
        <f>SUMIFS('Employee Summary'!$N$7:$N$131,'Employee Summary'!$A$7:$A$131,$B33)</f>
        <v>380.5</v>
      </c>
    </row>
    <row r="34" ht="34" customHeight="1">
      <c r="A34" s="75"/>
      <c r="B34" s="82" t="str">
        <v>SURAJ FORWARDERS</v>
      </c>
      <c r="C34" s="86" t="n">
        <f>COUNTIFS('Employee Summary'!$A$7:$A$131,B34)</f>
        <v>7</v>
      </c>
      <c r="D34" s="85" t="n">
        <f>SUMIFS('Employee Summary'!$C$7:$C$131,'Employee Summary'!$A$7:$A$131,$B34)</f>
        <v>205</v>
      </c>
      <c r="E34" s="85" t="n">
        <f>SUMIFS('Employee Summary'!$D$7:$D$131,'Employee Summary'!$A$7:$A$131,$B34)</f>
        <v>161.5</v>
      </c>
      <c r="F34" s="85" t="n">
        <f>SUMIFS('Employee Summary'!$E$7:$E$131,'Employee Summary'!$A$7:$A$131,$B34)</f>
        <v>0</v>
      </c>
      <c r="G34" s="86" t="n">
        <f>SUMIFS('Employee Summary'!$F$7:$F$131,'Employee Summary'!$A$7:$A$131,$B34)</f>
        <v>3</v>
      </c>
      <c r="H34" s="86" t="n">
        <f>SUMIFS('Employee Summary'!$G$7:$G$131,'Employee Summary'!$A$7:$A$131,$B34)</f>
        <v>1</v>
      </c>
      <c r="I34" s="85" t="n">
        <f>SUMIFS('Employee Summary'!$H$7:$H$131,'Employee Summary'!$A$7:$A$131,$B34)</f>
        <v>2.5</v>
      </c>
      <c r="J34" s="85" t="n">
        <f>SUMIFS('Employee Summary'!$I$7:$I$131,'Employee Summary'!$A$7:$A$131,$B34)</f>
        <v>5</v>
      </c>
      <c r="K34" s="86" t="n">
        <f>SUMIFS('Employee Summary'!$J$7:$J$131,'Employee Summary'!$A$7:$A$131,$B34)</f>
        <v>34</v>
      </c>
      <c r="L34" s="86" t="n">
        <f>SUMIFS('Employee Summary'!$K$7:$K$131,'Employee Summary'!$A$7:$A$131,$B34)</f>
        <v>7</v>
      </c>
      <c r="M34" s="85" t="n">
        <f>SUMIFS('Employee Summary'!$L$7:$L$131,'Employee Summary'!$A$7:$A$131,$B34)</f>
        <v>109</v>
      </c>
      <c r="N34" s="85" t="n">
        <f>SUMIFS('Employee Summary'!$M$7:$M$131,'Employee Summary'!$A$7:$A$131,$B34)</f>
        <v>2.5</v>
      </c>
      <c r="O34" s="85" t="n">
        <f>SUMIFS('Employee Summary'!$N$7:$N$131,'Employee Summary'!$A$7:$A$131,$B34)</f>
        <v>106.5</v>
      </c>
    </row>
    <row r="35" ht="34" customHeight="1">
      <c r="A35" s="75"/>
      <c r="B35" s="94" t="str">
        <v>SURAJ FORWARDERS &amp; SHIPPING AGENCIES</v>
      </c>
      <c r="C35" s="97" t="n">
        <f>COUNTIFS('Employee Summary'!$A$7:$A$131,B35)</f>
        <v>29</v>
      </c>
      <c r="D35" s="96" t="n">
        <f>SUMIFS('Employee Summary'!$C$7:$C$131,'Employee Summary'!$A$7:$A$131,$B35)</f>
        <v>838.5</v>
      </c>
      <c r="E35" s="96" t="n">
        <f>SUMIFS('Employee Summary'!$D$7:$D$131,'Employee Summary'!$A$7:$A$131,$B35)</f>
        <v>632.5</v>
      </c>
      <c r="F35" s="96" t="n">
        <f>SUMIFS('Employee Summary'!$E$7:$E$131,'Employee Summary'!$A$7:$A$131,$B35)</f>
        <v>24.5</v>
      </c>
      <c r="G35" s="97" t="n">
        <f>SUMIFS('Employee Summary'!$F$7:$F$131,'Employee Summary'!$A$7:$A$131,$B35)</f>
        <v>6</v>
      </c>
      <c r="H35" s="97" t="n">
        <f>SUMIFS('Employee Summary'!$G$7:$G$131,'Employee Summary'!$A$7:$A$131,$B35)</f>
        <v>44</v>
      </c>
      <c r="I35" s="96" t="n">
        <f>SUMIFS('Employee Summary'!$H$7:$H$131,'Employee Summary'!$A$7:$A$131,$B35)</f>
        <v>47</v>
      </c>
      <c r="J35" s="96" t="n">
        <f>SUMIFS('Employee Summary'!$I$7:$I$131,'Employee Summary'!$A$7:$A$131,$B35)</f>
        <v>7</v>
      </c>
      <c r="K35" s="97" t="n">
        <f>SUMIFS('Employee Summary'!$J$7:$J$131,'Employee Summary'!$A$7:$A$131,$B35)</f>
        <v>131</v>
      </c>
      <c r="L35" s="97" t="n">
        <f>SUMIFS('Employee Summary'!$K$7:$K$131,'Employee Summary'!$A$7:$A$131,$B35)</f>
        <v>28</v>
      </c>
      <c r="M35" s="96" t="n">
        <f>SUMIFS('Employee Summary'!$L$7:$L$131,'Employee Summary'!$A$7:$A$131,$B35)</f>
        <v>1250</v>
      </c>
      <c r="N35" s="96" t="n">
        <f>SUMIFS('Employee Summary'!$M$7:$M$131,'Employee Summary'!$A$7:$A$131,$B35)</f>
        <v>47</v>
      </c>
      <c r="O35" s="96" t="n">
        <f>SUMIFS('Employee Summary'!$N$7:$N$131,'Employee Summary'!$A$7:$A$131,$B35)</f>
        <v>1203</v>
      </c>
    </row>
    <row r="36" ht="34" customHeight="1">
      <c r="A36" s="75"/>
      <c r="B36" s="82" t="str">
        <v>SURAJ FORWARDERS PRIVATE LIMITED</v>
      </c>
      <c r="C36" s="86" t="n">
        <f>COUNTIFS('Employee Summary'!$A$7:$A$131,B36)</f>
        <v>28</v>
      </c>
      <c r="D36" s="85" t="n">
        <f>SUMIFS('Employee Summary'!$C$7:$C$131,'Employee Summary'!$A$7:$A$131,$B36)</f>
        <v>774.5</v>
      </c>
      <c r="E36" s="85" t="n">
        <f>SUMIFS('Employee Summary'!$D$7:$D$131,'Employee Summary'!$A$7:$A$131,$B36)</f>
        <v>583</v>
      </c>
      <c r="F36" s="85" t="n">
        <f>SUMIFS('Employee Summary'!$E$7:$E$131,'Employee Summary'!$A$7:$A$131,$B36)</f>
        <v>50</v>
      </c>
      <c r="G36" s="86" t="n">
        <f>SUMIFS('Employee Summary'!$F$7:$F$131,'Employee Summary'!$A$7:$A$131,$B36)</f>
        <v>3</v>
      </c>
      <c r="H36" s="86" t="n">
        <f>SUMIFS('Employee Summary'!$G$7:$G$131,'Employee Summary'!$A$7:$A$131,$B36)</f>
        <v>43</v>
      </c>
      <c r="I36" s="85" t="n">
        <f>SUMIFS('Employee Summary'!$H$7:$H$131,'Employee Summary'!$A$7:$A$131,$B36)</f>
        <v>44.5</v>
      </c>
      <c r="J36" s="85" t="n">
        <f>SUMIFS('Employee Summary'!$I$7:$I$131,'Employee Summary'!$A$7:$A$131,$B36)</f>
        <v>14.5</v>
      </c>
      <c r="K36" s="86" t="n">
        <f>SUMIFS('Employee Summary'!$J$7:$J$131,'Employee Summary'!$A$7:$A$131,$B36)</f>
        <v>123</v>
      </c>
      <c r="L36" s="86" t="n">
        <f>SUMIFS('Employee Summary'!$K$7:$K$131,'Employee Summary'!$A$7:$A$131,$B36)</f>
        <v>24</v>
      </c>
      <c r="M36" s="85" t="n">
        <f>SUMIFS('Employee Summary'!$L$7:$L$131,'Employee Summary'!$A$7:$A$131,$B36)</f>
        <v>825</v>
      </c>
      <c r="N36" s="85" t="n">
        <f>SUMIFS('Employee Summary'!$M$7:$M$131,'Employee Summary'!$A$7:$A$131,$B36)</f>
        <v>44.5</v>
      </c>
      <c r="O36" s="85" t="n">
        <f>SUMIFS('Employee Summary'!$N$7:$N$131,'Employee Summary'!$A$7:$A$131,$B36)</f>
        <v>780.5</v>
      </c>
    </row>
    <row r="37" ht="34" customHeight="1">
      <c r="A37" s="75"/>
      <c r="B37" s="94" t="str">
        <v>UNASSIGNED</v>
      </c>
      <c r="C37" s="97" t="n">
        <f>COUNTIFS('Employee Summary'!$A$7:$A$131,B37)</f>
        <v>6</v>
      </c>
      <c r="D37" s="96" t="n">
        <f>SUMIFS('Employee Summary'!$C$7:$C$131,'Employee Summary'!$A$7:$A$131,$B37)</f>
        <v>0</v>
      </c>
      <c r="E37" s="96" t="n">
        <f>SUMIFS('Employee Summary'!$D$7:$D$131,'Employee Summary'!$A$7:$A$131,$B37)</f>
        <v>0</v>
      </c>
      <c r="F37" s="96" t="n">
        <f>SUMIFS('Employee Summary'!$E$7:$E$131,'Employee Summary'!$A$7:$A$131,$B37)</f>
        <v>150</v>
      </c>
      <c r="G37" s="97" t="n">
        <f>SUMIFS('Employee Summary'!$F$7:$F$131,'Employee Summary'!$A$7:$A$131,$B37)</f>
        <v>0</v>
      </c>
      <c r="H37" s="97" t="n">
        <f>SUMIFS('Employee Summary'!$G$7:$G$131,'Employee Summary'!$A$7:$A$131,$B37)</f>
        <v>0</v>
      </c>
      <c r="I37" s="96" t="n">
        <f>SUMIFS('Employee Summary'!$H$7:$H$131,'Employee Summary'!$A$7:$A$131,$B37)</f>
        <v>0</v>
      </c>
      <c r="J37" s="96" t="n">
        <f>SUMIFS('Employee Summary'!$I$7:$I$131,'Employee Summary'!$A$7:$A$131,$B37)</f>
        <v>30</v>
      </c>
      <c r="K37" s="97" t="n">
        <f>SUMIFS('Employee Summary'!$J$7:$J$131,'Employee Summary'!$A$7:$A$131,$B37)</f>
        <v>0</v>
      </c>
      <c r="L37" s="97" t="n">
        <f>SUMIFS('Employee Summary'!$K$7:$K$131,'Employee Summary'!$A$7:$A$131,$B37)</f>
        <v>0</v>
      </c>
      <c r="M37" s="96" t="n">
        <f>SUMIFS('Employee Summary'!$L$7:$L$131,'Employee Summary'!$A$7:$A$131,$B37)</f>
        <v>72</v>
      </c>
      <c r="N37" s="96" t="n">
        <f>SUMIFS('Employee Summary'!$M$7:$M$131,'Employee Summary'!$A$7:$A$131,$B37)</f>
        <v>0</v>
      </c>
      <c r="O37" s="96" t="n">
        <f>SUMIFS('Employee Summary'!$N$7:$N$131,'Employee Summary'!$A$7:$A$131,$B37)</f>
        <v>72</v>
      </c>
    </row>
    <row r="38" ht="24" customHeight="1">
      <c r="A38" s="75"/>
      <c r="B38" s="101" t="str">
        <v>Total</v>
      </c>
      <c r="C38" s="102" t="n">
        <f>SUM(C28:C37)</f>
        <v>125</v>
      </c>
      <c r="D38" s="103" t="n">
        <f>SUM(D28:D37)</f>
        <v>3289</v>
      </c>
      <c r="E38" s="103" t="n">
        <f>SUM(E28:E37)</f>
        <v>2476.5</v>
      </c>
      <c r="F38" s="103" t="n">
        <f>SUM(F28:F37)</f>
        <v>358.5</v>
      </c>
      <c r="G38" s="102" t="n">
        <f>SUM(G28:G37)</f>
        <v>27</v>
      </c>
      <c r="H38" s="102" t="n">
        <f>SUM(H28:H37)</f>
        <v>165</v>
      </c>
      <c r="I38" s="103" t="n">
        <f>SUM(I28:I37)</f>
        <v>178.5</v>
      </c>
      <c r="J38" s="103" t="n">
        <f>SUM(J28:J37)</f>
        <v>91.5</v>
      </c>
      <c r="K38" s="102" t="n">
        <f>SUM(K28:K37)</f>
        <v>532</v>
      </c>
      <c r="L38" s="102" t="n">
        <f>SUM(L28:L37)</f>
        <v>102</v>
      </c>
      <c r="M38" s="103" t="n">
        <f>SUM(M28:M37)</f>
        <v>3165</v>
      </c>
      <c r="N38" s="103" t="n">
        <f>SUM(N28:N37)</f>
        <v>178.5</v>
      </c>
      <c r="O38" s="103" t="n">
        <f>SUM(O28:O37)</f>
        <v>2986.5</v>
      </c>
    </row>
    <row r="39" ht="24" customHeight="1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</row>
    <row r="40" ht="24" customHeight="1">
      <c r="A40" s="75"/>
      <c r="B40" s="77" t="str">
        <v>Total Working Days follows the source label and includes paid leave, weekly offs and holidays. Half Day PL counts occurrences; PL quantities use days.</v>
      </c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</row>
    <row r="41" ht="24" customHeight="1">
      <c r="A41" s="75"/>
      <c r="B41" s="77" t="str">
        <v>Attendance PL taken and ledger PL taken remain separate. The Employee Summary retains each supplied average-hours value.</v>
      </c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</row>
    <row r="42" ht="24" customHeight="1">
      <c r="A42" s="75"/>
      <c r="B42" s="77" t="str">
        <v>The source has two incomplete employee calendar totals. Rounded daily hours also differ from supplied footers by nine minutes; the original figures are retained.</v>
      </c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</row>
    <row r="43" ht="24" customHeight="1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</row>
    <row r="44" ht="24" customHeight="1">
      <c r="A44" s="75"/>
      <c r="B44" s="77" t="str">
        <v>Chart data</v>
      </c>
      <c r="C44" s="77"/>
      <c r="D44" s="77"/>
      <c r="E44" s="77"/>
      <c r="F44" s="75"/>
      <c r="G44" s="75"/>
      <c r="H44" s="75"/>
      <c r="I44" s="75"/>
      <c r="J44" s="75"/>
      <c r="K44" s="75"/>
      <c r="L44" s="75"/>
      <c r="M44" s="75"/>
      <c r="N44" s="75"/>
      <c r="O44" s="75"/>
    </row>
    <row r="45" ht="24" customHeight="1">
      <c r="A45" s="75"/>
      <c r="B45" s="77" t="str">
        <v>Company label</v>
      </c>
      <c r="C45" s="77" t="str">
        <v>Employees</v>
      </c>
      <c r="D45" s="77" t="str">
        <v>PL days</v>
      </c>
      <c r="E45" s="77" t="str">
        <v>LWP days</v>
      </c>
      <c r="F45" s="75"/>
      <c r="G45" s="75" t="str">
        <f>B45</f>
        <v>Company label</v>
      </c>
      <c r="H45" s="75" t="str">
        <f>D45</f>
        <v>PL days</v>
      </c>
      <c r="I45" s="75" t="str">
        <f>E45</f>
        <v>LWP days</v>
      </c>
      <c r="J45" s="75"/>
      <c r="K45" s="75"/>
      <c r="L45" s="75"/>
      <c r="M45" s="75"/>
      <c r="N45" s="75"/>
      <c r="O45" s="75"/>
    </row>
    <row r="46" ht="24" customHeight="1">
      <c r="A46" s="75"/>
      <c r="B46" s="77" t="str">
        <v>Suraj Ship</v>
      </c>
      <c r="C46" s="77" t="n">
        <f>C35</f>
        <v>29</v>
      </c>
      <c r="D46" s="77" t="n">
        <f>I35</f>
        <v>47</v>
      </c>
      <c r="E46" s="77" t="n">
        <f>J35</f>
        <v>7</v>
      </c>
      <c r="F46" s="75"/>
      <c r="G46" s="75" t="str">
        <f>B46</f>
        <v>Suraj Ship</v>
      </c>
      <c r="H46" s="75" t="n">
        <f>D46</f>
        <v>47</v>
      </c>
      <c r="I46" s="75" t="n">
        <f>E46</f>
        <v>7</v>
      </c>
      <c r="J46" s="75"/>
      <c r="K46" s="75"/>
      <c r="L46" s="75"/>
      <c r="M46" s="75"/>
      <c r="N46" s="75"/>
      <c r="O46" s="75"/>
    </row>
    <row r="47" ht="24" customHeight="1">
      <c r="A47" s="75"/>
      <c r="B47" s="77" t="str">
        <v>Suraj Pvt</v>
      </c>
      <c r="C47" s="77" t="n">
        <f>C36</f>
        <v>28</v>
      </c>
      <c r="D47" s="77" t="n">
        <f>I36</f>
        <v>44.5</v>
      </c>
      <c r="E47" s="77" t="n">
        <f>J36</f>
        <v>14.5</v>
      </c>
      <c r="F47" s="75"/>
      <c r="G47" s="75" t="str">
        <f>B47</f>
        <v>Suraj Pvt</v>
      </c>
      <c r="H47" s="75" t="n">
        <f>D47</f>
        <v>44.5</v>
      </c>
      <c r="I47" s="75" t="n">
        <f>E47</f>
        <v>14.5</v>
      </c>
      <c r="J47" s="75"/>
      <c r="K47" s="75"/>
      <c r="L47" s="75"/>
      <c r="M47" s="75"/>
      <c r="N47" s="75"/>
      <c r="O47" s="75"/>
    </row>
    <row r="48" ht="24" customHeight="1">
      <c r="A48" s="75"/>
      <c r="B48" s="77" t="str">
        <v>SRCC</v>
      </c>
      <c r="C48" s="77" t="n">
        <f>C33</f>
        <v>19</v>
      </c>
      <c r="D48" s="77" t="n">
        <f>I33</f>
        <v>22.5</v>
      </c>
      <c r="E48" s="77" t="n">
        <f>J33</f>
        <v>13</v>
      </c>
      <c r="F48" s="75"/>
      <c r="G48" s="75" t="str">
        <f>B48</f>
        <v>SRCC</v>
      </c>
      <c r="H48" s="75" t="n">
        <f>D48</f>
        <v>22.5</v>
      </c>
      <c r="I48" s="75" t="n">
        <f>E48</f>
        <v>13</v>
      </c>
      <c r="J48" s="75"/>
      <c r="K48" s="75"/>
      <c r="L48" s="75"/>
      <c r="M48" s="75"/>
      <c r="N48" s="75"/>
      <c r="O48" s="75"/>
    </row>
    <row r="49" ht="24" customHeight="1">
      <c r="A49" s="75"/>
      <c r="B49" s="77" t="str">
        <v>Novusha</v>
      </c>
      <c r="C49" s="77" t="n">
        <f>C30</f>
        <v>13</v>
      </c>
      <c r="D49" s="77" t="n">
        <f>I30</f>
        <v>23</v>
      </c>
      <c r="E49" s="77" t="n">
        <f>J30</f>
        <v>10</v>
      </c>
      <c r="F49" s="75"/>
      <c r="G49" s="75" t="str">
        <f>B49</f>
        <v>Novusha</v>
      </c>
      <c r="H49" s="75" t="n">
        <f>D49</f>
        <v>23</v>
      </c>
      <c r="I49" s="75" t="n">
        <f>E49</f>
        <v>10</v>
      </c>
      <c r="J49" s="75"/>
      <c r="K49" s="75"/>
      <c r="L49" s="75"/>
      <c r="M49" s="75"/>
      <c r="N49" s="75"/>
      <c r="O49" s="75"/>
    </row>
    <row r="50" ht="24" customHeight="1">
      <c r="A50" s="75"/>
      <c r="B50" s="77" t="str">
        <v>Sansar</v>
      </c>
      <c r="C50" s="77" t="n">
        <f>C32</f>
        <v>11</v>
      </c>
      <c r="D50" s="77" t="n">
        <f>I32</f>
        <v>24</v>
      </c>
      <c r="E50" s="77" t="n">
        <f>J32</f>
        <v>2</v>
      </c>
      <c r="F50" s="75"/>
      <c r="G50" s="75" t="str">
        <f>B50</f>
        <v>Sansar</v>
      </c>
      <c r="H50" s="75" t="n">
        <f>D50</f>
        <v>24</v>
      </c>
      <c r="I50" s="75" t="n">
        <f>E50</f>
        <v>2</v>
      </c>
      <c r="J50" s="75"/>
      <c r="K50" s="75"/>
      <c r="L50" s="75"/>
      <c r="M50" s="75"/>
      <c r="N50" s="75"/>
      <c r="O50" s="75"/>
    </row>
    <row r="51" ht="24" customHeight="1">
      <c r="A51" s="75"/>
      <c r="B51" s="77" t="str">
        <v>Eximbiz</v>
      </c>
      <c r="C51" s="77" t="n">
        <f>C29</f>
        <v>8</v>
      </c>
      <c r="D51" s="77" t="n">
        <f>I29</f>
        <v>12</v>
      </c>
      <c r="E51" s="77" t="n">
        <f>J29</f>
        <v>0</v>
      </c>
      <c r="F51" s="75"/>
      <c r="G51" s="75" t="str">
        <f>B51</f>
        <v>Eximbiz</v>
      </c>
      <c r="H51" s="75" t="n">
        <f>D51</f>
        <v>12</v>
      </c>
      <c r="I51" s="75" t="n">
        <f>E51</f>
        <v>0</v>
      </c>
      <c r="J51" s="75"/>
      <c r="K51" s="75"/>
      <c r="L51" s="75"/>
      <c r="M51" s="75"/>
      <c r="N51" s="75"/>
      <c r="O51" s="75"/>
    </row>
    <row r="52" ht="24" customHeight="1">
      <c r="A52" s="75"/>
      <c r="B52" s="77" t="str">
        <v>Suraj</v>
      </c>
      <c r="C52" s="77" t="n">
        <f>C34</f>
        <v>7</v>
      </c>
      <c r="D52" s="77" t="n">
        <f>I34</f>
        <v>2.5</v>
      </c>
      <c r="E52" s="77" t="n">
        <f>J34</f>
        <v>5</v>
      </c>
      <c r="F52" s="75"/>
      <c r="G52" s="75" t="str">
        <f>B52</f>
        <v>Suraj</v>
      </c>
      <c r="H52" s="75" t="n">
        <f>D52</f>
        <v>2.5</v>
      </c>
      <c r="I52" s="75" t="n">
        <f>E52</f>
        <v>5</v>
      </c>
      <c r="J52" s="75"/>
      <c r="K52" s="75"/>
      <c r="L52" s="75"/>
      <c r="M52" s="75"/>
      <c r="N52" s="75"/>
      <c r="O52" s="75"/>
    </row>
    <row r="53" ht="24" customHeight="1">
      <c r="A53" s="75"/>
      <c r="B53" s="77" t="str">
        <v>Unassigned</v>
      </c>
      <c r="C53" s="77" t="n">
        <f>C37</f>
        <v>6</v>
      </c>
      <c r="D53" s="77" t="n">
        <f>I37</f>
        <v>0</v>
      </c>
      <c r="E53" s="77" t="n">
        <f>J37</f>
        <v>30</v>
      </c>
      <c r="F53" s="75"/>
      <c r="G53" s="75" t="str">
        <f>B53</f>
        <v>Unassigned</v>
      </c>
      <c r="H53" s="75" t="n">
        <f>D53</f>
        <v>0</v>
      </c>
      <c r="I53" s="75" t="n">
        <f>E53</f>
        <v>30</v>
      </c>
      <c r="J53" s="75"/>
      <c r="K53" s="75"/>
      <c r="L53" s="75"/>
      <c r="M53" s="75"/>
      <c r="N53" s="75"/>
      <c r="O53" s="75"/>
    </row>
    <row r="54" ht="24" customHeight="1">
      <c r="A54" s="75"/>
      <c r="B54" s="77" t="str">
        <v>Alluvium</v>
      </c>
      <c r="C54" s="77" t="n">
        <f>C28</f>
        <v>2</v>
      </c>
      <c r="D54" s="77" t="n">
        <f>I28</f>
        <v>2</v>
      </c>
      <c r="E54" s="77" t="n">
        <f>J28</f>
        <v>4</v>
      </c>
      <c r="F54" s="75"/>
      <c r="G54" s="75" t="str">
        <f>B54</f>
        <v>Alluvium</v>
      </c>
      <c r="H54" s="75" t="n">
        <f>D54</f>
        <v>2</v>
      </c>
      <c r="I54" s="75" t="n">
        <f>E54</f>
        <v>4</v>
      </c>
      <c r="J54" s="75"/>
      <c r="K54" s="75"/>
      <c r="L54" s="75"/>
      <c r="M54" s="75"/>
      <c r="N54" s="75"/>
      <c r="O54" s="75"/>
    </row>
    <row r="55" ht="24" customHeight="1">
      <c r="A55" s="75"/>
      <c r="B55" s="77" t="str">
        <v>Paramount</v>
      </c>
      <c r="C55" s="77" t="n">
        <f>C31</f>
        <v>2</v>
      </c>
      <c r="D55" s="77" t="n">
        <f>I31</f>
        <v>1</v>
      </c>
      <c r="E55" s="77" t="n">
        <f>J31</f>
        <v>6</v>
      </c>
      <c r="F55" s="75"/>
      <c r="G55" s="75" t="str">
        <f>B55</f>
        <v>Paramount</v>
      </c>
      <c r="H55" s="75" t="n">
        <f>D55</f>
        <v>1</v>
      </c>
      <c r="I55" s="75" t="n">
        <f>E55</f>
        <v>6</v>
      </c>
      <c r="J55" s="75"/>
      <c r="K55" s="75"/>
      <c r="L55" s="75"/>
      <c r="M55" s="75"/>
      <c r="N55" s="75"/>
      <c r="O55" s="75"/>
    </row>
    <row r="56" ht="24" customHeight="1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</row>
  </sheetData>
  <mergeCells>
    <mergeCell ref="B2:O2"/>
    <mergeCell ref="B3:O3"/>
    <mergeCell ref="B5:D5"/>
    <mergeCell ref="B6:D7"/>
    <mergeCell ref="F5:H5"/>
    <mergeCell ref="F6:H7"/>
    <mergeCell ref="J5:L5"/>
    <mergeCell ref="J6:L7"/>
    <mergeCell ref="N5:O5"/>
    <mergeCell ref="N6:O7"/>
    <mergeCell ref="B25:O25"/>
    <mergeCell ref="B40:O40"/>
    <mergeCell ref="B41:O41"/>
    <mergeCell ref="B42:O42"/>
  </mergeCells>
  <pageMargins left="0.7" right="0.7" top="0.75" bottom="0.75" header="0.3" footer="0.3"/>
  <drawing r:id="R7c5254b3511e4490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146C78"/>
  </sheetPr>
  <sheetViews>
    <sheetView showGridLines="0" workbookViewId="0">
      <pane xSplit="2" ySplit="6" topLeftCell="C7" activePane="bottomRight" state="frozen"/>
    </sheetView>
  </sheetViews>
  <sheetFormatPr defaultRowHeight="15"/>
  <cols>
    <col min="1" max="1" width="44" hidden="0" customWidth="1"/>
    <col min="2" max="2" width="30" hidden="0" customWidth="1"/>
    <col min="3" max="3" width="15" hidden="0" customWidth="1"/>
    <col min="4" max="4" width="15" hidden="0" customWidth="1"/>
    <col min="5" max="5" width="15" hidden="0" customWidth="1"/>
    <col min="6" max="6" width="15" hidden="0" customWidth="1"/>
    <col min="7" max="7" width="15" hidden="0" customWidth="1"/>
    <col min="8" max="8" width="15" hidden="0" customWidth="1"/>
    <col min="9" max="9" width="15" hidden="0" customWidth="1"/>
    <col min="10" max="10" width="15" hidden="0" customWidth="1"/>
    <col min="11" max="11" width="15" hidden="0" customWidth="1"/>
    <col min="12" max="12" width="15" hidden="0" customWidth="1"/>
    <col min="13" max="13" width="15" hidden="0" customWidth="1"/>
    <col min="14" max="14" width="15" hidden="0" customWidth="1"/>
    <col min="15" max="15" width="15" hidden="0" customWidth="1"/>
  </cols>
  <sheetData>
    <row r="1" ht="23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</row>
    <row r="2" ht="32" customHeight="1">
      <c r="A2" s="76" t="str">
        <v>Attendance &amp; leave — employee summary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ht="23" customHeight="1">
      <c r="A3" s="75" t="str">
        <v>01–30 September 2026 · 125 employees · all companies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</row>
    <row r="4" ht="23" customHeight="1">
      <c r="A4" s="77" t="str">
        <v>Source: AttendanceReport_2026-09-01_to_2026-09-30.xlsx. Original company registers follow these summary tabs.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ht="23" customHeight="1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</row>
    <row r="6" ht="46" customHeight="1">
      <c r="A6" s="81" t="str">
        <v>Company</v>
      </c>
      <c r="B6" s="81" t="str">
        <v>Employee</v>
      </c>
      <c r="C6" s="81" t="str">
        <v>Total Working Days</v>
      </c>
      <c r="D6" s="81" t="str">
        <v>Present</v>
      </c>
      <c r="E6" s="81" t="str">
        <v>Absent</v>
      </c>
      <c r="F6" s="81" t="str">
        <v>Half Day PL</v>
      </c>
      <c r="G6" s="81" t="str">
        <v>Full Day PL</v>
      </c>
      <c r="H6" s="81" t="str">
        <v>Total PL Taken</v>
      </c>
      <c r="I6" s="81" t="str">
        <v>LWP Taken</v>
      </c>
      <c r="J6" s="81" t="str">
        <v>Week Off</v>
      </c>
      <c r="K6" s="81" t="str">
        <v>Holiday</v>
      </c>
      <c r="L6" s="81" t="str">
        <v>September Opening Balance</v>
      </c>
      <c r="M6" s="81" t="str">
        <v>PL Taken (Ledger)</v>
      </c>
      <c r="N6" s="81" t="str">
        <v>Available Balance</v>
      </c>
      <c r="O6" s="81" t="str">
        <v>Avg Hours/Day</v>
      </c>
    </row>
    <row r="7" ht="34" customHeight="1">
      <c r="A7" s="82" t="str">
        <f>"ALLUVIUM IOT SOLUTIONS PRIVATE LIMITED"</f>
        <v>ALLUVIUM IOT SOLUTIONS PRIVATE LIMITED</v>
      </c>
      <c r="B7" s="82" t="str">
        <f>'Alluvium IoT Solutions Private '!A5</f>
        <v>ARPIT SINGHAL</v>
      </c>
      <c r="C7" s="85" t="n">
        <f>'Alluvium IoT Solutions Private '!B5</f>
        <v>0</v>
      </c>
      <c r="D7" s="85" t="n">
        <f>'Alluvium IoT Solutions Private '!C5</f>
        <v>0</v>
      </c>
      <c r="E7" s="85" t="n">
        <f>'Alluvium IoT Solutions Private '!D5</f>
        <v>26</v>
      </c>
      <c r="F7" s="86" t="n">
        <f>'Alluvium IoT Solutions Private '!E5</f>
        <v>0</v>
      </c>
      <c r="G7" s="86" t="n">
        <f>'Alluvium IoT Solutions Private '!F5</f>
        <v>0</v>
      </c>
      <c r="H7" s="85" t="n">
        <f>'Alluvium IoT Solutions Private '!G5</f>
        <v>0</v>
      </c>
      <c r="I7" s="85" t="n">
        <f>'Alluvium IoT Solutions Private '!H5</f>
        <v>4</v>
      </c>
      <c r="J7" s="86" t="n">
        <f>'Alluvium IoT Solutions Private '!I5</f>
        <v>0</v>
      </c>
      <c r="K7" s="86" t="n">
        <f>'Alluvium IoT Solutions Private '!J5</f>
        <v>0</v>
      </c>
      <c r="L7" s="85" t="n">
        <f>'Alluvium IoT Solutions Private '!M5</f>
        <v>0</v>
      </c>
      <c r="M7" s="85" t="n">
        <f>'Alluvium IoT Solutions Private '!N5</f>
        <v>0</v>
      </c>
      <c r="N7" s="85" t="n">
        <f>'Alluvium IoT Solutions Private '!O5</f>
        <v>0</v>
      </c>
      <c r="O7" s="87" t="str">
        <f>'Alluvium IoT Solutions Private '!P5</f>
        <v>0h 0m</v>
      </c>
    </row>
    <row r="8" ht="34" customHeight="1">
      <c r="A8" s="82" t="str">
        <f>"ALLUVIUM IOT SOLUTIONS PRIVATE LIMITED"</f>
        <v>ALLUVIUM IOT SOLUTIONS PRIVATE LIMITED</v>
      </c>
      <c r="B8" s="82" t="str">
        <f>'Alluvium IoT Solutions Private '!A6</f>
        <v>MASOOD RAZA</v>
      </c>
      <c r="C8" s="85" t="n">
        <f>'Alluvium IoT Solutions Private '!B6</f>
        <v>30</v>
      </c>
      <c r="D8" s="85" t="n">
        <f>'Alluvium IoT Solutions Private '!C6</f>
        <v>21</v>
      </c>
      <c r="E8" s="85" t="n">
        <f>'Alluvium IoT Solutions Private '!D6</f>
        <v>0</v>
      </c>
      <c r="F8" s="86" t="n">
        <f>'Alluvium IoT Solutions Private '!E6</f>
        <v>0</v>
      </c>
      <c r="G8" s="86" t="n">
        <f>'Alluvium IoT Solutions Private '!F6</f>
        <v>2</v>
      </c>
      <c r="H8" s="85" t="n">
        <f>'Alluvium IoT Solutions Private '!G6</f>
        <v>2</v>
      </c>
      <c r="I8" s="85" t="n">
        <f>'Alluvium IoT Solutions Private '!H6</f>
        <v>0</v>
      </c>
      <c r="J8" s="86" t="n">
        <f>'Alluvium IoT Solutions Private '!I6</f>
        <v>6</v>
      </c>
      <c r="K8" s="86" t="n">
        <f>'Alluvium IoT Solutions Private '!J6</f>
        <v>1</v>
      </c>
      <c r="L8" s="85" t="n">
        <f>'Alluvium IoT Solutions Private '!M6</f>
        <v>10</v>
      </c>
      <c r="M8" s="85" t="n">
        <f>'Alluvium IoT Solutions Private '!N6</f>
        <v>2</v>
      </c>
      <c r="N8" s="85" t="n">
        <f>'Alluvium IoT Solutions Private '!O6</f>
        <v>8</v>
      </c>
      <c r="O8" s="87" t="str">
        <f>'Alluvium IoT Solutions Private '!P6</f>
        <v>9h 48m</v>
      </c>
    </row>
    <row r="9" ht="34" customHeight="1">
      <c r="A9" s="82" t="str">
        <f>"EXIMBIZ ENTERPRISE"</f>
        <v>EXIMBIZ ENTERPRISE</v>
      </c>
      <c r="B9" s="82" t="str">
        <f>'Eximbiz Enterprise'!A5</f>
        <v>AHMED ADENWALA</v>
      </c>
      <c r="C9" s="85" t="n">
        <f>'Eximbiz Enterprise'!B5</f>
        <v>30</v>
      </c>
      <c r="D9" s="85" t="n">
        <f>'Eximbiz Enterprise'!C5</f>
        <v>23.5</v>
      </c>
      <c r="E9" s="85" t="n">
        <f>'Eximbiz Enterprise'!D5</f>
        <v>0</v>
      </c>
      <c r="F9" s="86" t="n">
        <f>'Eximbiz Enterprise'!E5</f>
        <v>1</v>
      </c>
      <c r="G9" s="86" t="n">
        <f>'Eximbiz Enterprise'!F5</f>
        <v>0</v>
      </c>
      <c r="H9" s="85" t="n">
        <f>'Eximbiz Enterprise'!G5</f>
        <v>0.5</v>
      </c>
      <c r="I9" s="85" t="n">
        <f>'Eximbiz Enterprise'!H5</f>
        <v>0</v>
      </c>
      <c r="J9" s="86" t="n">
        <f>'Eximbiz Enterprise'!I5</f>
        <v>5</v>
      </c>
      <c r="K9" s="86" t="n">
        <f>'Eximbiz Enterprise'!J5</f>
        <v>1</v>
      </c>
      <c r="L9" s="85" t="n">
        <f>'Eximbiz Enterprise'!M5</f>
        <v>35.5</v>
      </c>
      <c r="M9" s="85" t="n">
        <f>'Eximbiz Enterprise'!N5</f>
        <v>0.5</v>
      </c>
      <c r="N9" s="85" t="n">
        <f>'Eximbiz Enterprise'!O5</f>
        <v>35</v>
      </c>
      <c r="O9" s="87" t="str">
        <f>'Eximbiz Enterprise'!P5</f>
        <v>9h 12m</v>
      </c>
    </row>
    <row r="10" ht="34" customHeight="1">
      <c r="A10" s="82" t="str">
        <f>"EXIMBIZ ENTERPRISE"</f>
        <v>EXIMBIZ ENTERPRISE</v>
      </c>
      <c r="B10" s="82" t="str">
        <f>'Eximbiz Enterprise'!A6</f>
        <v>ALPESH PARMAR</v>
      </c>
      <c r="C10" s="85" t="n">
        <f>'Eximbiz Enterprise'!B6</f>
        <v>30</v>
      </c>
      <c r="D10" s="85" t="n">
        <f>'Eximbiz Enterprise'!C6</f>
        <v>20</v>
      </c>
      <c r="E10" s="85" t="n">
        <f>'Eximbiz Enterprise'!D6</f>
        <v>0</v>
      </c>
      <c r="F10" s="86" t="n">
        <f>'Eximbiz Enterprise'!E6</f>
        <v>2</v>
      </c>
      <c r="G10" s="86" t="n">
        <f>'Eximbiz Enterprise'!F6</f>
        <v>3</v>
      </c>
      <c r="H10" s="85" t="n">
        <f>'Eximbiz Enterprise'!G6</f>
        <v>4</v>
      </c>
      <c r="I10" s="85" t="n">
        <f>'Eximbiz Enterprise'!H6</f>
        <v>0</v>
      </c>
      <c r="J10" s="86" t="n">
        <f>'Eximbiz Enterprise'!I6</f>
        <v>5</v>
      </c>
      <c r="K10" s="86" t="n">
        <f>'Eximbiz Enterprise'!J6</f>
        <v>1</v>
      </c>
      <c r="L10" s="85" t="n">
        <f>'Eximbiz Enterprise'!M6</f>
        <v>24.5</v>
      </c>
      <c r="M10" s="85" t="n">
        <f>'Eximbiz Enterprise'!N6</f>
        <v>4</v>
      </c>
      <c r="N10" s="85" t="n">
        <f>'Eximbiz Enterprise'!O6</f>
        <v>20.5</v>
      </c>
      <c r="O10" s="87" t="str">
        <f>'Eximbiz Enterprise'!P6</f>
        <v>9h 0m</v>
      </c>
    </row>
    <row r="11" ht="34" customHeight="1">
      <c r="A11" s="82" t="str">
        <f>"EXIMBIZ ENTERPRISE"</f>
        <v>EXIMBIZ ENTERPRISE</v>
      </c>
      <c r="B11" s="82" t="str">
        <f>'Eximbiz Enterprise'!A7</f>
        <v>AMBILY</v>
      </c>
      <c r="C11" s="85" t="n">
        <f>'Eximbiz Enterprise'!B7</f>
        <v>30</v>
      </c>
      <c r="D11" s="85" t="n">
        <f>'Eximbiz Enterprise'!C7</f>
        <v>24</v>
      </c>
      <c r="E11" s="85" t="n">
        <f>'Eximbiz Enterprise'!D7</f>
        <v>0</v>
      </c>
      <c r="F11" s="86" t="n">
        <f>'Eximbiz Enterprise'!E7</f>
        <v>0</v>
      </c>
      <c r="G11" s="86" t="n">
        <f>'Eximbiz Enterprise'!F7</f>
        <v>0</v>
      </c>
      <c r="H11" s="85" t="n">
        <f>'Eximbiz Enterprise'!G7</f>
        <v>0</v>
      </c>
      <c r="I11" s="85" t="n">
        <f>'Eximbiz Enterprise'!H7</f>
        <v>0</v>
      </c>
      <c r="J11" s="86" t="n">
        <f>'Eximbiz Enterprise'!I7</f>
        <v>5</v>
      </c>
      <c r="K11" s="86" t="n">
        <f>'Eximbiz Enterprise'!J7</f>
        <v>1</v>
      </c>
      <c r="L11" s="85" t="n">
        <f>'Eximbiz Enterprise'!M7</f>
        <v>0</v>
      </c>
      <c r="M11" s="85" t="n">
        <f>'Eximbiz Enterprise'!N7</f>
        <v>0</v>
      </c>
      <c r="N11" s="85" t="n">
        <f>'Eximbiz Enterprise'!O7</f>
        <v>0</v>
      </c>
      <c r="O11" s="87" t="str">
        <f>'Eximbiz Enterprise'!P7</f>
        <v>9h 0m</v>
      </c>
    </row>
    <row r="12" ht="34" customHeight="1">
      <c r="A12" s="82" t="str">
        <f>"EXIMBIZ ENTERPRISE"</f>
        <v>EXIMBIZ ENTERPRISE</v>
      </c>
      <c r="B12" s="82" t="str">
        <f>'Eximbiz Enterprise'!A8</f>
        <v>DIPAK VAGHELA</v>
      </c>
      <c r="C12" s="85" t="n">
        <f>'Eximbiz Enterprise'!B8</f>
        <v>30</v>
      </c>
      <c r="D12" s="85" t="n">
        <f>'Eximbiz Enterprise'!C8</f>
        <v>20.5</v>
      </c>
      <c r="E12" s="85" t="n">
        <f>'Eximbiz Enterprise'!D8</f>
        <v>0</v>
      </c>
      <c r="F12" s="86" t="n">
        <f>'Eximbiz Enterprise'!E8</f>
        <v>5</v>
      </c>
      <c r="G12" s="86" t="n">
        <f>'Eximbiz Enterprise'!F8</f>
        <v>2</v>
      </c>
      <c r="H12" s="85" t="n">
        <f>'Eximbiz Enterprise'!G8</f>
        <v>4.5</v>
      </c>
      <c r="I12" s="85" t="n">
        <f>'Eximbiz Enterprise'!H8</f>
        <v>0</v>
      </c>
      <c r="J12" s="86" t="n">
        <f>'Eximbiz Enterprise'!I8</f>
        <v>4</v>
      </c>
      <c r="K12" s="86" t="n">
        <f>'Eximbiz Enterprise'!J8</f>
        <v>1</v>
      </c>
      <c r="L12" s="85" t="n">
        <f>'Eximbiz Enterprise'!M8</f>
        <v>16</v>
      </c>
      <c r="M12" s="85" t="n">
        <f>'Eximbiz Enterprise'!N8</f>
        <v>4.5</v>
      </c>
      <c r="N12" s="85" t="n">
        <f>'Eximbiz Enterprise'!O8</f>
        <v>11.5</v>
      </c>
      <c r="O12" s="87" t="str">
        <f>'Eximbiz Enterprise'!P8</f>
        <v>9h 30m</v>
      </c>
    </row>
    <row r="13" ht="34" customHeight="1">
      <c r="A13" s="82" t="str">
        <f>"EXIMBIZ ENTERPRISE"</f>
        <v>EXIMBIZ ENTERPRISE</v>
      </c>
      <c r="B13" s="82" t="str">
        <f>'Eximbiz Enterprise'!A9</f>
        <v>HIRANRAJ R</v>
      </c>
      <c r="C13" s="85" t="n">
        <f>'Eximbiz Enterprise'!B9</f>
        <v>30</v>
      </c>
      <c r="D13" s="85" t="n">
        <f>'Eximbiz Enterprise'!C9</f>
        <v>24</v>
      </c>
      <c r="E13" s="85" t="n">
        <f>'Eximbiz Enterprise'!D9</f>
        <v>0</v>
      </c>
      <c r="F13" s="86" t="n">
        <f>'Eximbiz Enterprise'!E9</f>
        <v>0</v>
      </c>
      <c r="G13" s="86" t="n">
        <f>'Eximbiz Enterprise'!F9</f>
        <v>0</v>
      </c>
      <c r="H13" s="85" t="n">
        <f>'Eximbiz Enterprise'!G9</f>
        <v>0</v>
      </c>
      <c r="I13" s="85" t="n">
        <f>'Eximbiz Enterprise'!H9</f>
        <v>0</v>
      </c>
      <c r="J13" s="86" t="n">
        <f>'Eximbiz Enterprise'!I9</f>
        <v>5</v>
      </c>
      <c r="K13" s="86" t="n">
        <f>'Eximbiz Enterprise'!J9</f>
        <v>1</v>
      </c>
      <c r="L13" s="85" t="n">
        <f>'Eximbiz Enterprise'!M9</f>
        <v>0</v>
      </c>
      <c r="M13" s="85" t="n">
        <f>'Eximbiz Enterprise'!N9</f>
        <v>0</v>
      </c>
      <c r="N13" s="85" t="n">
        <f>'Eximbiz Enterprise'!O9</f>
        <v>0</v>
      </c>
      <c r="O13" s="87" t="str">
        <f>'Eximbiz Enterprise'!P9</f>
        <v>9h 6m</v>
      </c>
    </row>
    <row r="14" ht="34" customHeight="1">
      <c r="A14" s="82" t="str">
        <f>"EXIMBIZ ENTERPRISE"</f>
        <v>EXIMBIZ ENTERPRISE</v>
      </c>
      <c r="B14" s="82" t="str">
        <f>'Eximbiz Enterprise'!A10</f>
        <v>KARAN MISHRA</v>
      </c>
      <c r="C14" s="85" t="n">
        <f>'Eximbiz Enterprise'!B10</f>
        <v>30</v>
      </c>
      <c r="D14" s="85" t="n">
        <f>'Eximbiz Enterprise'!C10</f>
        <v>22</v>
      </c>
      <c r="E14" s="85" t="n">
        <f>'Eximbiz Enterprise'!D10</f>
        <v>0</v>
      </c>
      <c r="F14" s="86" t="n">
        <f>'Eximbiz Enterprise'!E10</f>
        <v>0</v>
      </c>
      <c r="G14" s="86" t="n">
        <f>'Eximbiz Enterprise'!F10</f>
        <v>2</v>
      </c>
      <c r="H14" s="85" t="n">
        <f>'Eximbiz Enterprise'!G10</f>
        <v>2</v>
      </c>
      <c r="I14" s="85" t="n">
        <f>'Eximbiz Enterprise'!H10</f>
        <v>0</v>
      </c>
      <c r="J14" s="86" t="n">
        <f>'Eximbiz Enterprise'!I10</f>
        <v>5</v>
      </c>
      <c r="K14" s="86" t="n">
        <f>'Eximbiz Enterprise'!J10</f>
        <v>1</v>
      </c>
      <c r="L14" s="85" t="n">
        <f>'Eximbiz Enterprise'!M10</f>
        <v>17</v>
      </c>
      <c r="M14" s="85" t="n">
        <f>'Eximbiz Enterprise'!N10</f>
        <v>2</v>
      </c>
      <c r="N14" s="85" t="n">
        <f>'Eximbiz Enterprise'!O10</f>
        <v>15</v>
      </c>
      <c r="O14" s="87" t="str">
        <f>'Eximbiz Enterprise'!P10</f>
        <v>9h 6m</v>
      </c>
    </row>
    <row r="15" ht="34" customHeight="1">
      <c r="A15" s="82" t="str">
        <f>"EXIMBIZ ENTERPRISE"</f>
        <v>EXIMBIZ ENTERPRISE</v>
      </c>
      <c r="B15" s="82" t="str">
        <f>'Eximbiz Enterprise'!A11</f>
        <v>RAHUL SOLANKI</v>
      </c>
      <c r="C15" s="85" t="n">
        <f>'Eximbiz Enterprise'!B11</f>
        <v>30</v>
      </c>
      <c r="D15" s="85" t="n">
        <f>'Eximbiz Enterprise'!C11</f>
        <v>23</v>
      </c>
      <c r="E15" s="85" t="n">
        <f>'Eximbiz Enterprise'!D11</f>
        <v>0</v>
      </c>
      <c r="F15" s="86" t="n">
        <f>'Eximbiz Enterprise'!E11</f>
        <v>0</v>
      </c>
      <c r="G15" s="86" t="n">
        <f>'Eximbiz Enterprise'!F11</f>
        <v>1</v>
      </c>
      <c r="H15" s="85" t="n">
        <f>'Eximbiz Enterprise'!G11</f>
        <v>1</v>
      </c>
      <c r="I15" s="85" t="n">
        <f>'Eximbiz Enterprise'!H11</f>
        <v>0</v>
      </c>
      <c r="J15" s="86" t="n">
        <f>'Eximbiz Enterprise'!I11</f>
        <v>5</v>
      </c>
      <c r="K15" s="86" t="n">
        <f>'Eximbiz Enterprise'!J11</f>
        <v>1</v>
      </c>
      <c r="L15" s="85" t="n">
        <f>'Eximbiz Enterprise'!M11</f>
        <v>31</v>
      </c>
      <c r="M15" s="85" t="n">
        <f>'Eximbiz Enterprise'!N11</f>
        <v>1</v>
      </c>
      <c r="N15" s="85" t="n">
        <f>'Eximbiz Enterprise'!O11</f>
        <v>30</v>
      </c>
      <c r="O15" s="87" t="str">
        <f>'Eximbiz Enterprise'!P11</f>
        <v>9h 6m</v>
      </c>
    </row>
    <row r="16" ht="34" customHeight="1">
      <c r="A16" s="82" t="str">
        <f>"EXIMBIZ ENTERPRISE"</f>
        <v>EXIMBIZ ENTERPRISE</v>
      </c>
      <c r="B16" s="82" t="str">
        <f>'Eximbiz Enterprise'!A12</f>
        <v>RENUKA SONAVANE</v>
      </c>
      <c r="C16" s="85" t="n">
        <f>'Eximbiz Enterprise'!B12</f>
        <v>30</v>
      </c>
      <c r="D16" s="85" t="n">
        <f>'Eximbiz Enterprise'!C12</f>
        <v>24</v>
      </c>
      <c r="E16" s="85" t="n">
        <f>'Eximbiz Enterprise'!D12</f>
        <v>0</v>
      </c>
      <c r="F16" s="86" t="n">
        <f>'Eximbiz Enterprise'!E12</f>
        <v>0</v>
      </c>
      <c r="G16" s="86" t="n">
        <f>'Eximbiz Enterprise'!F12</f>
        <v>0</v>
      </c>
      <c r="H16" s="85" t="n">
        <f>'Eximbiz Enterprise'!G12</f>
        <v>0</v>
      </c>
      <c r="I16" s="85" t="n">
        <f>'Eximbiz Enterprise'!H12</f>
        <v>0</v>
      </c>
      <c r="J16" s="86" t="n">
        <f>'Eximbiz Enterprise'!I12</f>
        <v>5</v>
      </c>
      <c r="K16" s="86" t="n">
        <f>'Eximbiz Enterprise'!J12</f>
        <v>1</v>
      </c>
      <c r="L16" s="85" t="n">
        <f>'Eximbiz Enterprise'!M12</f>
        <v>0</v>
      </c>
      <c r="M16" s="85" t="n">
        <f>'Eximbiz Enterprise'!N12</f>
        <v>0</v>
      </c>
      <c r="N16" s="85" t="n">
        <f>'Eximbiz Enterprise'!O12</f>
        <v>0</v>
      </c>
      <c r="O16" s="87" t="str">
        <f>'Eximbiz Enterprise'!P12</f>
        <v>9h 24m</v>
      </c>
    </row>
    <row r="17" ht="34" customHeight="1">
      <c r="A17" s="82" t="str">
        <f>"NOVUSHA CONSULTING SERVICES INDIA LLP"</f>
        <v>NOVUSHA CONSULTING SERVICES INDIA LLP</v>
      </c>
      <c r="B17" s="82" t="str">
        <f>'Novusha Consulting Services Ind'!A5</f>
        <v>ANUBHAV SINGH</v>
      </c>
      <c r="C17" s="85" t="n">
        <f>'Novusha Consulting Services Ind'!B5</f>
        <v>29</v>
      </c>
      <c r="D17" s="85" t="n">
        <f>'Novusha Consulting Services Ind'!C5</f>
        <v>22</v>
      </c>
      <c r="E17" s="85" t="n">
        <f>'Novusha Consulting Services Ind'!D5</f>
        <v>0</v>
      </c>
      <c r="F17" s="86" t="n">
        <f>'Novusha Consulting Services Ind'!E5</f>
        <v>0</v>
      </c>
      <c r="G17" s="86" t="n">
        <f>'Novusha Consulting Services Ind'!F5</f>
        <v>0</v>
      </c>
      <c r="H17" s="85" t="n">
        <f>'Novusha Consulting Services Ind'!G5</f>
        <v>0</v>
      </c>
      <c r="I17" s="85" t="n">
        <f>'Novusha Consulting Services Ind'!H5</f>
        <v>1</v>
      </c>
      <c r="J17" s="86" t="n">
        <f>'Novusha Consulting Services Ind'!I5</f>
        <v>6</v>
      </c>
      <c r="K17" s="86" t="n">
        <f>'Novusha Consulting Services Ind'!J5</f>
        <v>1</v>
      </c>
      <c r="L17" s="85" t="n">
        <f>'Novusha Consulting Services Ind'!M5</f>
        <v>17</v>
      </c>
      <c r="M17" s="85" t="n">
        <f>'Novusha Consulting Services Ind'!N5</f>
        <v>0</v>
      </c>
      <c r="N17" s="85" t="n">
        <f>'Novusha Consulting Services Ind'!O5</f>
        <v>17</v>
      </c>
      <c r="O17" s="87" t="str">
        <f>'Novusha Consulting Services Ind'!P5</f>
        <v>9h 6m</v>
      </c>
    </row>
    <row r="18" ht="34" customHeight="1">
      <c r="A18" s="82" t="str">
        <f>"NOVUSHA CONSULTING SERVICES INDIA LLP"</f>
        <v>NOVUSHA CONSULTING SERVICES INDIA LLP</v>
      </c>
      <c r="B18" s="82" t="str">
        <f>'Novusha Consulting Services Ind'!A6</f>
        <v>ATUL NAGOSE</v>
      </c>
      <c r="C18" s="85" t="n">
        <f>'Novusha Consulting Services Ind'!B6</f>
        <v>30</v>
      </c>
      <c r="D18" s="85" t="n">
        <f>'Novusha Consulting Services Ind'!C6</f>
        <v>22</v>
      </c>
      <c r="E18" s="85" t="n">
        <f>'Novusha Consulting Services Ind'!D6</f>
        <v>0</v>
      </c>
      <c r="F18" s="86" t="n">
        <f>'Novusha Consulting Services Ind'!E6</f>
        <v>0</v>
      </c>
      <c r="G18" s="86" t="n">
        <f>'Novusha Consulting Services Ind'!F6</f>
        <v>1</v>
      </c>
      <c r="H18" s="85" t="n">
        <f>'Novusha Consulting Services Ind'!G6</f>
        <v>1</v>
      </c>
      <c r="I18" s="85" t="n">
        <f>'Novusha Consulting Services Ind'!H6</f>
        <v>0</v>
      </c>
      <c r="J18" s="86" t="n">
        <f>'Novusha Consulting Services Ind'!I6</f>
        <v>6</v>
      </c>
      <c r="K18" s="86" t="n">
        <f>'Novusha Consulting Services Ind'!J6</f>
        <v>1</v>
      </c>
      <c r="L18" s="85" t="n">
        <f>'Novusha Consulting Services Ind'!M6</f>
        <v>20.5</v>
      </c>
      <c r="M18" s="85" t="n">
        <f>'Novusha Consulting Services Ind'!N6</f>
        <v>1</v>
      </c>
      <c r="N18" s="85" t="n">
        <f>'Novusha Consulting Services Ind'!O6</f>
        <v>19.5</v>
      </c>
      <c r="O18" s="87" t="str">
        <f>'Novusha Consulting Services Ind'!P6</f>
        <v>9h 0m</v>
      </c>
    </row>
    <row r="19" ht="34" customHeight="1">
      <c r="A19" s="82" t="str">
        <f>"NOVUSHA CONSULTING SERVICES INDIA LLP"</f>
        <v>NOVUSHA CONSULTING SERVICES INDIA LLP</v>
      </c>
      <c r="B19" s="82" t="str">
        <f>'Novusha Consulting Services Ind'!A7</f>
        <v>JAGDISH PUROHIT</v>
      </c>
      <c r="C19" s="85" t="n">
        <f>'Novusha Consulting Services Ind'!B7</f>
        <v>30</v>
      </c>
      <c r="D19" s="85" t="n">
        <f>'Novusha Consulting Services Ind'!C7</f>
        <v>12</v>
      </c>
      <c r="E19" s="85" t="n">
        <f>'Novusha Consulting Services Ind'!D7</f>
        <v>0</v>
      </c>
      <c r="F19" s="86" t="n">
        <f>'Novusha Consulting Services Ind'!E7</f>
        <v>0</v>
      </c>
      <c r="G19" s="86" t="n">
        <f>'Novusha Consulting Services Ind'!F7</f>
        <v>14</v>
      </c>
      <c r="H19" s="85" t="n">
        <f>'Novusha Consulting Services Ind'!G7</f>
        <v>14</v>
      </c>
      <c r="I19" s="85" t="n">
        <f>'Novusha Consulting Services Ind'!H7</f>
        <v>0</v>
      </c>
      <c r="J19" s="86" t="n">
        <f>'Novusha Consulting Services Ind'!I7</f>
        <v>3</v>
      </c>
      <c r="K19" s="86" t="n">
        <f>'Novusha Consulting Services Ind'!J7</f>
        <v>1</v>
      </c>
      <c r="L19" s="85" t="n">
        <f>'Novusha Consulting Services Ind'!M7</f>
        <v>14</v>
      </c>
      <c r="M19" s="85" t="n">
        <f>'Novusha Consulting Services Ind'!N7</f>
        <v>14</v>
      </c>
      <c r="N19" s="85" t="n">
        <f>'Novusha Consulting Services Ind'!O7</f>
        <v>0</v>
      </c>
      <c r="O19" s="87" t="str">
        <f>'Novusha Consulting Services Ind'!P7</f>
        <v>8h 48m</v>
      </c>
    </row>
    <row r="20" ht="34" customHeight="1">
      <c r="A20" s="82" t="str">
        <f>"NOVUSHA CONSULTING SERVICES INDIA LLP"</f>
        <v>NOVUSHA CONSULTING SERVICES INDIA LLP</v>
      </c>
      <c r="B20" s="82" t="str">
        <f>'Novusha Consulting Services Ind'!A8</f>
        <v>KINJAL KHATRI</v>
      </c>
      <c r="C20" s="85" t="n">
        <f>'Novusha Consulting Services Ind'!B8</f>
        <v>30</v>
      </c>
      <c r="D20" s="85" t="n">
        <f>'Novusha Consulting Services Ind'!C8</f>
        <v>22</v>
      </c>
      <c r="E20" s="85" t="n">
        <f>'Novusha Consulting Services Ind'!D8</f>
        <v>0</v>
      </c>
      <c r="F20" s="86" t="n">
        <f>'Novusha Consulting Services Ind'!E8</f>
        <v>0</v>
      </c>
      <c r="G20" s="86" t="n">
        <f>'Novusha Consulting Services Ind'!F8</f>
        <v>1</v>
      </c>
      <c r="H20" s="85" t="n">
        <f>'Novusha Consulting Services Ind'!G8</f>
        <v>1</v>
      </c>
      <c r="I20" s="85" t="n">
        <f>'Novusha Consulting Services Ind'!H8</f>
        <v>0</v>
      </c>
      <c r="J20" s="86" t="n">
        <f>'Novusha Consulting Services Ind'!I8</f>
        <v>6</v>
      </c>
      <c r="K20" s="86" t="n">
        <f>'Novusha Consulting Services Ind'!J8</f>
        <v>1</v>
      </c>
      <c r="L20" s="85" t="n">
        <f>'Novusha Consulting Services Ind'!M8</f>
        <v>17.5</v>
      </c>
      <c r="M20" s="85" t="n">
        <f>'Novusha Consulting Services Ind'!N8</f>
        <v>1</v>
      </c>
      <c r="N20" s="85" t="n">
        <f>'Novusha Consulting Services Ind'!O8</f>
        <v>16.5</v>
      </c>
      <c r="O20" s="87" t="str">
        <f>'Novusha Consulting Services Ind'!P8</f>
        <v>9h 0m</v>
      </c>
    </row>
    <row r="21" ht="34" customHeight="1">
      <c r="A21" s="82" t="str">
        <f>"NOVUSHA CONSULTING SERVICES INDIA LLP"</f>
        <v>NOVUSHA CONSULTING SERVICES INDIA LLP</v>
      </c>
      <c r="B21" s="82" t="str">
        <f>'Novusha Consulting Services Ind'!A9</f>
        <v>KRUPALI BUSA</v>
      </c>
      <c r="C21" s="85" t="n">
        <f>'Novusha Consulting Services Ind'!B9</f>
        <v>30</v>
      </c>
      <c r="D21" s="85" t="n">
        <f>'Novusha Consulting Services Ind'!C9</f>
        <v>22</v>
      </c>
      <c r="E21" s="85" t="n">
        <f>'Novusha Consulting Services Ind'!D9</f>
        <v>0</v>
      </c>
      <c r="F21" s="86" t="n">
        <f>'Novusha Consulting Services Ind'!E9</f>
        <v>0</v>
      </c>
      <c r="G21" s="86" t="n">
        <f>'Novusha Consulting Services Ind'!F9</f>
        <v>1</v>
      </c>
      <c r="H21" s="85" t="n">
        <f>'Novusha Consulting Services Ind'!G9</f>
        <v>1</v>
      </c>
      <c r="I21" s="85" t="n">
        <f>'Novusha Consulting Services Ind'!H9</f>
        <v>0</v>
      </c>
      <c r="J21" s="86" t="n">
        <f>'Novusha Consulting Services Ind'!I9</f>
        <v>6</v>
      </c>
      <c r="K21" s="86" t="n">
        <f>'Novusha Consulting Services Ind'!J9</f>
        <v>1</v>
      </c>
      <c r="L21" s="85" t="n">
        <f>'Novusha Consulting Services Ind'!M9</f>
        <v>13</v>
      </c>
      <c r="M21" s="85" t="n">
        <f>'Novusha Consulting Services Ind'!N9</f>
        <v>1</v>
      </c>
      <c r="N21" s="85" t="n">
        <f>'Novusha Consulting Services Ind'!O9</f>
        <v>12</v>
      </c>
      <c r="O21" s="87" t="str">
        <f>'Novusha Consulting Services Ind'!P9</f>
        <v>9h 0m</v>
      </c>
    </row>
    <row r="22" ht="34" customHeight="1">
      <c r="A22" s="82" t="str">
        <f>"NOVUSHA CONSULTING SERVICES INDIA LLP"</f>
        <v>NOVUSHA CONSULTING SERVICES INDIA LLP</v>
      </c>
      <c r="B22" s="82" t="str">
        <f>'Novusha Consulting Services Ind'!A10</f>
        <v>NIRALI SHAH</v>
      </c>
      <c r="C22" s="85" t="n">
        <f>'Novusha Consulting Services Ind'!B10</f>
        <v>0</v>
      </c>
      <c r="D22" s="85" t="n">
        <f>'Novusha Consulting Services Ind'!C10</f>
        <v>0</v>
      </c>
      <c r="E22" s="85" t="n">
        <f>'Novusha Consulting Services Ind'!D10</f>
        <v>26</v>
      </c>
      <c r="F22" s="86" t="n">
        <f>'Novusha Consulting Services Ind'!E10</f>
        <v>0</v>
      </c>
      <c r="G22" s="86" t="n">
        <f>'Novusha Consulting Services Ind'!F10</f>
        <v>0</v>
      </c>
      <c r="H22" s="85" t="n">
        <f>'Novusha Consulting Services Ind'!G10</f>
        <v>0</v>
      </c>
      <c r="I22" s="85" t="n">
        <f>'Novusha Consulting Services Ind'!H10</f>
        <v>4</v>
      </c>
      <c r="J22" s="86" t="n">
        <f>'Novusha Consulting Services Ind'!I10</f>
        <v>0</v>
      </c>
      <c r="K22" s="86" t="n">
        <f>'Novusha Consulting Services Ind'!J10</f>
        <v>0</v>
      </c>
      <c r="L22" s="85" t="n">
        <f>'Novusha Consulting Services Ind'!M10</f>
        <v>0</v>
      </c>
      <c r="M22" s="85" t="n">
        <f>'Novusha Consulting Services Ind'!N10</f>
        <v>0</v>
      </c>
      <c r="N22" s="85" t="n">
        <f>'Novusha Consulting Services Ind'!O10</f>
        <v>0</v>
      </c>
      <c r="O22" s="87" t="str">
        <f>'Novusha Consulting Services Ind'!P10</f>
        <v>0h 0m</v>
      </c>
    </row>
    <row r="23" ht="34" customHeight="1">
      <c r="A23" s="82" t="str">
        <f>"NOVUSHA CONSULTING SERVICES INDIA LLP"</f>
        <v>NOVUSHA CONSULTING SERVICES INDIA LLP</v>
      </c>
      <c r="B23" s="82" t="str">
        <f>'Novusha Consulting Services Ind'!A11</f>
        <v>PRADEEP KUMAR SINGH</v>
      </c>
      <c r="C23" s="85" t="n">
        <f>'Novusha Consulting Services Ind'!B11</f>
        <v>30</v>
      </c>
      <c r="D23" s="85" t="n">
        <f>'Novusha Consulting Services Ind'!C11</f>
        <v>23</v>
      </c>
      <c r="E23" s="85" t="n">
        <f>'Novusha Consulting Services Ind'!D11</f>
        <v>0</v>
      </c>
      <c r="F23" s="86" t="n">
        <f>'Novusha Consulting Services Ind'!E11</f>
        <v>0</v>
      </c>
      <c r="G23" s="86" t="n">
        <f>'Novusha Consulting Services Ind'!F11</f>
        <v>0</v>
      </c>
      <c r="H23" s="85" t="n">
        <f>'Novusha Consulting Services Ind'!G11</f>
        <v>0</v>
      </c>
      <c r="I23" s="85" t="n">
        <f>'Novusha Consulting Services Ind'!H11</f>
        <v>0</v>
      </c>
      <c r="J23" s="86" t="n">
        <f>'Novusha Consulting Services Ind'!I11</f>
        <v>6</v>
      </c>
      <c r="K23" s="86" t="n">
        <f>'Novusha Consulting Services Ind'!J11</f>
        <v>1</v>
      </c>
      <c r="L23" s="85" t="n">
        <f>'Novusha Consulting Services Ind'!M11</f>
        <v>0</v>
      </c>
      <c r="M23" s="85" t="n">
        <f>'Novusha Consulting Services Ind'!N11</f>
        <v>0</v>
      </c>
      <c r="N23" s="85" t="n">
        <f>'Novusha Consulting Services Ind'!O11</f>
        <v>0</v>
      </c>
      <c r="O23" s="87" t="str">
        <f>'Novusha Consulting Services Ind'!P11</f>
        <v>9h 18m</v>
      </c>
    </row>
    <row r="24" ht="34" customHeight="1">
      <c r="A24" s="82" t="str">
        <f>"NOVUSHA CONSULTING SERVICES INDIA LLP"</f>
        <v>NOVUSHA CONSULTING SERVICES INDIA LLP</v>
      </c>
      <c r="B24" s="82" t="str">
        <f>'Novusha Consulting Services Ind'!A12</f>
        <v>PUNIT PANDEY</v>
      </c>
      <c r="C24" s="85" t="n">
        <f>'Novusha Consulting Services Ind'!B12</f>
        <v>30</v>
      </c>
      <c r="D24" s="85" t="n">
        <f>'Novusha Consulting Services Ind'!C12</f>
        <v>23</v>
      </c>
      <c r="E24" s="85" t="n">
        <f>'Novusha Consulting Services Ind'!D12</f>
        <v>0</v>
      </c>
      <c r="F24" s="86" t="n">
        <f>'Novusha Consulting Services Ind'!E12</f>
        <v>0</v>
      </c>
      <c r="G24" s="86" t="n">
        <f>'Novusha Consulting Services Ind'!F12</f>
        <v>1</v>
      </c>
      <c r="H24" s="85" t="n">
        <f>'Novusha Consulting Services Ind'!G12</f>
        <v>1</v>
      </c>
      <c r="I24" s="85" t="n">
        <f>'Novusha Consulting Services Ind'!H12</f>
        <v>0</v>
      </c>
      <c r="J24" s="86" t="n">
        <f>'Novusha Consulting Services Ind'!I12</f>
        <v>5</v>
      </c>
      <c r="K24" s="86" t="n">
        <f>'Novusha Consulting Services Ind'!J12</f>
        <v>1</v>
      </c>
      <c r="L24" s="85" t="n">
        <f>'Novusha Consulting Services Ind'!M12</f>
        <v>13</v>
      </c>
      <c r="M24" s="85" t="n">
        <f>'Novusha Consulting Services Ind'!N12</f>
        <v>1</v>
      </c>
      <c r="N24" s="85" t="n">
        <f>'Novusha Consulting Services Ind'!O12</f>
        <v>12</v>
      </c>
      <c r="O24" s="87" t="str">
        <f>'Novusha Consulting Services Ind'!P12</f>
        <v>9h 12m</v>
      </c>
    </row>
    <row r="25" ht="34" customHeight="1">
      <c r="A25" s="82" t="str">
        <f>"NOVUSHA CONSULTING SERVICES INDIA LLP"</f>
        <v>NOVUSHA CONSULTING SERVICES INDIA LLP</v>
      </c>
      <c r="B25" s="82" t="str">
        <f>'Novusha Consulting Services Ind'!A13</f>
        <v>RAUF DAYMA</v>
      </c>
      <c r="C25" s="85" t="n">
        <f>'Novusha Consulting Services Ind'!B13</f>
        <v>30</v>
      </c>
      <c r="D25" s="85" t="n">
        <f>'Novusha Consulting Services Ind'!C13</f>
        <v>23</v>
      </c>
      <c r="E25" s="85" t="n">
        <f>'Novusha Consulting Services Ind'!D13</f>
        <v>0</v>
      </c>
      <c r="F25" s="86" t="n">
        <f>'Novusha Consulting Services Ind'!E13</f>
        <v>0</v>
      </c>
      <c r="G25" s="86" t="n">
        <f>'Novusha Consulting Services Ind'!F13</f>
        <v>0</v>
      </c>
      <c r="H25" s="85" t="n">
        <f>'Novusha Consulting Services Ind'!G13</f>
        <v>0</v>
      </c>
      <c r="I25" s="85" t="n">
        <f>'Novusha Consulting Services Ind'!H13</f>
        <v>0</v>
      </c>
      <c r="J25" s="86" t="n">
        <f>'Novusha Consulting Services Ind'!I13</f>
        <v>6</v>
      </c>
      <c r="K25" s="86" t="n">
        <f>'Novusha Consulting Services Ind'!J13</f>
        <v>1</v>
      </c>
      <c r="L25" s="85" t="n">
        <f>'Novusha Consulting Services Ind'!M13</f>
        <v>23</v>
      </c>
      <c r="M25" s="85" t="n">
        <f>'Novusha Consulting Services Ind'!N13</f>
        <v>0</v>
      </c>
      <c r="N25" s="85" t="n">
        <f>'Novusha Consulting Services Ind'!O13</f>
        <v>23</v>
      </c>
      <c r="O25" s="87" t="str">
        <f>'Novusha Consulting Services Ind'!P13</f>
        <v>9h 12m</v>
      </c>
    </row>
    <row r="26" ht="34" customHeight="1">
      <c r="A26" s="82" t="str">
        <f>"NOVUSHA CONSULTING SERVICES INDIA LLP"</f>
        <v>NOVUSHA CONSULTING SERVICES INDIA LLP</v>
      </c>
      <c r="B26" s="82" t="str">
        <f>'Novusha Consulting Services Ind'!A14</f>
        <v>RIYA SAINI</v>
      </c>
      <c r="C26" s="85" t="n">
        <f>'Novusha Consulting Services Ind'!B14</f>
        <v>0</v>
      </c>
      <c r="D26" s="85" t="n">
        <f>'Novusha Consulting Services Ind'!C14</f>
        <v>0</v>
      </c>
      <c r="E26" s="85" t="n">
        <f>'Novusha Consulting Services Ind'!D14</f>
        <v>26</v>
      </c>
      <c r="F26" s="86" t="n">
        <f>'Novusha Consulting Services Ind'!E14</f>
        <v>0</v>
      </c>
      <c r="G26" s="86" t="n">
        <f>'Novusha Consulting Services Ind'!F14</f>
        <v>0</v>
      </c>
      <c r="H26" s="85" t="n">
        <f>'Novusha Consulting Services Ind'!G14</f>
        <v>0</v>
      </c>
      <c r="I26" s="85" t="n">
        <f>'Novusha Consulting Services Ind'!H14</f>
        <v>4</v>
      </c>
      <c r="J26" s="86" t="n">
        <f>'Novusha Consulting Services Ind'!I14</f>
        <v>0</v>
      </c>
      <c r="K26" s="86" t="n">
        <f>'Novusha Consulting Services Ind'!J14</f>
        <v>0</v>
      </c>
      <c r="L26" s="85" t="n">
        <f>'Novusha Consulting Services Ind'!M14</f>
        <v>0</v>
      </c>
      <c r="M26" s="85" t="n">
        <f>'Novusha Consulting Services Ind'!N14</f>
        <v>0</v>
      </c>
      <c r="N26" s="85" t="n">
        <f>'Novusha Consulting Services Ind'!O14</f>
        <v>0</v>
      </c>
      <c r="O26" s="87" t="str">
        <f>'Novusha Consulting Services Ind'!P14</f>
        <v>0h 0m</v>
      </c>
    </row>
    <row r="27" ht="34" customHeight="1">
      <c r="A27" s="82" t="str">
        <f>"NOVUSHA CONSULTING SERVICES INDIA LLP"</f>
        <v>NOVUSHA CONSULTING SERVICES INDIA LLP</v>
      </c>
      <c r="B27" s="82" t="str">
        <f>'Novusha Consulting Services Ind'!A15</f>
        <v>SAIF ANSARI</v>
      </c>
      <c r="C27" s="85" t="n">
        <f>'Novusha Consulting Services Ind'!B15</f>
        <v>29</v>
      </c>
      <c r="D27" s="85" t="n">
        <f>'Novusha Consulting Services Ind'!C15</f>
        <v>22</v>
      </c>
      <c r="E27" s="85" t="n">
        <f>'Novusha Consulting Services Ind'!D15</f>
        <v>0</v>
      </c>
      <c r="F27" s="86" t="n">
        <f>'Novusha Consulting Services Ind'!E15</f>
        <v>0</v>
      </c>
      <c r="G27" s="86" t="n">
        <f>'Novusha Consulting Services Ind'!F15</f>
        <v>0</v>
      </c>
      <c r="H27" s="85" t="n">
        <f>'Novusha Consulting Services Ind'!G15</f>
        <v>0</v>
      </c>
      <c r="I27" s="85" t="n">
        <f>'Novusha Consulting Services Ind'!H15</f>
        <v>1</v>
      </c>
      <c r="J27" s="86" t="n">
        <f>'Novusha Consulting Services Ind'!I15</f>
        <v>6</v>
      </c>
      <c r="K27" s="86" t="n">
        <f>'Novusha Consulting Services Ind'!J15</f>
        <v>1</v>
      </c>
      <c r="L27" s="85" t="n">
        <f>'Novusha Consulting Services Ind'!M15</f>
        <v>0</v>
      </c>
      <c r="M27" s="85" t="n">
        <f>'Novusha Consulting Services Ind'!N15</f>
        <v>0</v>
      </c>
      <c r="N27" s="85" t="n">
        <f>'Novusha Consulting Services Ind'!O15</f>
        <v>0</v>
      </c>
      <c r="O27" s="87" t="str">
        <f>'Novusha Consulting Services Ind'!P15</f>
        <v>8h 54m</v>
      </c>
    </row>
    <row r="28" ht="34" customHeight="1">
      <c r="A28" s="82" t="str">
        <f>"NOVUSHA CONSULTING SERVICES INDIA LLP"</f>
        <v>NOVUSHA CONSULTING SERVICES INDIA LLP</v>
      </c>
      <c r="B28" s="82" t="str">
        <f>'Novusha Consulting Services Ind'!A16</f>
        <v>SHIPRA TRIPATHI</v>
      </c>
      <c r="C28" s="85" t="n">
        <f>'Novusha Consulting Services Ind'!B16</f>
        <v>30</v>
      </c>
      <c r="D28" s="85" t="n">
        <f>'Novusha Consulting Services Ind'!C16</f>
        <v>22</v>
      </c>
      <c r="E28" s="85" t="n">
        <f>'Novusha Consulting Services Ind'!D16</f>
        <v>0</v>
      </c>
      <c r="F28" s="86" t="n">
        <f>'Novusha Consulting Services Ind'!E16</f>
        <v>2</v>
      </c>
      <c r="G28" s="86" t="n">
        <f>'Novusha Consulting Services Ind'!F16</f>
        <v>0</v>
      </c>
      <c r="H28" s="85" t="n">
        <f>'Novusha Consulting Services Ind'!G16</f>
        <v>1</v>
      </c>
      <c r="I28" s="85" t="n">
        <f>'Novusha Consulting Services Ind'!H16</f>
        <v>0</v>
      </c>
      <c r="J28" s="86" t="n">
        <f>'Novusha Consulting Services Ind'!I16</f>
        <v>6</v>
      </c>
      <c r="K28" s="86" t="n">
        <f>'Novusha Consulting Services Ind'!J16</f>
        <v>1</v>
      </c>
      <c r="L28" s="85" t="n">
        <f>'Novusha Consulting Services Ind'!M16</f>
        <v>8</v>
      </c>
      <c r="M28" s="85" t="n">
        <f>'Novusha Consulting Services Ind'!N16</f>
        <v>1</v>
      </c>
      <c r="N28" s="85" t="n">
        <f>'Novusha Consulting Services Ind'!O16</f>
        <v>7</v>
      </c>
      <c r="O28" s="87" t="str">
        <f>'Novusha Consulting Services Ind'!P16</f>
        <v>9h 6m</v>
      </c>
    </row>
    <row r="29" ht="34" customHeight="1">
      <c r="A29" s="82" t="str">
        <f>"NOVUSHA CONSULTING SERVICES INDIA LLP"</f>
        <v>NOVUSHA CONSULTING SERVICES INDIA LLP</v>
      </c>
      <c r="B29" s="82" t="str">
        <f>'Novusha Consulting Services Ind'!A17</f>
        <v>YASH GUPTA</v>
      </c>
      <c r="C29" s="85" t="n">
        <f>'Novusha Consulting Services Ind'!B17</f>
        <v>30</v>
      </c>
      <c r="D29" s="85" t="n">
        <f>'Novusha Consulting Services Ind'!C17</f>
        <v>19</v>
      </c>
      <c r="E29" s="85" t="n">
        <f>'Novusha Consulting Services Ind'!D17</f>
        <v>0</v>
      </c>
      <c r="F29" s="86" t="n">
        <f>'Novusha Consulting Services Ind'!E17</f>
        <v>2</v>
      </c>
      <c r="G29" s="86" t="n">
        <f>'Novusha Consulting Services Ind'!F17</f>
        <v>3</v>
      </c>
      <c r="H29" s="85" t="n">
        <f>'Novusha Consulting Services Ind'!G17</f>
        <v>4</v>
      </c>
      <c r="I29" s="85" t="n">
        <f>'Novusha Consulting Services Ind'!H17</f>
        <v>0</v>
      </c>
      <c r="J29" s="86" t="n">
        <f>'Novusha Consulting Services Ind'!I17</f>
        <v>6</v>
      </c>
      <c r="K29" s="86" t="n">
        <f>'Novusha Consulting Services Ind'!J17</f>
        <v>1</v>
      </c>
      <c r="L29" s="85" t="n">
        <f>'Novusha Consulting Services Ind'!M17</f>
        <v>11</v>
      </c>
      <c r="M29" s="85" t="n">
        <f>'Novusha Consulting Services Ind'!N17</f>
        <v>4</v>
      </c>
      <c r="N29" s="85" t="n">
        <f>'Novusha Consulting Services Ind'!O17</f>
        <v>7</v>
      </c>
      <c r="O29" s="87" t="str">
        <f>'Novusha Consulting Services Ind'!P17</f>
        <v>9h 12m</v>
      </c>
    </row>
    <row r="30" ht="34" customHeight="1">
      <c r="A30" s="82" t="str">
        <f>"PARAMOUNT PROPACK PRIVATE LIMITED"</f>
        <v>PARAMOUNT PROPACK PRIVATE LIMITED</v>
      </c>
      <c r="B30" s="82" t="str">
        <f>'Paramount Propack Private Limit'!A5</f>
        <v>KRISHNAPAL PUVAR</v>
      </c>
      <c r="C30" s="85" t="n">
        <f>'Paramount Propack Private Limit'!B5</f>
        <v>0</v>
      </c>
      <c r="D30" s="85" t="n">
        <f>'Paramount Propack Private Limit'!C5</f>
        <v>0</v>
      </c>
      <c r="E30" s="85" t="n">
        <f>'Paramount Propack Private Limit'!D5</f>
        <v>24</v>
      </c>
      <c r="F30" s="86" t="n">
        <f>'Paramount Propack Private Limit'!E5</f>
        <v>0</v>
      </c>
      <c r="G30" s="86" t="n">
        <f>'Paramount Propack Private Limit'!F5</f>
        <v>0</v>
      </c>
      <c r="H30" s="85" t="n">
        <f>'Paramount Propack Private Limit'!G5</f>
        <v>0</v>
      </c>
      <c r="I30" s="85" t="n">
        <f>'Paramount Propack Private Limit'!H5</f>
        <v>6</v>
      </c>
      <c r="J30" s="86" t="n">
        <f>'Paramount Propack Private Limit'!I5</f>
        <v>0</v>
      </c>
      <c r="K30" s="86" t="n">
        <f>'Paramount Propack Private Limit'!J5</f>
        <v>0</v>
      </c>
      <c r="L30" s="85" t="n">
        <f>'Paramount Propack Private Limit'!M5</f>
        <v>18.5</v>
      </c>
      <c r="M30" s="85" t="n">
        <f>'Paramount Propack Private Limit'!N5</f>
        <v>0</v>
      </c>
      <c r="N30" s="85" t="n">
        <f>'Paramount Propack Private Limit'!O5</f>
        <v>18.5</v>
      </c>
      <c r="O30" s="87" t="str">
        <f>'Paramount Propack Private Limit'!P5</f>
        <v>0h 0m</v>
      </c>
    </row>
    <row r="31" ht="34" customHeight="1">
      <c r="A31" s="82" t="str">
        <f>"PARAMOUNT PROPACK PRIVATE LIMITED"</f>
        <v>PARAMOUNT PROPACK PRIVATE LIMITED</v>
      </c>
      <c r="B31" s="82" t="str">
        <f>'Paramount Propack Private Limit'!A6</f>
        <v>PRATIK SAKRECHA</v>
      </c>
      <c r="C31" s="85" t="n">
        <f>'Paramount Propack Private Limit'!B6</f>
        <v>30</v>
      </c>
      <c r="D31" s="85" t="n">
        <f>'Paramount Propack Private Limit'!C6</f>
        <v>23</v>
      </c>
      <c r="E31" s="85" t="n">
        <f>'Paramount Propack Private Limit'!D6</f>
        <v>0</v>
      </c>
      <c r="F31" s="86" t="n">
        <f>'Paramount Propack Private Limit'!E6</f>
        <v>0</v>
      </c>
      <c r="G31" s="86" t="n">
        <f>'Paramount Propack Private Limit'!F6</f>
        <v>1</v>
      </c>
      <c r="H31" s="85" t="n">
        <f>'Paramount Propack Private Limit'!G6</f>
        <v>1</v>
      </c>
      <c r="I31" s="85" t="n">
        <f>'Paramount Propack Private Limit'!H6</f>
        <v>0</v>
      </c>
      <c r="J31" s="86" t="n">
        <f>'Paramount Propack Private Limit'!I6</f>
        <v>5</v>
      </c>
      <c r="K31" s="86" t="n">
        <f>'Paramount Propack Private Limit'!J6</f>
        <v>1</v>
      </c>
      <c r="L31" s="85" t="n">
        <f>'Paramount Propack Private Limit'!M6</f>
        <v>18</v>
      </c>
      <c r="M31" s="85" t="n">
        <f>'Paramount Propack Private Limit'!N6</f>
        <v>1</v>
      </c>
      <c r="N31" s="85" t="n">
        <f>'Paramount Propack Private Limit'!O6</f>
        <v>17</v>
      </c>
      <c r="O31" s="87" t="str">
        <f>'Paramount Propack Private Limit'!P6</f>
        <v>9h 12m</v>
      </c>
    </row>
    <row r="32" ht="34" customHeight="1">
      <c r="A32" s="82" t="str">
        <f>"SANSAR TRADELINK"</f>
        <v>SANSAR TRADELINK</v>
      </c>
      <c r="B32" s="82" t="str">
        <f>'Sansar Tradelink'!A5</f>
        <v>AKASH PARMAR</v>
      </c>
      <c r="C32" s="85" t="n">
        <f>'Sansar Tradelink'!B5</f>
        <v>30</v>
      </c>
      <c r="D32" s="85" t="n">
        <f>'Sansar Tradelink'!C5</f>
        <v>22</v>
      </c>
      <c r="E32" s="85" t="n">
        <f>'Sansar Tradelink'!D5</f>
        <v>0</v>
      </c>
      <c r="F32" s="86" t="n">
        <f>'Sansar Tradelink'!E5</f>
        <v>0</v>
      </c>
      <c r="G32" s="86" t="n">
        <f>'Sansar Tradelink'!F5</f>
        <v>2</v>
      </c>
      <c r="H32" s="85" t="n">
        <f>'Sansar Tradelink'!G5</f>
        <v>2</v>
      </c>
      <c r="I32" s="85" t="n">
        <f>'Sansar Tradelink'!H5</f>
        <v>0</v>
      </c>
      <c r="J32" s="86" t="n">
        <f>'Sansar Tradelink'!I5</f>
        <v>5</v>
      </c>
      <c r="K32" s="86" t="n">
        <f>'Sansar Tradelink'!J5</f>
        <v>1</v>
      </c>
      <c r="L32" s="85" t="n">
        <f>'Sansar Tradelink'!M5</f>
        <v>20.5</v>
      </c>
      <c r="M32" s="85" t="n">
        <f>'Sansar Tradelink'!N5</f>
        <v>2</v>
      </c>
      <c r="N32" s="85" t="n">
        <f>'Sansar Tradelink'!O5</f>
        <v>18.5</v>
      </c>
      <c r="O32" s="87" t="str">
        <f>'Sansar Tradelink'!P5</f>
        <v>9h 6m</v>
      </c>
    </row>
    <row r="33" ht="34" customHeight="1">
      <c r="A33" s="82" t="str">
        <f>"SANSAR TRADELINK"</f>
        <v>SANSAR TRADELINK</v>
      </c>
      <c r="B33" s="82" t="str">
        <f>'Sansar Tradelink'!A6</f>
        <v>BHOOMI MISTRY</v>
      </c>
      <c r="C33" s="85" t="n">
        <f>'Sansar Tradelink'!B6</f>
        <v>30</v>
      </c>
      <c r="D33" s="85" t="n">
        <f>'Sansar Tradelink'!C6</f>
        <v>22.5</v>
      </c>
      <c r="E33" s="85" t="n">
        <f>'Sansar Tradelink'!D6</f>
        <v>0</v>
      </c>
      <c r="F33" s="86" t="n">
        <f>'Sansar Tradelink'!E6</f>
        <v>1</v>
      </c>
      <c r="G33" s="86" t="n">
        <f>'Sansar Tradelink'!F6</f>
        <v>1</v>
      </c>
      <c r="H33" s="85" t="n">
        <f>'Sansar Tradelink'!G6</f>
        <v>1.5</v>
      </c>
      <c r="I33" s="85" t="n">
        <f>'Sansar Tradelink'!H6</f>
        <v>0</v>
      </c>
      <c r="J33" s="86" t="n">
        <f>'Sansar Tradelink'!I6</f>
        <v>5</v>
      </c>
      <c r="K33" s="86" t="n">
        <f>'Sansar Tradelink'!J6</f>
        <v>1</v>
      </c>
      <c r="L33" s="85" t="n">
        <f>'Sansar Tradelink'!M6</f>
        <v>21</v>
      </c>
      <c r="M33" s="85" t="n">
        <f>'Sansar Tradelink'!N6</f>
        <v>1.5</v>
      </c>
      <c r="N33" s="85" t="n">
        <f>'Sansar Tradelink'!O6</f>
        <v>19.5</v>
      </c>
      <c r="O33" s="87" t="str">
        <f>'Sansar Tradelink'!P6</f>
        <v>9h 6m</v>
      </c>
    </row>
    <row r="34" ht="34" customHeight="1">
      <c r="A34" s="82" t="str">
        <f>"SANSAR TRADELINK"</f>
        <v>SANSAR TRADELINK</v>
      </c>
      <c r="B34" s="82" t="str">
        <f>'Sansar Tradelink'!A7</f>
        <v>DEEPIKA  MAKWANA</v>
      </c>
      <c r="C34" s="85" t="n">
        <f>'Sansar Tradelink'!B7</f>
        <v>30</v>
      </c>
      <c r="D34" s="85" t="n">
        <f>'Sansar Tradelink'!C7</f>
        <v>19.5</v>
      </c>
      <c r="E34" s="85" t="n">
        <f>'Sansar Tradelink'!D7</f>
        <v>0</v>
      </c>
      <c r="F34" s="86" t="n">
        <f>'Sansar Tradelink'!E7</f>
        <v>1</v>
      </c>
      <c r="G34" s="86" t="n">
        <f>'Sansar Tradelink'!F7</f>
        <v>5</v>
      </c>
      <c r="H34" s="85" t="n">
        <f>'Sansar Tradelink'!G7</f>
        <v>5.5</v>
      </c>
      <c r="I34" s="85" t="n">
        <f>'Sansar Tradelink'!H7</f>
        <v>0</v>
      </c>
      <c r="J34" s="86" t="n">
        <f>'Sansar Tradelink'!I7</f>
        <v>5</v>
      </c>
      <c r="K34" s="86" t="n">
        <f>'Sansar Tradelink'!J7</f>
        <v>0</v>
      </c>
      <c r="L34" s="85" t="n">
        <f>'Sansar Tradelink'!M7</f>
        <v>18.5</v>
      </c>
      <c r="M34" s="85" t="n">
        <f>'Sansar Tradelink'!N7</f>
        <v>5.5</v>
      </c>
      <c r="N34" s="85" t="n">
        <f>'Sansar Tradelink'!O7</f>
        <v>13</v>
      </c>
      <c r="O34" s="87" t="str">
        <f>'Sansar Tradelink'!P7</f>
        <v>8h 54m</v>
      </c>
    </row>
    <row r="35" ht="34" customHeight="1">
      <c r="A35" s="82" t="str">
        <f>"SANSAR TRADELINK"</f>
        <v>SANSAR TRADELINK</v>
      </c>
      <c r="B35" s="82" t="str">
        <f>'Sansar Tradelink'!A8</f>
        <v>DIXITA SEVRA</v>
      </c>
      <c r="C35" s="85" t="n">
        <f>'Sansar Tradelink'!B8</f>
        <v>30</v>
      </c>
      <c r="D35" s="85" t="n">
        <f>'Sansar Tradelink'!C8</f>
        <v>20</v>
      </c>
      <c r="E35" s="85" t="n">
        <f>'Sansar Tradelink'!D8</f>
        <v>0</v>
      </c>
      <c r="F35" s="86" t="n">
        <f>'Sansar Tradelink'!E8</f>
        <v>0</v>
      </c>
      <c r="G35" s="86" t="n">
        <f>'Sansar Tradelink'!F8</f>
        <v>6</v>
      </c>
      <c r="H35" s="85" t="n">
        <f>'Sansar Tradelink'!G8</f>
        <v>6</v>
      </c>
      <c r="I35" s="85" t="n">
        <f>'Sansar Tradelink'!H8</f>
        <v>0</v>
      </c>
      <c r="J35" s="86" t="n">
        <f>'Sansar Tradelink'!I8</f>
        <v>4</v>
      </c>
      <c r="K35" s="86" t="n">
        <f>'Sansar Tradelink'!J8</f>
        <v>0</v>
      </c>
      <c r="L35" s="85" t="n">
        <f>'Sansar Tradelink'!M8</f>
        <v>13.5</v>
      </c>
      <c r="M35" s="85" t="n">
        <f>'Sansar Tradelink'!N8</f>
        <v>6</v>
      </c>
      <c r="N35" s="85" t="n">
        <f>'Sansar Tradelink'!O8</f>
        <v>7.5</v>
      </c>
      <c r="O35" s="87" t="str">
        <f>'Sansar Tradelink'!P8</f>
        <v>9h 0m</v>
      </c>
    </row>
    <row r="36" ht="34" customHeight="1">
      <c r="A36" s="82" t="str">
        <f>"SANSAR TRADELINK"</f>
        <v>SANSAR TRADELINK</v>
      </c>
      <c r="B36" s="82" t="str">
        <f>'Sansar Tradelink'!A9</f>
        <v>HIMANSHU SINGH</v>
      </c>
      <c r="C36" s="85" t="n">
        <f>'Sansar Tradelink'!B9</f>
        <v>29.5</v>
      </c>
      <c r="D36" s="85" t="n">
        <f>'Sansar Tradelink'!C9</f>
        <v>23.5</v>
      </c>
      <c r="E36" s="85" t="n">
        <f>'Sansar Tradelink'!D9</f>
        <v>0.5</v>
      </c>
      <c r="F36" s="86" t="n">
        <f>'Sansar Tradelink'!E9</f>
        <v>0</v>
      </c>
      <c r="G36" s="86" t="n">
        <f>'Sansar Tradelink'!F9</f>
        <v>0</v>
      </c>
      <c r="H36" s="85" t="n">
        <f>'Sansar Tradelink'!G9</f>
        <v>0</v>
      </c>
      <c r="I36" s="85" t="n">
        <f>'Sansar Tradelink'!H9</f>
        <v>0</v>
      </c>
      <c r="J36" s="86" t="n">
        <f>'Sansar Tradelink'!I9</f>
        <v>5</v>
      </c>
      <c r="K36" s="86" t="n">
        <f>'Sansar Tradelink'!J9</f>
        <v>1</v>
      </c>
      <c r="L36" s="85" t="n">
        <f>'Sansar Tradelink'!M9</f>
        <v>24.5</v>
      </c>
      <c r="M36" s="85" t="n">
        <f>'Sansar Tradelink'!N9</f>
        <v>0</v>
      </c>
      <c r="N36" s="85" t="n">
        <f>'Sansar Tradelink'!O9</f>
        <v>24.5</v>
      </c>
      <c r="O36" s="87" t="str">
        <f>'Sansar Tradelink'!P9</f>
        <v>9h 24m</v>
      </c>
    </row>
    <row r="37" ht="34" customHeight="1">
      <c r="A37" s="82" t="str">
        <f>"SANSAR TRADELINK"</f>
        <v>SANSAR TRADELINK</v>
      </c>
      <c r="B37" s="82" t="str">
        <f>'Sansar Tradelink'!A10</f>
        <v>JAY KACHA</v>
      </c>
      <c r="C37" s="85" t="n">
        <f>'Sansar Tradelink'!B10</f>
        <v>30</v>
      </c>
      <c r="D37" s="85" t="n">
        <f>'Sansar Tradelink'!C10</f>
        <v>23</v>
      </c>
      <c r="E37" s="85" t="n">
        <f>'Sansar Tradelink'!D10</f>
        <v>0</v>
      </c>
      <c r="F37" s="86" t="n">
        <f>'Sansar Tradelink'!E10</f>
        <v>0</v>
      </c>
      <c r="G37" s="86" t="n">
        <f>'Sansar Tradelink'!F10</f>
        <v>2</v>
      </c>
      <c r="H37" s="85" t="n">
        <f>'Sansar Tradelink'!G10</f>
        <v>2</v>
      </c>
      <c r="I37" s="85" t="n">
        <f>'Sansar Tradelink'!H10</f>
        <v>0</v>
      </c>
      <c r="J37" s="86" t="n">
        <f>'Sansar Tradelink'!I10</f>
        <v>5</v>
      </c>
      <c r="K37" s="86" t="n">
        <f>'Sansar Tradelink'!J10</f>
        <v>0</v>
      </c>
      <c r="L37" s="85" t="n">
        <f>'Sansar Tradelink'!M10</f>
        <v>14.5</v>
      </c>
      <c r="M37" s="85" t="n">
        <f>'Sansar Tradelink'!N10</f>
        <v>2</v>
      </c>
      <c r="N37" s="85" t="n">
        <f>'Sansar Tradelink'!O10</f>
        <v>12.5</v>
      </c>
      <c r="O37" s="87" t="str">
        <f>'Sansar Tradelink'!P10</f>
        <v>9h 6m</v>
      </c>
    </row>
    <row r="38" ht="34" customHeight="1">
      <c r="A38" s="82" t="str">
        <f>"SANSAR TRADELINK"</f>
        <v>SANSAR TRADELINK</v>
      </c>
      <c r="B38" s="82" t="str">
        <f>'Sansar Tradelink'!A11</f>
        <v>JEEVAN DRAVID</v>
      </c>
      <c r="C38" s="85" t="n">
        <f>'Sansar Tradelink'!B11</f>
        <v>30</v>
      </c>
      <c r="D38" s="85" t="n">
        <f>'Sansar Tradelink'!C11</f>
        <v>22</v>
      </c>
      <c r="E38" s="85" t="n">
        <f>'Sansar Tradelink'!D11</f>
        <v>0</v>
      </c>
      <c r="F38" s="86" t="n">
        <f>'Sansar Tradelink'!E11</f>
        <v>0</v>
      </c>
      <c r="G38" s="86" t="n">
        <f>'Sansar Tradelink'!F11</f>
        <v>2</v>
      </c>
      <c r="H38" s="85" t="n">
        <f>'Sansar Tradelink'!G11</f>
        <v>2</v>
      </c>
      <c r="I38" s="85" t="n">
        <f>'Sansar Tradelink'!H11</f>
        <v>0</v>
      </c>
      <c r="J38" s="86" t="n">
        <f>'Sansar Tradelink'!I11</f>
        <v>5</v>
      </c>
      <c r="K38" s="86" t="n">
        <f>'Sansar Tradelink'!J11</f>
        <v>1</v>
      </c>
      <c r="L38" s="85" t="n">
        <f>'Sansar Tradelink'!M11</f>
        <v>16</v>
      </c>
      <c r="M38" s="85" t="n">
        <f>'Sansar Tradelink'!N11</f>
        <v>2</v>
      </c>
      <c r="N38" s="85" t="n">
        <f>'Sansar Tradelink'!O11</f>
        <v>14</v>
      </c>
      <c r="O38" s="87" t="str">
        <f>'Sansar Tradelink'!P11</f>
        <v>9h 18m</v>
      </c>
    </row>
    <row r="39" ht="34" customHeight="1">
      <c r="A39" s="82" t="str">
        <f>"SANSAR TRADELINK"</f>
        <v>SANSAR TRADELINK</v>
      </c>
      <c r="B39" s="82" t="str">
        <f>'Sansar Tradelink'!A12</f>
        <v>JIMMY  MAKWANA</v>
      </c>
      <c r="C39" s="85" t="n">
        <f>'Sansar Tradelink'!B12</f>
        <v>29</v>
      </c>
      <c r="D39" s="85" t="n">
        <f>'Sansar Tradelink'!C12</f>
        <v>23</v>
      </c>
      <c r="E39" s="85" t="n">
        <f>'Sansar Tradelink'!D12</f>
        <v>0</v>
      </c>
      <c r="F39" s="86" t="n">
        <f>'Sansar Tradelink'!E12</f>
        <v>0</v>
      </c>
      <c r="G39" s="86" t="n">
        <f>'Sansar Tradelink'!F12</f>
        <v>0</v>
      </c>
      <c r="H39" s="85" t="n">
        <f>'Sansar Tradelink'!G12</f>
        <v>0</v>
      </c>
      <c r="I39" s="85" t="n">
        <f>'Sansar Tradelink'!H12</f>
        <v>1</v>
      </c>
      <c r="J39" s="86" t="n">
        <f>'Sansar Tradelink'!I12</f>
        <v>5</v>
      </c>
      <c r="K39" s="86" t="n">
        <f>'Sansar Tradelink'!J12</f>
        <v>1</v>
      </c>
      <c r="L39" s="85" t="n">
        <f>'Sansar Tradelink'!M12</f>
        <v>0</v>
      </c>
      <c r="M39" s="85" t="n">
        <f>'Sansar Tradelink'!N12</f>
        <v>0</v>
      </c>
      <c r="N39" s="85" t="n">
        <f>'Sansar Tradelink'!O12</f>
        <v>0</v>
      </c>
      <c r="O39" s="87" t="str">
        <f>'Sansar Tradelink'!P12</f>
        <v>9h 42m</v>
      </c>
    </row>
    <row r="40" ht="34" customHeight="1">
      <c r="A40" s="82" t="str">
        <f>"SANSAR TRADELINK"</f>
        <v>SANSAR TRADELINK</v>
      </c>
      <c r="B40" s="82" t="str">
        <f>'Sansar Tradelink'!A13</f>
        <v>MANOJ ADIDRAVID</v>
      </c>
      <c r="C40" s="85" t="n">
        <f>'Sansar Tradelink'!B13</f>
        <v>29</v>
      </c>
      <c r="D40" s="85" t="n">
        <f>'Sansar Tradelink'!C13</f>
        <v>23</v>
      </c>
      <c r="E40" s="85" t="n">
        <f>'Sansar Tradelink'!D13</f>
        <v>0</v>
      </c>
      <c r="F40" s="86" t="n">
        <f>'Sansar Tradelink'!E13</f>
        <v>0</v>
      </c>
      <c r="G40" s="86" t="n">
        <f>'Sansar Tradelink'!F13</f>
        <v>0</v>
      </c>
      <c r="H40" s="85" t="n">
        <f>'Sansar Tradelink'!G13</f>
        <v>0</v>
      </c>
      <c r="I40" s="85" t="n">
        <f>'Sansar Tradelink'!H13</f>
        <v>1</v>
      </c>
      <c r="J40" s="86" t="n">
        <f>'Sansar Tradelink'!I13</f>
        <v>5</v>
      </c>
      <c r="K40" s="86" t="n">
        <f>'Sansar Tradelink'!J13</f>
        <v>1</v>
      </c>
      <c r="L40" s="85" t="n">
        <f>'Sansar Tradelink'!M13</f>
        <v>10</v>
      </c>
      <c r="M40" s="85" t="n">
        <f>'Sansar Tradelink'!N13</f>
        <v>0</v>
      </c>
      <c r="N40" s="85" t="n">
        <f>'Sansar Tradelink'!O13</f>
        <v>10</v>
      </c>
      <c r="O40" s="87" t="str">
        <f>'Sansar Tradelink'!P13</f>
        <v>8h 48m</v>
      </c>
    </row>
    <row r="41" ht="34" customHeight="1">
      <c r="A41" s="82" t="str">
        <f>"SANSAR TRADELINK"</f>
        <v>SANSAR TRADELINK</v>
      </c>
      <c r="B41" s="82" t="str">
        <f>'Sansar Tradelink'!A14</f>
        <v>PARTH SOLANKI</v>
      </c>
      <c r="C41" s="85" t="n">
        <f>'Sansar Tradelink'!B14</f>
        <v>30</v>
      </c>
      <c r="D41" s="85" t="n">
        <f>'Sansar Tradelink'!C14</f>
        <v>24</v>
      </c>
      <c r="E41" s="85" t="n">
        <f>'Sansar Tradelink'!D14</f>
        <v>0</v>
      </c>
      <c r="F41" s="86" t="n">
        <f>'Sansar Tradelink'!E14</f>
        <v>0</v>
      </c>
      <c r="G41" s="86" t="n">
        <f>'Sansar Tradelink'!F14</f>
        <v>1</v>
      </c>
      <c r="H41" s="85" t="n">
        <f>'Sansar Tradelink'!G14</f>
        <v>1</v>
      </c>
      <c r="I41" s="85" t="n">
        <f>'Sansar Tradelink'!H14</f>
        <v>0</v>
      </c>
      <c r="J41" s="86" t="n">
        <f>'Sansar Tradelink'!I14</f>
        <v>4</v>
      </c>
      <c r="K41" s="86" t="n">
        <f>'Sansar Tradelink'!J14</f>
        <v>1</v>
      </c>
      <c r="L41" s="85" t="n">
        <f>'Sansar Tradelink'!M14</f>
        <v>40.5</v>
      </c>
      <c r="M41" s="85" t="n">
        <f>'Sansar Tradelink'!N14</f>
        <v>1</v>
      </c>
      <c r="N41" s="85" t="n">
        <f>'Sansar Tradelink'!O14</f>
        <v>39.5</v>
      </c>
      <c r="O41" s="87" t="str">
        <f>'Sansar Tradelink'!P14</f>
        <v>9h 12m</v>
      </c>
    </row>
    <row r="42" ht="34" customHeight="1">
      <c r="A42" s="82" t="str">
        <f>"SANSAR TRADELINK"</f>
        <v>SANSAR TRADELINK</v>
      </c>
      <c r="B42" s="82" t="str">
        <f>'Sansar Tradelink'!A15</f>
        <v>SRUTHI NAIR</v>
      </c>
      <c r="C42" s="85" t="n">
        <f>'Sansar Tradelink'!B15</f>
        <v>30</v>
      </c>
      <c r="D42" s="85" t="n">
        <f>'Sansar Tradelink'!C15</f>
        <v>20</v>
      </c>
      <c r="E42" s="85" t="n">
        <f>'Sansar Tradelink'!D15</f>
        <v>0</v>
      </c>
      <c r="F42" s="86" t="n">
        <f>'Sansar Tradelink'!E15</f>
        <v>0</v>
      </c>
      <c r="G42" s="86" t="n">
        <f>'Sansar Tradelink'!F15</f>
        <v>4</v>
      </c>
      <c r="H42" s="85" t="n">
        <f>'Sansar Tradelink'!G15</f>
        <v>4</v>
      </c>
      <c r="I42" s="85" t="n">
        <f>'Sansar Tradelink'!H15</f>
        <v>0</v>
      </c>
      <c r="J42" s="86" t="n">
        <f>'Sansar Tradelink'!I15</f>
        <v>5</v>
      </c>
      <c r="K42" s="86" t="n">
        <f>'Sansar Tradelink'!J15</f>
        <v>1</v>
      </c>
      <c r="L42" s="85" t="n">
        <f>'Sansar Tradelink'!M15</f>
        <v>19.5</v>
      </c>
      <c r="M42" s="85" t="n">
        <f>'Sansar Tradelink'!N15</f>
        <v>4</v>
      </c>
      <c r="N42" s="85" t="n">
        <f>'Sansar Tradelink'!O15</f>
        <v>15.5</v>
      </c>
      <c r="O42" s="87" t="str">
        <f>'Sansar Tradelink'!P15</f>
        <v>8h 54m</v>
      </c>
    </row>
    <row r="43" ht="34" customHeight="1">
      <c r="A43" s="82" t="str">
        <f>"SR CONTAINER CARRIERS"</f>
        <v>SR CONTAINER CARRIERS</v>
      </c>
      <c r="B43" s="82" t="str">
        <f>'SR Container Carriers'!A5</f>
        <v>ADARSH SINGH</v>
      </c>
      <c r="C43" s="85" t="n">
        <f>'SR Container Carriers'!B5</f>
        <v>30</v>
      </c>
      <c r="D43" s="85" t="n">
        <f>'SR Container Carriers'!C5</f>
        <v>25</v>
      </c>
      <c r="E43" s="85" t="n">
        <f>'SR Container Carriers'!D5</f>
        <v>0</v>
      </c>
      <c r="F43" s="86" t="n">
        <f>'SR Container Carriers'!E5</f>
        <v>0</v>
      </c>
      <c r="G43" s="86" t="n">
        <f>'SR Container Carriers'!F5</f>
        <v>0</v>
      </c>
      <c r="H43" s="85" t="n">
        <f>'SR Container Carriers'!G5</f>
        <v>0</v>
      </c>
      <c r="I43" s="85" t="n">
        <f>'SR Container Carriers'!H5</f>
        <v>0</v>
      </c>
      <c r="J43" s="86" t="n">
        <f>'SR Container Carriers'!I5</f>
        <v>4</v>
      </c>
      <c r="K43" s="86" t="n">
        <f>'SR Container Carriers'!J5</f>
        <v>1</v>
      </c>
      <c r="L43" s="85" t="n">
        <f>'SR Container Carriers'!M5</f>
        <v>30</v>
      </c>
      <c r="M43" s="85" t="n">
        <f>'SR Container Carriers'!N5</f>
        <v>0</v>
      </c>
      <c r="N43" s="85" t="n">
        <f>'SR Container Carriers'!O5</f>
        <v>30</v>
      </c>
      <c r="O43" s="87" t="str">
        <f>'SR Container Carriers'!P5</f>
        <v>8h 36m</v>
      </c>
    </row>
    <row r="44" ht="34" customHeight="1">
      <c r="A44" s="82" t="str">
        <f>"SR CONTAINER CARRIERS"</f>
        <v>SR CONTAINER CARRIERS</v>
      </c>
      <c r="B44" s="82" t="str">
        <f>'SR Container Carriers'!A6</f>
        <v>AFTAB BELIM</v>
      </c>
      <c r="C44" s="85" t="n">
        <f>'SR Container Carriers'!B6</f>
        <v>16</v>
      </c>
      <c r="D44" s="85" t="n">
        <f>'SR Container Carriers'!C6</f>
        <v>12</v>
      </c>
      <c r="E44" s="85" t="n">
        <f>'SR Container Carriers'!D6</f>
        <v>0</v>
      </c>
      <c r="F44" s="86" t="n">
        <f>'SR Container Carriers'!E6</f>
        <v>0</v>
      </c>
      <c r="G44" s="86" t="n">
        <f>'SR Container Carriers'!F6</f>
        <v>0</v>
      </c>
      <c r="H44" s="85" t="n">
        <f>'SR Container Carriers'!G6</f>
        <v>0</v>
      </c>
      <c r="I44" s="85" t="n">
        <f>'SR Container Carriers'!H6</f>
        <v>4</v>
      </c>
      <c r="J44" s="86" t="n">
        <f>'SR Container Carriers'!I6</f>
        <v>4</v>
      </c>
      <c r="K44" s="86" t="n">
        <f>'SR Container Carriers'!J6</f>
        <v>0</v>
      </c>
      <c r="L44" s="85" t="n">
        <f>'SR Container Carriers'!M6</f>
        <v>0</v>
      </c>
      <c r="M44" s="85" t="n">
        <f>'SR Container Carriers'!N6</f>
        <v>0</v>
      </c>
      <c r="N44" s="85" t="n">
        <f>'SR Container Carriers'!O6</f>
        <v>0</v>
      </c>
      <c r="O44" s="87" t="str">
        <f>'SR Container Carriers'!P6</f>
        <v>8h 54m</v>
      </c>
    </row>
    <row r="45" ht="34" customHeight="1">
      <c r="A45" s="82" t="str">
        <f>"SR CONTAINER CARRIERS"</f>
        <v>SR CONTAINER CARRIERS</v>
      </c>
      <c r="B45" s="82" t="str">
        <f>'SR Container Carriers'!A7</f>
        <v>AJAY SINGH</v>
      </c>
      <c r="C45" s="85" t="n">
        <f>'SR Container Carriers'!B7</f>
        <v>30</v>
      </c>
      <c r="D45" s="85" t="n">
        <f>'SR Container Carriers'!C7</f>
        <v>26</v>
      </c>
      <c r="E45" s="85" t="n">
        <f>'SR Container Carriers'!D7</f>
        <v>0</v>
      </c>
      <c r="F45" s="86" t="n">
        <f>'SR Container Carriers'!E7</f>
        <v>0</v>
      </c>
      <c r="G45" s="86" t="n">
        <f>'SR Container Carriers'!F7</f>
        <v>0</v>
      </c>
      <c r="H45" s="85" t="n">
        <f>'SR Container Carriers'!G7</f>
        <v>0</v>
      </c>
      <c r="I45" s="85" t="n">
        <f>'SR Container Carriers'!H7</f>
        <v>0</v>
      </c>
      <c r="J45" s="86" t="n">
        <f>'SR Container Carriers'!I7</f>
        <v>3</v>
      </c>
      <c r="K45" s="86" t="n">
        <f>'SR Container Carriers'!J7</f>
        <v>1</v>
      </c>
      <c r="L45" s="85" t="n">
        <f>'SR Container Carriers'!M7</f>
        <v>24</v>
      </c>
      <c r="M45" s="85" t="n">
        <f>'SR Container Carriers'!N7</f>
        <v>0</v>
      </c>
      <c r="N45" s="85" t="n">
        <f>'SR Container Carriers'!O7</f>
        <v>24</v>
      </c>
      <c r="O45" s="87" t="str">
        <f>'SR Container Carriers'!P7</f>
        <v>9h 18m</v>
      </c>
    </row>
    <row r="46" ht="34" customHeight="1">
      <c r="A46" s="82" t="str">
        <f>"SR CONTAINER CARRIERS"</f>
        <v>SR CONTAINER CARRIERS</v>
      </c>
      <c r="B46" s="82" t="str">
        <f>'SR Container Carriers'!A8</f>
        <v>AVINASH  PANDEY</v>
      </c>
      <c r="C46" s="85" t="n">
        <f>'SR Container Carriers'!B8</f>
        <v>30</v>
      </c>
      <c r="D46" s="85" t="n">
        <f>'SR Container Carriers'!C8</f>
        <v>22</v>
      </c>
      <c r="E46" s="85" t="n">
        <f>'SR Container Carriers'!D8</f>
        <v>0</v>
      </c>
      <c r="F46" s="86" t="n">
        <f>'SR Container Carriers'!E8</f>
        <v>0</v>
      </c>
      <c r="G46" s="86" t="n">
        <f>'SR Container Carriers'!F8</f>
        <v>2</v>
      </c>
      <c r="H46" s="85" t="n">
        <f>'SR Container Carriers'!G8</f>
        <v>2</v>
      </c>
      <c r="I46" s="85" t="n">
        <f>'SR Container Carriers'!H8</f>
        <v>0</v>
      </c>
      <c r="J46" s="86" t="n">
        <f>'SR Container Carriers'!I8</f>
        <v>5</v>
      </c>
      <c r="K46" s="86" t="n">
        <f>'SR Container Carriers'!J8</f>
        <v>1</v>
      </c>
      <c r="L46" s="85" t="n">
        <f>'SR Container Carriers'!M8</f>
        <v>13</v>
      </c>
      <c r="M46" s="85" t="n">
        <f>'SR Container Carriers'!N8</f>
        <v>2</v>
      </c>
      <c r="N46" s="85" t="n">
        <f>'SR Container Carriers'!O8</f>
        <v>11</v>
      </c>
      <c r="O46" s="87" t="str">
        <f>'SR Container Carriers'!P8</f>
        <v>9h 54m</v>
      </c>
    </row>
    <row r="47" ht="34" customHeight="1">
      <c r="A47" s="82" t="str">
        <f>"SR CONTAINER CARRIERS"</f>
        <v>SR CONTAINER CARRIERS</v>
      </c>
      <c r="B47" s="82" t="str">
        <f>'SR Container Carriers'!A9</f>
        <v>AYAN CHAUHAN</v>
      </c>
      <c r="C47" s="85" t="n">
        <f>'SR Container Carriers'!B9</f>
        <v>30</v>
      </c>
      <c r="D47" s="85" t="n">
        <f>'SR Container Carriers'!C9</f>
        <v>23</v>
      </c>
      <c r="E47" s="85" t="n">
        <f>'SR Container Carriers'!D9</f>
        <v>0</v>
      </c>
      <c r="F47" s="86" t="n">
        <f>'SR Container Carriers'!E9</f>
        <v>0</v>
      </c>
      <c r="G47" s="86" t="n">
        <f>'SR Container Carriers'!F9</f>
        <v>1</v>
      </c>
      <c r="H47" s="85" t="n">
        <f>'SR Container Carriers'!G9</f>
        <v>1</v>
      </c>
      <c r="I47" s="85" t="n">
        <f>'SR Container Carriers'!H9</f>
        <v>0</v>
      </c>
      <c r="J47" s="86" t="n">
        <f>'SR Container Carriers'!I9</f>
        <v>5</v>
      </c>
      <c r="K47" s="86" t="n">
        <f>'SR Container Carriers'!J9</f>
        <v>1</v>
      </c>
      <c r="L47" s="85" t="n">
        <f>'SR Container Carriers'!M9</f>
        <v>17.5</v>
      </c>
      <c r="M47" s="85" t="n">
        <f>'SR Container Carriers'!N9</f>
        <v>1</v>
      </c>
      <c r="N47" s="85" t="n">
        <f>'SR Container Carriers'!O9</f>
        <v>16.5</v>
      </c>
      <c r="O47" s="87" t="str">
        <f>'SR Container Carriers'!P9</f>
        <v>9h 6m</v>
      </c>
    </row>
    <row r="48" ht="34" customHeight="1">
      <c r="A48" s="82" t="str">
        <f>"SR CONTAINER CARRIERS"</f>
        <v>SR CONTAINER CARRIERS</v>
      </c>
      <c r="B48" s="82" t="str">
        <f>'SR Container Carriers'!A10</f>
        <v>DASAK SHAH</v>
      </c>
      <c r="C48" s="85" t="n">
        <f>'SR Container Carriers'!B10</f>
        <v>29</v>
      </c>
      <c r="D48" s="85" t="n">
        <f>'SR Container Carriers'!C10</f>
        <v>23</v>
      </c>
      <c r="E48" s="85" t="n">
        <f>'SR Container Carriers'!D10</f>
        <v>0</v>
      </c>
      <c r="F48" s="86" t="n">
        <f>'SR Container Carriers'!E10</f>
        <v>0</v>
      </c>
      <c r="G48" s="86" t="n">
        <f>'SR Container Carriers'!F10</f>
        <v>0</v>
      </c>
      <c r="H48" s="85" t="n">
        <f>'SR Container Carriers'!G10</f>
        <v>0</v>
      </c>
      <c r="I48" s="85" t="n">
        <f>'SR Container Carriers'!H10</f>
        <v>1</v>
      </c>
      <c r="J48" s="86" t="n">
        <f>'SR Container Carriers'!I10</f>
        <v>5</v>
      </c>
      <c r="K48" s="86" t="n">
        <f>'SR Container Carriers'!J10</f>
        <v>1</v>
      </c>
      <c r="L48" s="85" t="n">
        <f>'SR Container Carriers'!M10</f>
        <v>16</v>
      </c>
      <c r="M48" s="85" t="n">
        <f>'SR Container Carriers'!N10</f>
        <v>0</v>
      </c>
      <c r="N48" s="85" t="n">
        <f>'SR Container Carriers'!O10</f>
        <v>16</v>
      </c>
      <c r="O48" s="87" t="str">
        <f>'SR Container Carriers'!P10</f>
        <v>8h 54m</v>
      </c>
    </row>
    <row r="49" ht="34" customHeight="1">
      <c r="A49" s="82" t="str">
        <f>"SR CONTAINER CARRIERS"</f>
        <v>SR CONTAINER CARRIERS</v>
      </c>
      <c r="B49" s="82" t="str">
        <f>'SR Container Carriers'!A11</f>
        <v>DEEPAK SINGH</v>
      </c>
      <c r="C49" s="85" t="n">
        <f>'SR Container Carriers'!B11</f>
        <v>17</v>
      </c>
      <c r="D49" s="85" t="n">
        <f>'SR Container Carriers'!C11</f>
        <v>12</v>
      </c>
      <c r="E49" s="85" t="n">
        <f>'SR Container Carriers'!D11</f>
        <v>11</v>
      </c>
      <c r="F49" s="86" t="n">
        <f>'SR Container Carriers'!E11</f>
        <v>0</v>
      </c>
      <c r="G49" s="86" t="n">
        <f>'SR Container Carriers'!F11</f>
        <v>0</v>
      </c>
      <c r="H49" s="85" t="n">
        <f>'SR Container Carriers'!G11</f>
        <v>0</v>
      </c>
      <c r="I49" s="85" t="n">
        <f>'SR Container Carriers'!H11</f>
        <v>2</v>
      </c>
      <c r="J49" s="86" t="n">
        <f>'SR Container Carriers'!I11</f>
        <v>4</v>
      </c>
      <c r="K49" s="86" t="n">
        <f>'SR Container Carriers'!J11</f>
        <v>1</v>
      </c>
      <c r="L49" s="85" t="n">
        <f>'SR Container Carriers'!M11</f>
        <v>0</v>
      </c>
      <c r="M49" s="85" t="n">
        <f>'SR Container Carriers'!N11</f>
        <v>0</v>
      </c>
      <c r="N49" s="85" t="n">
        <f>'SR Container Carriers'!O11</f>
        <v>0</v>
      </c>
      <c r="O49" s="87" t="str">
        <f>'SR Container Carriers'!P11</f>
        <v>8h 42m</v>
      </c>
    </row>
    <row r="50" ht="34" customHeight="1">
      <c r="A50" s="82" t="str">
        <f>"SR CONTAINER CARRIERS"</f>
        <v>SR CONTAINER CARRIERS</v>
      </c>
      <c r="B50" s="82" t="str">
        <f>'SR Container Carriers'!A12</f>
        <v>JAYMIN PARMAR</v>
      </c>
      <c r="C50" s="85" t="n">
        <f>'SR Container Carriers'!B12</f>
        <v>30</v>
      </c>
      <c r="D50" s="85" t="n">
        <f>'SR Container Carriers'!C12</f>
        <v>24</v>
      </c>
      <c r="E50" s="85" t="n">
        <f>'SR Container Carriers'!D12</f>
        <v>0</v>
      </c>
      <c r="F50" s="86" t="n">
        <f>'SR Container Carriers'!E12</f>
        <v>0</v>
      </c>
      <c r="G50" s="86" t="n">
        <f>'SR Container Carriers'!F12</f>
        <v>1</v>
      </c>
      <c r="H50" s="85" t="n">
        <f>'SR Container Carriers'!G12</f>
        <v>1</v>
      </c>
      <c r="I50" s="85" t="n">
        <f>'SR Container Carriers'!H12</f>
        <v>0</v>
      </c>
      <c r="J50" s="86" t="n">
        <f>'SR Container Carriers'!I12</f>
        <v>4</v>
      </c>
      <c r="K50" s="86" t="n">
        <f>'SR Container Carriers'!J12</f>
        <v>1</v>
      </c>
      <c r="L50" s="85" t="n">
        <f>'SR Container Carriers'!M12</f>
        <v>24.5</v>
      </c>
      <c r="M50" s="85" t="n">
        <f>'SR Container Carriers'!N12</f>
        <v>1</v>
      </c>
      <c r="N50" s="85" t="n">
        <f>'SR Container Carriers'!O12</f>
        <v>23.5</v>
      </c>
      <c r="O50" s="87" t="str">
        <f>'SR Container Carriers'!P12</f>
        <v>11h 12m</v>
      </c>
    </row>
    <row r="51" ht="34" customHeight="1">
      <c r="A51" s="82" t="str">
        <f>"SR CONTAINER CARRIERS"</f>
        <v>SR CONTAINER CARRIERS</v>
      </c>
      <c r="B51" s="82" t="str">
        <f>'SR Container Carriers'!A13</f>
        <v>JISHNU T</v>
      </c>
      <c r="C51" s="85" t="n">
        <f>'SR Container Carriers'!B13</f>
        <v>6</v>
      </c>
      <c r="D51" s="85" t="n">
        <f>'SR Container Carriers'!C13</f>
        <v>4</v>
      </c>
      <c r="E51" s="85" t="n">
        <f>'SR Container Carriers'!D13</f>
        <v>20</v>
      </c>
      <c r="F51" s="86" t="n">
        <f>'SR Container Carriers'!E13</f>
        <v>0</v>
      </c>
      <c r="G51" s="86" t="n">
        <f>'SR Container Carriers'!F13</f>
        <v>0</v>
      </c>
      <c r="H51" s="85" t="n">
        <f>'SR Container Carriers'!G13</f>
        <v>0</v>
      </c>
      <c r="I51" s="85" t="n">
        <f>'SR Container Carriers'!H13</f>
        <v>4</v>
      </c>
      <c r="J51" s="86" t="n">
        <f>'SR Container Carriers'!I13</f>
        <v>1</v>
      </c>
      <c r="K51" s="86" t="n">
        <f>'SR Container Carriers'!J13</f>
        <v>1</v>
      </c>
      <c r="L51" s="85" t="n">
        <f>'SR Container Carriers'!M13</f>
        <v>0</v>
      </c>
      <c r="M51" s="85" t="n">
        <f>'SR Container Carriers'!N13</f>
        <v>0</v>
      </c>
      <c r="N51" s="85" t="n">
        <f>'SR Container Carriers'!O13</f>
        <v>0</v>
      </c>
      <c r="O51" s="87" t="str">
        <f>'SR Container Carriers'!P13</f>
        <v>10h 30m</v>
      </c>
    </row>
    <row r="52" ht="34" customHeight="1">
      <c r="A52" s="82" t="str">
        <f>"SR CONTAINER CARRIERS"</f>
        <v>SR CONTAINER CARRIERS</v>
      </c>
      <c r="B52" s="82" t="str">
        <f>'SR Container Carriers'!A14</f>
        <v>KULDEEP RAWAT</v>
      </c>
      <c r="C52" s="85" t="n">
        <f>'SR Container Carriers'!B14</f>
        <v>30</v>
      </c>
      <c r="D52" s="85" t="n">
        <f>'SR Container Carriers'!C14</f>
        <v>24</v>
      </c>
      <c r="E52" s="85" t="n">
        <f>'SR Container Carriers'!D14</f>
        <v>0</v>
      </c>
      <c r="F52" s="86" t="n">
        <f>'SR Container Carriers'!E14</f>
        <v>0</v>
      </c>
      <c r="G52" s="86" t="n">
        <f>'SR Container Carriers'!F14</f>
        <v>0</v>
      </c>
      <c r="H52" s="85" t="n">
        <f>'SR Container Carriers'!G14</f>
        <v>0</v>
      </c>
      <c r="I52" s="85" t="n">
        <f>'SR Container Carriers'!H14</f>
        <v>0</v>
      </c>
      <c r="J52" s="86" t="n">
        <f>'SR Container Carriers'!I14</f>
        <v>5</v>
      </c>
      <c r="K52" s="86" t="n">
        <f>'SR Container Carriers'!J14</f>
        <v>1</v>
      </c>
      <c r="L52" s="85" t="n">
        <f>'SR Container Carriers'!M14</f>
        <v>61</v>
      </c>
      <c r="M52" s="85" t="n">
        <f>'SR Container Carriers'!N14</f>
        <v>0</v>
      </c>
      <c r="N52" s="85" t="n">
        <f>'SR Container Carriers'!O14</f>
        <v>61</v>
      </c>
      <c r="O52" s="87" t="str">
        <f>'SR Container Carriers'!P14</f>
        <v>9h 6m</v>
      </c>
    </row>
    <row r="53" ht="34" customHeight="1">
      <c r="A53" s="82" t="str">
        <f>"SR CONTAINER CARRIERS"</f>
        <v>SR CONTAINER CARRIERS</v>
      </c>
      <c r="B53" s="82" t="str">
        <f>'SR Container Carriers'!A15</f>
        <v>LIBIN V.</v>
      </c>
      <c r="C53" s="85" t="n">
        <f>'SR Container Carriers'!B15</f>
        <v>30</v>
      </c>
      <c r="D53" s="85" t="n">
        <f>'SR Container Carriers'!C15</f>
        <v>24</v>
      </c>
      <c r="E53" s="85" t="n">
        <f>'SR Container Carriers'!D15</f>
        <v>0</v>
      </c>
      <c r="F53" s="86" t="n">
        <f>'SR Container Carriers'!E15</f>
        <v>0</v>
      </c>
      <c r="G53" s="86" t="n">
        <f>'SR Container Carriers'!F15</f>
        <v>0</v>
      </c>
      <c r="H53" s="85" t="n">
        <f>'SR Container Carriers'!G15</f>
        <v>0</v>
      </c>
      <c r="I53" s="85" t="n">
        <f>'SR Container Carriers'!H15</f>
        <v>0</v>
      </c>
      <c r="J53" s="86" t="n">
        <f>'SR Container Carriers'!I15</f>
        <v>5</v>
      </c>
      <c r="K53" s="86" t="n">
        <f>'SR Container Carriers'!J15</f>
        <v>1</v>
      </c>
      <c r="L53" s="85" t="n">
        <f>'SR Container Carriers'!M15</f>
        <v>9.5</v>
      </c>
      <c r="M53" s="85" t="n">
        <f>'SR Container Carriers'!N15</f>
        <v>0</v>
      </c>
      <c r="N53" s="85" t="n">
        <f>'SR Container Carriers'!O15</f>
        <v>9.5</v>
      </c>
      <c r="O53" s="87" t="str">
        <f>'SR Container Carriers'!P15</f>
        <v>10h 0m</v>
      </c>
    </row>
    <row r="54" ht="34" customHeight="1">
      <c r="A54" s="82" t="str">
        <f>"SR CONTAINER CARRIERS"</f>
        <v>SR CONTAINER CARRIERS</v>
      </c>
      <c r="B54" s="82" t="str">
        <f>'SR Container Carriers'!A16</f>
        <v>MOHIT SINGH</v>
      </c>
      <c r="C54" s="85" t="n">
        <f>'SR Container Carriers'!B16</f>
        <v>30</v>
      </c>
      <c r="D54" s="85" t="n">
        <f>'SR Container Carriers'!C16</f>
        <v>23</v>
      </c>
      <c r="E54" s="85" t="n">
        <f>'SR Container Carriers'!D16</f>
        <v>0</v>
      </c>
      <c r="F54" s="86" t="n">
        <f>'SR Container Carriers'!E16</f>
        <v>0</v>
      </c>
      <c r="G54" s="86" t="n">
        <f>'SR Container Carriers'!F16</f>
        <v>1</v>
      </c>
      <c r="H54" s="85" t="n">
        <f>'SR Container Carriers'!G16</f>
        <v>1</v>
      </c>
      <c r="I54" s="85" t="n">
        <f>'SR Container Carriers'!H16</f>
        <v>0</v>
      </c>
      <c r="J54" s="86" t="n">
        <f>'SR Container Carriers'!I16</f>
        <v>5</v>
      </c>
      <c r="K54" s="86" t="n">
        <f>'SR Container Carriers'!J16</f>
        <v>1</v>
      </c>
      <c r="L54" s="85" t="n">
        <f>'SR Container Carriers'!M16</f>
        <v>23</v>
      </c>
      <c r="M54" s="85" t="n">
        <f>'SR Container Carriers'!N16</f>
        <v>1</v>
      </c>
      <c r="N54" s="85" t="n">
        <f>'SR Container Carriers'!O16</f>
        <v>22</v>
      </c>
      <c r="O54" s="87" t="str">
        <f>'SR Container Carriers'!P16</f>
        <v>9h 0m</v>
      </c>
    </row>
    <row r="55" ht="34" customHeight="1">
      <c r="A55" s="82" t="str">
        <f>"SR CONTAINER CARRIERS"</f>
        <v>SR CONTAINER CARRIERS</v>
      </c>
      <c r="B55" s="82" t="str">
        <f>'SR Container Carriers'!A17</f>
        <v>PAHAD SINGH</v>
      </c>
      <c r="C55" s="85" t="n">
        <f>'SR Container Carriers'!B17</f>
        <v>30</v>
      </c>
      <c r="D55" s="85" t="n">
        <f>'SR Container Carriers'!C17</f>
        <v>20</v>
      </c>
      <c r="E55" s="85" t="n">
        <f>'SR Container Carriers'!D17</f>
        <v>0</v>
      </c>
      <c r="F55" s="86" t="n">
        <f>'SR Container Carriers'!E17</f>
        <v>0</v>
      </c>
      <c r="G55" s="86" t="n">
        <f>'SR Container Carriers'!F17</f>
        <v>6</v>
      </c>
      <c r="H55" s="85" t="n">
        <f>'SR Container Carriers'!G17</f>
        <v>6</v>
      </c>
      <c r="I55" s="85" t="n">
        <f>'SR Container Carriers'!H17</f>
        <v>0</v>
      </c>
      <c r="J55" s="86" t="n">
        <f>'SR Container Carriers'!I17</f>
        <v>4</v>
      </c>
      <c r="K55" s="86" t="n">
        <f>'SR Container Carriers'!J17</f>
        <v>0</v>
      </c>
      <c r="L55" s="85" t="n">
        <f>'SR Container Carriers'!M17</f>
        <v>67.5</v>
      </c>
      <c r="M55" s="85" t="n">
        <f>'SR Container Carriers'!N17</f>
        <v>6</v>
      </c>
      <c r="N55" s="85" t="n">
        <f>'SR Container Carriers'!O17</f>
        <v>61.5</v>
      </c>
      <c r="O55" s="87" t="str">
        <f>'SR Container Carriers'!P17</f>
        <v>9h 24m</v>
      </c>
    </row>
    <row r="56" ht="34" customHeight="1">
      <c r="A56" s="82" t="str">
        <f>"SR CONTAINER CARRIERS"</f>
        <v>SR CONTAINER CARRIERS</v>
      </c>
      <c r="B56" s="82" t="str">
        <f>'SR Container Carriers'!A18</f>
        <v>PARAG MALI</v>
      </c>
      <c r="C56" s="85" t="n">
        <f>'SR Container Carriers'!B18</f>
        <v>30</v>
      </c>
      <c r="D56" s="85" t="n">
        <f>'SR Container Carriers'!C18</f>
        <v>19</v>
      </c>
      <c r="E56" s="85" t="n">
        <f>'SR Container Carriers'!D18</f>
        <v>0</v>
      </c>
      <c r="F56" s="86" t="n">
        <f>'SR Container Carriers'!E18</f>
        <v>0</v>
      </c>
      <c r="G56" s="86" t="n">
        <f>'SR Container Carriers'!F18</f>
        <v>6</v>
      </c>
      <c r="H56" s="85" t="n">
        <f>'SR Container Carriers'!G18</f>
        <v>6</v>
      </c>
      <c r="I56" s="85" t="n">
        <f>'SR Container Carriers'!H18</f>
        <v>0</v>
      </c>
      <c r="J56" s="86" t="n">
        <f>'SR Container Carriers'!I18</f>
        <v>4</v>
      </c>
      <c r="K56" s="86" t="n">
        <f>'SR Container Carriers'!J18</f>
        <v>1</v>
      </c>
      <c r="L56" s="85" t="n">
        <f>'SR Container Carriers'!M18</f>
        <v>20.5</v>
      </c>
      <c r="M56" s="85" t="n">
        <f>'SR Container Carriers'!N18</f>
        <v>6</v>
      </c>
      <c r="N56" s="85" t="n">
        <f>'SR Container Carriers'!O18</f>
        <v>14.5</v>
      </c>
      <c r="O56" s="87" t="str">
        <f>'SR Container Carriers'!P18</f>
        <v>10h 12m</v>
      </c>
    </row>
    <row r="57" ht="34" customHeight="1">
      <c r="A57" s="82" t="str">
        <f>"SR CONTAINER CARRIERS"</f>
        <v>SR CONTAINER CARRIERS</v>
      </c>
      <c r="B57" s="82" t="str">
        <f>'SR Container Carriers'!A19</f>
        <v>PARTH SHETH</v>
      </c>
      <c r="C57" s="85" t="n">
        <f>'SR Container Carriers'!B19</f>
        <v>27.5</v>
      </c>
      <c r="D57" s="85" t="n">
        <f>'SR Container Carriers'!C19</f>
        <v>18</v>
      </c>
      <c r="E57" s="85" t="n">
        <f>'SR Container Carriers'!D19</f>
        <v>0.5</v>
      </c>
      <c r="F57" s="86" t="n">
        <f>'SR Container Carriers'!E19</f>
        <v>1</v>
      </c>
      <c r="G57" s="86" t="n">
        <f>'SR Container Carriers'!F19</f>
        <v>4</v>
      </c>
      <c r="H57" s="85" t="n">
        <f>'SR Container Carriers'!G19</f>
        <v>4.5</v>
      </c>
      <c r="I57" s="85" t="n">
        <f>'SR Container Carriers'!H19</f>
        <v>2</v>
      </c>
      <c r="J57" s="86" t="n">
        <f>'SR Container Carriers'!I19</f>
        <v>4</v>
      </c>
      <c r="K57" s="86" t="n">
        <f>'SR Container Carriers'!J19</f>
        <v>1</v>
      </c>
      <c r="L57" s="85" t="n">
        <f>'SR Container Carriers'!M19</f>
        <v>10</v>
      </c>
      <c r="M57" s="85" t="n">
        <f>'SR Container Carriers'!N19</f>
        <v>4.5</v>
      </c>
      <c r="N57" s="85" t="n">
        <f>'SR Container Carriers'!O19</f>
        <v>5.5</v>
      </c>
      <c r="O57" s="87" t="str">
        <f>'SR Container Carriers'!P19</f>
        <v>9h 18m</v>
      </c>
    </row>
    <row r="58" ht="34" customHeight="1">
      <c r="A58" s="82" t="str">
        <f>"SR CONTAINER CARRIERS"</f>
        <v>SR CONTAINER CARRIERS</v>
      </c>
      <c r="B58" s="82" t="str">
        <f>'SR Container Carriers'!A20</f>
        <v>SANTOSH BARMAN</v>
      </c>
      <c r="C58" s="85" t="n">
        <f>'SR Container Carriers'!B20</f>
        <v>30</v>
      </c>
      <c r="D58" s="85" t="n">
        <f>'SR Container Carriers'!C20</f>
        <v>24</v>
      </c>
      <c r="E58" s="85" t="n">
        <f>'SR Container Carriers'!D20</f>
        <v>0</v>
      </c>
      <c r="F58" s="86" t="n">
        <f>'SR Container Carriers'!E20</f>
        <v>0</v>
      </c>
      <c r="G58" s="86" t="n">
        <f>'SR Container Carriers'!F20</f>
        <v>1</v>
      </c>
      <c r="H58" s="85" t="n">
        <f>'SR Container Carriers'!G20</f>
        <v>1</v>
      </c>
      <c r="I58" s="85" t="n">
        <f>'SR Container Carriers'!H20</f>
        <v>0</v>
      </c>
      <c r="J58" s="86" t="n">
        <f>'SR Container Carriers'!I20</f>
        <v>5</v>
      </c>
      <c r="K58" s="86" t="n">
        <f>'SR Container Carriers'!J20</f>
        <v>0</v>
      </c>
      <c r="L58" s="85" t="n">
        <f>'SR Container Carriers'!M20</f>
        <v>21</v>
      </c>
      <c r="M58" s="85" t="n">
        <f>'SR Container Carriers'!N20</f>
        <v>1</v>
      </c>
      <c r="N58" s="85" t="n">
        <f>'SR Container Carriers'!O20</f>
        <v>20</v>
      </c>
      <c r="O58" s="87" t="str">
        <f>'SR Container Carriers'!P20</f>
        <v>9h 54m</v>
      </c>
    </row>
    <row r="59" ht="34" customHeight="1">
      <c r="A59" s="82" t="str">
        <f>"SR CONTAINER CARRIERS"</f>
        <v>SR CONTAINER CARRIERS</v>
      </c>
      <c r="B59" s="82" t="str">
        <f>'SR Container Carriers'!A21</f>
        <v>SREEKUMAR NAIR</v>
      </c>
      <c r="C59" s="85" t="n">
        <f>'SR Container Carriers'!B21</f>
        <v>30</v>
      </c>
      <c r="D59" s="85" t="n">
        <f>'SR Container Carriers'!C21</f>
        <v>25</v>
      </c>
      <c r="E59" s="85" t="n">
        <f>'SR Container Carriers'!D21</f>
        <v>0</v>
      </c>
      <c r="F59" s="86" t="n">
        <f>'SR Container Carriers'!E21</f>
        <v>0</v>
      </c>
      <c r="G59" s="86" t="n">
        <f>'SR Container Carriers'!F21</f>
        <v>0</v>
      </c>
      <c r="H59" s="85" t="n">
        <f>'SR Container Carriers'!G21</f>
        <v>0</v>
      </c>
      <c r="I59" s="85" t="n">
        <f>'SR Container Carriers'!H21</f>
        <v>0</v>
      </c>
      <c r="J59" s="86" t="n">
        <f>'SR Container Carriers'!I21</f>
        <v>4</v>
      </c>
      <c r="K59" s="86" t="n">
        <f>'SR Container Carriers'!J21</f>
        <v>1</v>
      </c>
      <c r="L59" s="85" t="n">
        <f>'SR Container Carriers'!M21</f>
        <v>25</v>
      </c>
      <c r="M59" s="85" t="n">
        <f>'SR Container Carriers'!N21</f>
        <v>0</v>
      </c>
      <c r="N59" s="85" t="n">
        <f>'SR Container Carriers'!O21</f>
        <v>25</v>
      </c>
      <c r="O59" s="87" t="str">
        <f>'SR Container Carriers'!P21</f>
        <v>10h 42m</v>
      </c>
    </row>
    <row r="60" ht="34" customHeight="1">
      <c r="A60" s="82" t="str">
        <f>"SR CONTAINER CARRIERS"</f>
        <v>SR CONTAINER CARRIERS</v>
      </c>
      <c r="B60" s="82" t="str">
        <f>'SR Container Carriers'!A22</f>
        <v>SUNIL THAKUR</v>
      </c>
      <c r="C60" s="85" t="n">
        <f>'SR Container Carriers'!B22</f>
        <v>30</v>
      </c>
      <c r="D60" s="85" t="n">
        <f>'SR Container Carriers'!C22</f>
        <v>27</v>
      </c>
      <c r="E60" s="85" t="n">
        <f>'SR Container Carriers'!D22</f>
        <v>0</v>
      </c>
      <c r="F60" s="86" t="n">
        <f>'SR Container Carriers'!E22</f>
        <v>0</v>
      </c>
      <c r="G60" s="86" t="n">
        <f>'SR Container Carriers'!F22</f>
        <v>0</v>
      </c>
      <c r="H60" s="85" t="n">
        <f>'SR Container Carriers'!G22</f>
        <v>0</v>
      </c>
      <c r="I60" s="85" t="n">
        <f>'SR Container Carriers'!H22</f>
        <v>0</v>
      </c>
      <c r="J60" s="86" t="n">
        <f>'SR Container Carriers'!I22</f>
        <v>3</v>
      </c>
      <c r="K60" s="86" t="n">
        <f>'SR Container Carriers'!J22</f>
        <v>0</v>
      </c>
      <c r="L60" s="85" t="n">
        <f>'SR Container Carriers'!M22</f>
        <v>31</v>
      </c>
      <c r="M60" s="85" t="n">
        <f>'SR Container Carriers'!N22</f>
        <v>0</v>
      </c>
      <c r="N60" s="85" t="n">
        <f>'SR Container Carriers'!O22</f>
        <v>31</v>
      </c>
      <c r="O60" s="87" t="str">
        <f>'SR Container Carriers'!P22</f>
        <v>10h 54m</v>
      </c>
    </row>
    <row r="61" ht="34" customHeight="1">
      <c r="A61" s="82" t="str">
        <f>"SR CONTAINER CARRIERS"</f>
        <v>SR CONTAINER CARRIERS</v>
      </c>
      <c r="B61" s="82" t="str">
        <f>'SR Container Carriers'!A23</f>
        <v>VIKAS CHANDRA</v>
      </c>
      <c r="C61" s="85" t="n">
        <f>'SR Container Carriers'!B23</f>
        <v>30</v>
      </c>
      <c r="D61" s="85" t="n">
        <f>'SR Container Carriers'!C23</f>
        <v>25</v>
      </c>
      <c r="E61" s="85" t="n">
        <f>'SR Container Carriers'!D23</f>
        <v>0</v>
      </c>
      <c r="F61" s="86" t="n">
        <f>'SR Container Carriers'!E23</f>
        <v>0</v>
      </c>
      <c r="G61" s="86" t="n">
        <f>'SR Container Carriers'!F23</f>
        <v>0</v>
      </c>
      <c r="H61" s="85" t="n">
        <f>'SR Container Carriers'!G23</f>
        <v>0</v>
      </c>
      <c r="I61" s="85" t="n">
        <f>'SR Container Carriers'!H23</f>
        <v>0</v>
      </c>
      <c r="J61" s="86" t="n">
        <f>'SR Container Carriers'!I23</f>
        <v>5</v>
      </c>
      <c r="K61" s="86" t="n">
        <f>'SR Container Carriers'!J23</f>
        <v>0</v>
      </c>
      <c r="L61" s="85" t="n">
        <f>'SR Container Carriers'!M23</f>
        <v>9.5</v>
      </c>
      <c r="M61" s="85" t="n">
        <f>'SR Container Carriers'!N23</f>
        <v>0</v>
      </c>
      <c r="N61" s="85" t="n">
        <f>'SR Container Carriers'!O23</f>
        <v>9.5</v>
      </c>
      <c r="O61" s="87" t="str">
        <f>'SR Container Carriers'!P23</f>
        <v>9h 36m</v>
      </c>
    </row>
    <row r="62" ht="34" customHeight="1">
      <c r="A62" s="82" t="str">
        <f>"SURAJ FORWARDERS"</f>
        <v>SURAJ FORWARDERS</v>
      </c>
      <c r="B62" s="82" t="str">
        <f>'Suraj Forwarders'!A5</f>
        <v>BHOOMI PARMAR</v>
      </c>
      <c r="C62" s="85" t="n">
        <f>'Suraj Forwarders'!B5</f>
        <v>29</v>
      </c>
      <c r="D62" s="85" t="n">
        <f>'Suraj Forwarders'!C5</f>
        <v>23</v>
      </c>
      <c r="E62" s="85" t="n">
        <f>'Suraj Forwarders'!D5</f>
        <v>0</v>
      </c>
      <c r="F62" s="86" t="n">
        <f>'Suraj Forwarders'!E5</f>
        <v>0</v>
      </c>
      <c r="G62" s="86" t="n">
        <f>'Suraj Forwarders'!F5</f>
        <v>0</v>
      </c>
      <c r="H62" s="85" t="n">
        <f>'Suraj Forwarders'!G5</f>
        <v>0</v>
      </c>
      <c r="I62" s="85" t="n">
        <f>'Suraj Forwarders'!H5</f>
        <v>1</v>
      </c>
      <c r="J62" s="86" t="n">
        <f>'Suraj Forwarders'!I5</f>
        <v>5</v>
      </c>
      <c r="K62" s="86" t="n">
        <f>'Suraj Forwarders'!J5</f>
        <v>1</v>
      </c>
      <c r="L62" s="85" t="n">
        <f>'Suraj Forwarders'!M5</f>
        <v>0</v>
      </c>
      <c r="M62" s="85" t="n">
        <f>'Suraj Forwarders'!N5</f>
        <v>0</v>
      </c>
      <c r="N62" s="85" t="n">
        <f>'Suraj Forwarders'!O5</f>
        <v>0</v>
      </c>
      <c r="O62" s="87" t="str">
        <f>'Suraj Forwarders'!P5</f>
        <v>9h 18m</v>
      </c>
    </row>
    <row r="63" ht="34" customHeight="1">
      <c r="A63" s="82" t="str">
        <f>"SURAJ FORWARDERS"</f>
        <v>SURAJ FORWARDERS</v>
      </c>
      <c r="B63" s="82" t="str">
        <f>'Suraj Forwarders'!A6</f>
        <v>BURHANUDDIN GODHRAWALA</v>
      </c>
      <c r="C63" s="85" t="n">
        <f>'Suraj Forwarders'!B6</f>
        <v>27</v>
      </c>
      <c r="D63" s="85" t="n">
        <f>'Suraj Forwarders'!C6</f>
        <v>21</v>
      </c>
      <c r="E63" s="85" t="n">
        <f>'Suraj Forwarders'!D6</f>
        <v>0</v>
      </c>
      <c r="F63" s="86" t="n">
        <f>'Suraj Forwarders'!E6</f>
        <v>0</v>
      </c>
      <c r="G63" s="86" t="n">
        <f>'Suraj Forwarders'!F6</f>
        <v>0</v>
      </c>
      <c r="H63" s="85" t="n">
        <f>'Suraj Forwarders'!G6</f>
        <v>0</v>
      </c>
      <c r="I63" s="85" t="n">
        <f>'Suraj Forwarders'!H6</f>
        <v>3</v>
      </c>
      <c r="J63" s="86" t="n">
        <f>'Suraj Forwarders'!I6</f>
        <v>5</v>
      </c>
      <c r="K63" s="86" t="n">
        <f>'Suraj Forwarders'!J6</f>
        <v>1</v>
      </c>
      <c r="L63" s="85" t="n">
        <f>'Suraj Forwarders'!M6</f>
        <v>0</v>
      </c>
      <c r="M63" s="85" t="n">
        <f>'Suraj Forwarders'!N6</f>
        <v>0</v>
      </c>
      <c r="N63" s="85" t="n">
        <f>'Suraj Forwarders'!O6</f>
        <v>0</v>
      </c>
      <c r="O63" s="87" t="str">
        <f>'Suraj Forwarders'!P6</f>
        <v>8h 36m</v>
      </c>
    </row>
    <row r="64" ht="34" customHeight="1">
      <c r="A64" s="82" t="str">
        <f>"SURAJ FORWARDERS"</f>
        <v>SURAJ FORWARDERS</v>
      </c>
      <c r="B64" s="82" t="str">
        <f>'Suraj Forwarders'!A7</f>
        <v>DHARMENDRA VINZAVA</v>
      </c>
      <c r="C64" s="85" t="n">
        <f>'Suraj Forwarders'!B7</f>
        <v>30</v>
      </c>
      <c r="D64" s="85" t="n">
        <f>'Suraj Forwarders'!C7</f>
        <v>24</v>
      </c>
      <c r="E64" s="85" t="n">
        <f>'Suraj Forwarders'!D7</f>
        <v>0</v>
      </c>
      <c r="F64" s="86" t="n">
        <f>'Suraj Forwarders'!E7</f>
        <v>0</v>
      </c>
      <c r="G64" s="86" t="n">
        <f>'Suraj Forwarders'!F7</f>
        <v>0</v>
      </c>
      <c r="H64" s="85" t="n">
        <f>'Suraj Forwarders'!G7</f>
        <v>0</v>
      </c>
      <c r="I64" s="85" t="n">
        <f>'Suraj Forwarders'!H7</f>
        <v>0</v>
      </c>
      <c r="J64" s="86" t="n">
        <f>'Suraj Forwarders'!I7</f>
        <v>5</v>
      </c>
      <c r="K64" s="86" t="n">
        <f>'Suraj Forwarders'!J7</f>
        <v>1</v>
      </c>
      <c r="L64" s="85" t="n">
        <f>'Suraj Forwarders'!M7</f>
        <v>43.5</v>
      </c>
      <c r="M64" s="85" t="n">
        <f>'Suraj Forwarders'!N7</f>
        <v>0</v>
      </c>
      <c r="N64" s="85" t="n">
        <f>'Suraj Forwarders'!O7</f>
        <v>43.5</v>
      </c>
      <c r="O64" s="87" t="str">
        <f>'Suraj Forwarders'!P7</f>
        <v>8h 54m</v>
      </c>
    </row>
    <row r="65" ht="34" customHeight="1">
      <c r="A65" s="82" t="str">
        <f>"SURAJ FORWARDERS"</f>
        <v>SURAJ FORWARDERS</v>
      </c>
      <c r="B65" s="82" t="str">
        <f>'Suraj Forwarders'!A8</f>
        <v>DIPAK  RAVAT</v>
      </c>
      <c r="C65" s="85" t="n">
        <f>'Suraj Forwarders'!B8</f>
        <v>29</v>
      </c>
      <c r="D65" s="85" t="n">
        <f>'Suraj Forwarders'!C8</f>
        <v>20.5</v>
      </c>
      <c r="E65" s="85" t="n">
        <f>'Suraj Forwarders'!D8</f>
        <v>0</v>
      </c>
      <c r="F65" s="86" t="n">
        <f>'Suraj Forwarders'!E8</f>
        <v>3</v>
      </c>
      <c r="G65" s="86" t="n">
        <f>'Suraj Forwarders'!F8</f>
        <v>1</v>
      </c>
      <c r="H65" s="85" t="n">
        <f>'Suraj Forwarders'!G8</f>
        <v>2.5</v>
      </c>
      <c r="I65" s="85" t="n">
        <f>'Suraj Forwarders'!H8</f>
        <v>1</v>
      </c>
      <c r="J65" s="86" t="n">
        <f>'Suraj Forwarders'!I8</f>
        <v>5</v>
      </c>
      <c r="K65" s="86" t="n">
        <f>'Suraj Forwarders'!J8</f>
        <v>1</v>
      </c>
      <c r="L65" s="85" t="n">
        <f>'Suraj Forwarders'!M8</f>
        <v>2.5</v>
      </c>
      <c r="M65" s="85" t="n">
        <f>'Suraj Forwarders'!N8</f>
        <v>2.5</v>
      </c>
      <c r="N65" s="85" t="n">
        <f>'Suraj Forwarders'!O8</f>
        <v>0</v>
      </c>
      <c r="O65" s="87" t="str">
        <f>'Suraj Forwarders'!P8</f>
        <v>9h 0m</v>
      </c>
    </row>
    <row r="66" ht="34" customHeight="1">
      <c r="A66" s="82" t="str">
        <f>"SURAJ FORWARDERS"</f>
        <v>SURAJ FORWARDERS</v>
      </c>
      <c r="B66" s="82" t="str">
        <f>'Suraj Forwarders'!A9</f>
        <v>ELBIN KURIAN</v>
      </c>
      <c r="C66" s="85" t="n">
        <f>'Suraj Forwarders'!B9</f>
        <v>30</v>
      </c>
      <c r="D66" s="85" t="n">
        <f>'Suraj Forwarders'!C9</f>
        <v>24</v>
      </c>
      <c r="E66" s="85" t="n">
        <f>'Suraj Forwarders'!D9</f>
        <v>0</v>
      </c>
      <c r="F66" s="86" t="n">
        <f>'Suraj Forwarders'!E9</f>
        <v>0</v>
      </c>
      <c r="G66" s="86" t="n">
        <f>'Suraj Forwarders'!F9</f>
        <v>0</v>
      </c>
      <c r="H66" s="85" t="n">
        <f>'Suraj Forwarders'!G9</f>
        <v>0</v>
      </c>
      <c r="I66" s="85" t="n">
        <f>'Suraj Forwarders'!H9</f>
        <v>0</v>
      </c>
      <c r="J66" s="86" t="n">
        <f>'Suraj Forwarders'!I9</f>
        <v>5</v>
      </c>
      <c r="K66" s="86" t="n">
        <f>'Suraj Forwarders'!J9</f>
        <v>1</v>
      </c>
      <c r="L66" s="85" t="n">
        <f>'Suraj Forwarders'!M9</f>
        <v>9</v>
      </c>
      <c r="M66" s="85" t="n">
        <f>'Suraj Forwarders'!N9</f>
        <v>0</v>
      </c>
      <c r="N66" s="85" t="n">
        <f>'Suraj Forwarders'!O9</f>
        <v>9</v>
      </c>
      <c r="O66" s="87" t="str">
        <f>'Suraj Forwarders'!P9</f>
        <v>9h 0m</v>
      </c>
    </row>
    <row r="67" ht="34" customHeight="1">
      <c r="A67" s="82" t="str">
        <f>"SURAJ FORWARDERS"</f>
        <v>SURAJ FORWARDERS</v>
      </c>
      <c r="B67" s="82" t="str">
        <f>'Suraj Forwarders'!A10</f>
        <v>NIRALI PATEL</v>
      </c>
      <c r="C67" s="85" t="n">
        <f>'Suraj Forwarders'!B10</f>
        <v>30</v>
      </c>
      <c r="D67" s="85" t="n">
        <f>'Suraj Forwarders'!C10</f>
        <v>24</v>
      </c>
      <c r="E67" s="85" t="n">
        <f>'Suraj Forwarders'!D10</f>
        <v>0</v>
      </c>
      <c r="F67" s="86" t="n">
        <f>'Suraj Forwarders'!E10</f>
        <v>0</v>
      </c>
      <c r="G67" s="86" t="n">
        <f>'Suraj Forwarders'!F10</f>
        <v>0</v>
      </c>
      <c r="H67" s="85" t="n">
        <f>'Suraj Forwarders'!G10</f>
        <v>0</v>
      </c>
      <c r="I67" s="85" t="n">
        <f>'Suraj Forwarders'!H10</f>
        <v>0</v>
      </c>
      <c r="J67" s="86" t="n">
        <f>'Suraj Forwarders'!I10</f>
        <v>5</v>
      </c>
      <c r="K67" s="86" t="n">
        <f>'Suraj Forwarders'!J10</f>
        <v>1</v>
      </c>
      <c r="L67" s="85" t="n">
        <f>'Suraj Forwarders'!M10</f>
        <v>23.5</v>
      </c>
      <c r="M67" s="85" t="n">
        <f>'Suraj Forwarders'!N10</f>
        <v>0</v>
      </c>
      <c r="N67" s="85" t="n">
        <f>'Suraj Forwarders'!O10</f>
        <v>23.5</v>
      </c>
      <c r="O67" s="87" t="str">
        <f>'Suraj Forwarders'!P10</f>
        <v>8h 54m</v>
      </c>
    </row>
    <row r="68" ht="34" customHeight="1">
      <c r="A68" s="82" t="str">
        <f>"SURAJ FORWARDERS"</f>
        <v>SURAJ FORWARDERS</v>
      </c>
      <c r="B68" s="82" t="str">
        <f>'Suraj Forwarders'!A11</f>
        <v>PARAS MAKWANA</v>
      </c>
      <c r="C68" s="85" t="n">
        <f>'Suraj Forwarders'!B11</f>
        <v>30</v>
      </c>
      <c r="D68" s="85" t="n">
        <f>'Suraj Forwarders'!C11</f>
        <v>25</v>
      </c>
      <c r="E68" s="85" t="n">
        <f>'Suraj Forwarders'!D11</f>
        <v>0</v>
      </c>
      <c r="F68" s="86" t="n">
        <f>'Suraj Forwarders'!E11</f>
        <v>0</v>
      </c>
      <c r="G68" s="86" t="n">
        <f>'Suraj Forwarders'!F11</f>
        <v>0</v>
      </c>
      <c r="H68" s="85" t="n">
        <f>'Suraj Forwarders'!G11</f>
        <v>0</v>
      </c>
      <c r="I68" s="85" t="n">
        <f>'Suraj Forwarders'!H11</f>
        <v>0</v>
      </c>
      <c r="J68" s="86" t="n">
        <f>'Suraj Forwarders'!I11</f>
        <v>4</v>
      </c>
      <c r="K68" s="86" t="n">
        <f>'Suraj Forwarders'!J11</f>
        <v>1</v>
      </c>
      <c r="L68" s="85" t="n">
        <f>'Suraj Forwarders'!M11</f>
        <v>30.5</v>
      </c>
      <c r="M68" s="85" t="n">
        <f>'Suraj Forwarders'!N11</f>
        <v>0</v>
      </c>
      <c r="N68" s="85" t="n">
        <f>'Suraj Forwarders'!O11</f>
        <v>30.5</v>
      </c>
      <c r="O68" s="87" t="str">
        <f>'Suraj Forwarders'!P11</f>
        <v>9h 42m</v>
      </c>
    </row>
    <row r="69" ht="34" customHeight="1">
      <c r="A69" s="82" t="str">
        <f>"SURAJ FORWARDERS &amp; SHIPPING AGENCIES"</f>
        <v>SURAJ FORWARDERS &amp; SHIPPING AGENCIES</v>
      </c>
      <c r="B69" s="82" t="str">
        <f>'Suraj Forwarders &amp; Shipping Age'!A5</f>
        <v>AMIT MISHRA</v>
      </c>
      <c r="C69" s="85" t="n">
        <f>'Suraj Forwarders &amp; Shipping Age'!B5</f>
        <v>29</v>
      </c>
      <c r="D69" s="85" t="n">
        <f>'Suraj Forwarders &amp; Shipping Age'!C5</f>
        <v>20.5</v>
      </c>
      <c r="E69" s="85" t="n">
        <f>'Suraj Forwarders &amp; Shipping Age'!D5</f>
        <v>0</v>
      </c>
      <c r="F69" s="86" t="n">
        <f>'Suraj Forwarders &amp; Shipping Age'!E5</f>
        <v>1</v>
      </c>
      <c r="G69" s="86" t="n">
        <f>'Suraj Forwarders &amp; Shipping Age'!F5</f>
        <v>3</v>
      </c>
      <c r="H69" s="85" t="n">
        <f>'Suraj Forwarders &amp; Shipping Age'!G5</f>
        <v>3.5</v>
      </c>
      <c r="I69" s="85" t="n">
        <f>'Suraj Forwarders &amp; Shipping Age'!H5</f>
        <v>1</v>
      </c>
      <c r="J69" s="86" t="n">
        <f>'Suraj Forwarders &amp; Shipping Age'!I5</f>
        <v>4</v>
      </c>
      <c r="K69" s="86" t="n">
        <f>'Suraj Forwarders &amp; Shipping Age'!J5</f>
        <v>1</v>
      </c>
      <c r="L69" s="85" t="n">
        <f>'Suraj Forwarders &amp; Shipping Age'!M5</f>
        <v>43.5</v>
      </c>
      <c r="M69" s="85" t="n">
        <f>'Suraj Forwarders &amp; Shipping Age'!N5</f>
        <v>3.5</v>
      </c>
      <c r="N69" s="85" t="n">
        <f>'Suraj Forwarders &amp; Shipping Age'!O5</f>
        <v>40</v>
      </c>
      <c r="O69" s="87" t="str">
        <f>'Suraj Forwarders &amp; Shipping Age'!P5</f>
        <v>9h 12m</v>
      </c>
    </row>
    <row r="70" ht="34" customHeight="1">
      <c r="A70" s="82" t="str">
        <f>"SURAJ FORWARDERS &amp; SHIPPING AGENCIES"</f>
        <v>SURAJ FORWARDERS &amp; SHIPPING AGENCIES</v>
      </c>
      <c r="B70" s="82" t="str">
        <f>'Suraj Forwarders &amp; Shipping Age'!A6</f>
        <v>ANAND RAJPUT</v>
      </c>
      <c r="C70" s="85" t="n">
        <f>'Suraj Forwarders &amp; Shipping Age'!B6</f>
        <v>30</v>
      </c>
      <c r="D70" s="85" t="n">
        <f>'Suraj Forwarders &amp; Shipping Age'!C6</f>
        <v>22</v>
      </c>
      <c r="E70" s="85" t="n">
        <f>'Suraj Forwarders &amp; Shipping Age'!D6</f>
        <v>0</v>
      </c>
      <c r="F70" s="86" t="n">
        <f>'Suraj Forwarders &amp; Shipping Age'!E6</f>
        <v>0</v>
      </c>
      <c r="G70" s="86" t="n">
        <f>'Suraj Forwarders &amp; Shipping Age'!F6</f>
        <v>2</v>
      </c>
      <c r="H70" s="85" t="n">
        <f>'Suraj Forwarders &amp; Shipping Age'!G6</f>
        <v>2</v>
      </c>
      <c r="I70" s="85" t="n">
        <f>'Suraj Forwarders &amp; Shipping Age'!H6</f>
        <v>0</v>
      </c>
      <c r="J70" s="86" t="n">
        <f>'Suraj Forwarders &amp; Shipping Age'!I6</f>
        <v>5</v>
      </c>
      <c r="K70" s="86" t="n">
        <f>'Suraj Forwarders &amp; Shipping Age'!J6</f>
        <v>1</v>
      </c>
      <c r="L70" s="85" t="n">
        <f>'Suraj Forwarders &amp; Shipping Age'!M6</f>
        <v>44.5</v>
      </c>
      <c r="M70" s="85" t="n">
        <f>'Suraj Forwarders &amp; Shipping Age'!N6</f>
        <v>2</v>
      </c>
      <c r="N70" s="85" t="n">
        <f>'Suraj Forwarders &amp; Shipping Age'!O6</f>
        <v>42.5</v>
      </c>
      <c r="O70" s="87" t="str">
        <f>'Suraj Forwarders &amp; Shipping Age'!P6</f>
        <v>9h 36m</v>
      </c>
    </row>
    <row r="71" ht="34" customHeight="1">
      <c r="A71" s="82" t="str">
        <f>"SURAJ FORWARDERS &amp; SHIPPING AGENCIES"</f>
        <v>SURAJ FORWARDERS &amp; SHIPPING AGENCIES</v>
      </c>
      <c r="B71" s="82" t="str">
        <f>'Suraj Forwarders &amp; Shipping Age'!A7</f>
        <v>ANURAG PILLAI</v>
      </c>
      <c r="C71" s="85" t="n">
        <f>'Suraj Forwarders &amp; Shipping Age'!B7</f>
        <v>30</v>
      </c>
      <c r="D71" s="85" t="n">
        <f>'Suraj Forwarders &amp; Shipping Age'!C7</f>
        <v>25</v>
      </c>
      <c r="E71" s="85" t="n">
        <f>'Suraj Forwarders &amp; Shipping Age'!D7</f>
        <v>0</v>
      </c>
      <c r="F71" s="86" t="n">
        <f>'Suraj Forwarders &amp; Shipping Age'!E7</f>
        <v>0</v>
      </c>
      <c r="G71" s="86" t="n">
        <f>'Suraj Forwarders &amp; Shipping Age'!F7</f>
        <v>0</v>
      </c>
      <c r="H71" s="85" t="n">
        <f>'Suraj Forwarders &amp; Shipping Age'!G7</f>
        <v>0</v>
      </c>
      <c r="I71" s="85" t="n">
        <f>'Suraj Forwarders &amp; Shipping Age'!H7</f>
        <v>0</v>
      </c>
      <c r="J71" s="86" t="n">
        <f>'Suraj Forwarders &amp; Shipping Age'!I7</f>
        <v>4</v>
      </c>
      <c r="K71" s="86" t="n">
        <f>'Suraj Forwarders &amp; Shipping Age'!J7</f>
        <v>1</v>
      </c>
      <c r="L71" s="85" t="n">
        <f>'Suraj Forwarders &amp; Shipping Age'!M7</f>
        <v>6</v>
      </c>
      <c r="M71" s="85" t="n">
        <f>'Suraj Forwarders &amp; Shipping Age'!N7</f>
        <v>0</v>
      </c>
      <c r="N71" s="85" t="n">
        <f>'Suraj Forwarders &amp; Shipping Age'!O7</f>
        <v>6</v>
      </c>
      <c r="O71" s="87" t="str">
        <f>'Suraj Forwarders &amp; Shipping Age'!P7</f>
        <v>11h 18m</v>
      </c>
    </row>
    <row r="72" ht="34" customHeight="1">
      <c r="A72" s="82" t="str">
        <f>"SURAJ FORWARDERS &amp; SHIPPING AGENCIES"</f>
        <v>SURAJ FORWARDERS &amp; SHIPPING AGENCIES</v>
      </c>
      <c r="B72" s="82" t="str">
        <f>'Suraj Forwarders &amp; Shipping Age'!A8</f>
        <v>BHALUSINH RATHOD</v>
      </c>
      <c r="C72" s="85" t="n">
        <f>'Suraj Forwarders &amp; Shipping Age'!B8</f>
        <v>30</v>
      </c>
      <c r="D72" s="85" t="n">
        <f>'Suraj Forwarders &amp; Shipping Age'!C8</f>
        <v>22</v>
      </c>
      <c r="E72" s="85" t="n">
        <f>'Suraj Forwarders &amp; Shipping Age'!D8</f>
        <v>0</v>
      </c>
      <c r="F72" s="86" t="n">
        <f>'Suraj Forwarders &amp; Shipping Age'!E8</f>
        <v>0</v>
      </c>
      <c r="G72" s="86" t="n">
        <f>'Suraj Forwarders &amp; Shipping Age'!F8</f>
        <v>2</v>
      </c>
      <c r="H72" s="85" t="n">
        <f>'Suraj Forwarders &amp; Shipping Age'!G8</f>
        <v>2</v>
      </c>
      <c r="I72" s="85" t="n">
        <f>'Suraj Forwarders &amp; Shipping Age'!H8</f>
        <v>0</v>
      </c>
      <c r="J72" s="86" t="n">
        <f>'Suraj Forwarders &amp; Shipping Age'!I8</f>
        <v>5</v>
      </c>
      <c r="K72" s="86" t="n">
        <f>'Suraj Forwarders &amp; Shipping Age'!J8</f>
        <v>1</v>
      </c>
      <c r="L72" s="85" t="n">
        <f>'Suraj Forwarders &amp; Shipping Age'!M8</f>
        <v>130</v>
      </c>
      <c r="M72" s="85" t="n">
        <f>'Suraj Forwarders &amp; Shipping Age'!N8</f>
        <v>2</v>
      </c>
      <c r="N72" s="85" t="n">
        <f>'Suraj Forwarders &amp; Shipping Age'!O8</f>
        <v>128</v>
      </c>
      <c r="O72" s="87" t="str">
        <f>'Suraj Forwarders &amp; Shipping Age'!P8</f>
        <v>9h 18m</v>
      </c>
    </row>
    <row r="73" ht="34" customHeight="1">
      <c r="A73" s="82" t="str">
        <f>"SURAJ FORWARDERS &amp; SHIPPING AGENCIES"</f>
        <v>SURAJ FORWARDERS &amp; SHIPPING AGENCIES</v>
      </c>
      <c r="B73" s="82" t="str">
        <f>'Suraj Forwarders &amp; Shipping Age'!A9</f>
        <v>BHARAT DEVASI</v>
      </c>
      <c r="C73" s="85" t="n">
        <f>'Suraj Forwarders &amp; Shipping Age'!B9</f>
        <v>29.5</v>
      </c>
      <c r="D73" s="85" t="n">
        <f>'Suraj Forwarders &amp; Shipping Age'!C9</f>
        <v>20.5</v>
      </c>
      <c r="E73" s="85" t="n">
        <f>'Suraj Forwarders &amp; Shipping Age'!D9</f>
        <v>0.5</v>
      </c>
      <c r="F73" s="86" t="n">
        <f>'Suraj Forwarders &amp; Shipping Age'!E9</f>
        <v>0</v>
      </c>
      <c r="G73" s="86" t="n">
        <f>'Suraj Forwarders &amp; Shipping Age'!F9</f>
        <v>3</v>
      </c>
      <c r="H73" s="85" t="n">
        <f>'Suraj Forwarders &amp; Shipping Age'!G9</f>
        <v>3</v>
      </c>
      <c r="I73" s="85" t="n">
        <f>'Suraj Forwarders &amp; Shipping Age'!H9</f>
        <v>0</v>
      </c>
      <c r="J73" s="86" t="n">
        <f>'Suraj Forwarders &amp; Shipping Age'!I9</f>
        <v>5</v>
      </c>
      <c r="K73" s="86" t="n">
        <f>'Suraj Forwarders &amp; Shipping Age'!J9</f>
        <v>1</v>
      </c>
      <c r="L73" s="85" t="n">
        <f>'Suraj Forwarders &amp; Shipping Age'!M9</f>
        <v>37</v>
      </c>
      <c r="M73" s="85" t="n">
        <f>'Suraj Forwarders &amp; Shipping Age'!N9</f>
        <v>3</v>
      </c>
      <c r="N73" s="85" t="n">
        <f>'Suraj Forwarders &amp; Shipping Age'!O9</f>
        <v>34</v>
      </c>
      <c r="O73" s="87" t="str">
        <f>'Suraj Forwarders &amp; Shipping Age'!P9</f>
        <v>9h 36m</v>
      </c>
    </row>
    <row r="74" ht="34" customHeight="1">
      <c r="A74" s="82" t="str">
        <f>"SURAJ FORWARDERS &amp; SHIPPING AGENCIES"</f>
        <v>SURAJ FORWARDERS &amp; SHIPPING AGENCIES</v>
      </c>
      <c r="B74" s="82" t="str">
        <f>'Suraj Forwarders &amp; Shipping Age'!A10</f>
        <v>CHETANBHAI PARMAR</v>
      </c>
      <c r="C74" s="85" t="n">
        <f>'Suraj Forwarders &amp; Shipping Age'!B10</f>
        <v>30</v>
      </c>
      <c r="D74" s="85" t="n">
        <f>'Suraj Forwarders &amp; Shipping Age'!C10</f>
        <v>20.5</v>
      </c>
      <c r="E74" s="85" t="n">
        <f>'Suraj Forwarders &amp; Shipping Age'!D10</f>
        <v>0</v>
      </c>
      <c r="F74" s="86" t="n">
        <f>'Suraj Forwarders &amp; Shipping Age'!E10</f>
        <v>1</v>
      </c>
      <c r="G74" s="86" t="n">
        <f>'Suraj Forwarders &amp; Shipping Age'!F10</f>
        <v>3</v>
      </c>
      <c r="H74" s="85" t="n">
        <f>'Suraj Forwarders &amp; Shipping Age'!G10</f>
        <v>3.5</v>
      </c>
      <c r="I74" s="85" t="n">
        <f>'Suraj Forwarders &amp; Shipping Age'!H10</f>
        <v>0</v>
      </c>
      <c r="J74" s="86" t="n">
        <f>'Suraj Forwarders &amp; Shipping Age'!I10</f>
        <v>5</v>
      </c>
      <c r="K74" s="86" t="n">
        <f>'Suraj Forwarders &amp; Shipping Age'!J10</f>
        <v>1</v>
      </c>
      <c r="L74" s="85" t="n">
        <f>'Suraj Forwarders &amp; Shipping Age'!M10</f>
        <v>52</v>
      </c>
      <c r="M74" s="85" t="n">
        <f>'Suraj Forwarders &amp; Shipping Age'!N10</f>
        <v>3.5</v>
      </c>
      <c r="N74" s="85" t="n">
        <f>'Suraj Forwarders &amp; Shipping Age'!O10</f>
        <v>48.5</v>
      </c>
      <c r="O74" s="87" t="str">
        <f>'Suraj Forwarders &amp; Shipping Age'!P10</f>
        <v>9h 18m</v>
      </c>
    </row>
    <row r="75" ht="34" customHeight="1">
      <c r="A75" s="82" t="str">
        <f>"SURAJ FORWARDERS &amp; SHIPPING AGENCIES"</f>
        <v>SURAJ FORWARDERS &amp; SHIPPING AGENCIES</v>
      </c>
      <c r="B75" s="82" t="str">
        <f>'Suraj Forwarders &amp; Shipping Age'!A11</f>
        <v>DHARMENDRA KUMAR DIXIT</v>
      </c>
      <c r="C75" s="85" t="n">
        <f>'Suraj Forwarders &amp; Shipping Age'!B11</f>
        <v>30</v>
      </c>
      <c r="D75" s="85" t="n">
        <f>'Suraj Forwarders &amp; Shipping Age'!C11</f>
        <v>22</v>
      </c>
      <c r="E75" s="85" t="n">
        <f>'Suraj Forwarders &amp; Shipping Age'!D11</f>
        <v>0</v>
      </c>
      <c r="F75" s="86" t="n">
        <f>'Suraj Forwarders &amp; Shipping Age'!E11</f>
        <v>0</v>
      </c>
      <c r="G75" s="86" t="n">
        <f>'Suraj Forwarders &amp; Shipping Age'!F11</f>
        <v>2</v>
      </c>
      <c r="H75" s="85" t="n">
        <f>'Suraj Forwarders &amp; Shipping Age'!G11</f>
        <v>2</v>
      </c>
      <c r="I75" s="85" t="n">
        <f>'Suraj Forwarders &amp; Shipping Age'!H11</f>
        <v>0</v>
      </c>
      <c r="J75" s="86" t="n">
        <f>'Suraj Forwarders &amp; Shipping Age'!I11</f>
        <v>5</v>
      </c>
      <c r="K75" s="86" t="n">
        <f>'Suraj Forwarders &amp; Shipping Age'!J11</f>
        <v>1</v>
      </c>
      <c r="L75" s="85" t="n">
        <f>'Suraj Forwarders &amp; Shipping Age'!M11</f>
        <v>9.5</v>
      </c>
      <c r="M75" s="85" t="n">
        <f>'Suraj Forwarders &amp; Shipping Age'!N11</f>
        <v>2</v>
      </c>
      <c r="N75" s="85" t="n">
        <f>'Suraj Forwarders &amp; Shipping Age'!O11</f>
        <v>7.5</v>
      </c>
      <c r="O75" s="87" t="str">
        <f>'Suraj Forwarders &amp; Shipping Age'!P11</f>
        <v>8h 18m</v>
      </c>
    </row>
    <row r="76" ht="34" customHeight="1">
      <c r="A76" s="82" t="str">
        <f>"SURAJ FORWARDERS &amp; SHIPPING AGENCIES"</f>
        <v>SURAJ FORWARDERS &amp; SHIPPING AGENCIES</v>
      </c>
      <c r="B76" s="82" t="str">
        <f>'Suraj Forwarders &amp; Shipping Age'!A12</f>
        <v>DURGESH PANDEY</v>
      </c>
      <c r="C76" s="85" t="n">
        <f>'Suraj Forwarders &amp; Shipping Age'!B12</f>
        <v>30</v>
      </c>
      <c r="D76" s="85" t="n">
        <f>'Suraj Forwarders &amp; Shipping Age'!C12</f>
        <v>25</v>
      </c>
      <c r="E76" s="85" t="n">
        <f>'Suraj Forwarders &amp; Shipping Age'!D12</f>
        <v>0</v>
      </c>
      <c r="F76" s="86" t="n">
        <f>'Suraj Forwarders &amp; Shipping Age'!E12</f>
        <v>0</v>
      </c>
      <c r="G76" s="86" t="n">
        <f>'Suraj Forwarders &amp; Shipping Age'!F12</f>
        <v>0</v>
      </c>
      <c r="H76" s="85" t="n">
        <f>'Suraj Forwarders &amp; Shipping Age'!G12</f>
        <v>0</v>
      </c>
      <c r="I76" s="85" t="n">
        <f>'Suraj Forwarders &amp; Shipping Age'!H12</f>
        <v>0</v>
      </c>
      <c r="J76" s="86" t="n">
        <f>'Suraj Forwarders &amp; Shipping Age'!I12</f>
        <v>4</v>
      </c>
      <c r="K76" s="86" t="n">
        <f>'Suraj Forwarders &amp; Shipping Age'!J12</f>
        <v>1</v>
      </c>
      <c r="L76" s="85" t="n">
        <f>'Suraj Forwarders &amp; Shipping Age'!M12</f>
        <v>10</v>
      </c>
      <c r="M76" s="85" t="n">
        <f>'Suraj Forwarders &amp; Shipping Age'!N12</f>
        <v>0</v>
      </c>
      <c r="N76" s="85" t="n">
        <f>'Suraj Forwarders &amp; Shipping Age'!O12</f>
        <v>10</v>
      </c>
      <c r="O76" s="87" t="str">
        <f>'Suraj Forwarders &amp; Shipping Age'!P12</f>
        <v>10h 6m</v>
      </c>
    </row>
    <row r="77" ht="34" customHeight="1">
      <c r="A77" s="82" t="str">
        <f>"SURAJ FORWARDERS &amp; SHIPPING AGENCIES"</f>
        <v>SURAJ FORWARDERS &amp; SHIPPING AGENCIES</v>
      </c>
      <c r="B77" s="82" t="str">
        <f>'Suraj Forwarders &amp; Shipping Age'!A13</f>
        <v>ELAIYARAJA ADIDRAVID</v>
      </c>
      <c r="C77" s="85" t="n">
        <f>'Suraj Forwarders &amp; Shipping Age'!B13</f>
        <v>30</v>
      </c>
      <c r="D77" s="85" t="n">
        <f>'Suraj Forwarders &amp; Shipping Age'!C13</f>
        <v>23</v>
      </c>
      <c r="E77" s="85" t="n">
        <f>'Suraj Forwarders &amp; Shipping Age'!D13</f>
        <v>0</v>
      </c>
      <c r="F77" s="86" t="n">
        <f>'Suraj Forwarders &amp; Shipping Age'!E13</f>
        <v>0</v>
      </c>
      <c r="G77" s="86" t="n">
        <f>'Suraj Forwarders &amp; Shipping Age'!F13</f>
        <v>1</v>
      </c>
      <c r="H77" s="85" t="n">
        <f>'Suraj Forwarders &amp; Shipping Age'!G13</f>
        <v>1</v>
      </c>
      <c r="I77" s="85" t="n">
        <f>'Suraj Forwarders &amp; Shipping Age'!H13</f>
        <v>0</v>
      </c>
      <c r="J77" s="86" t="n">
        <f>'Suraj Forwarders &amp; Shipping Age'!I13</f>
        <v>5</v>
      </c>
      <c r="K77" s="86" t="n">
        <f>'Suraj Forwarders &amp; Shipping Age'!J13</f>
        <v>1</v>
      </c>
      <c r="L77" s="85" t="n">
        <f>'Suraj Forwarders &amp; Shipping Age'!M13</f>
        <v>22</v>
      </c>
      <c r="M77" s="85" t="n">
        <f>'Suraj Forwarders &amp; Shipping Age'!N13</f>
        <v>1</v>
      </c>
      <c r="N77" s="85" t="n">
        <f>'Suraj Forwarders &amp; Shipping Age'!O13</f>
        <v>21</v>
      </c>
      <c r="O77" s="87" t="str">
        <f>'Suraj Forwarders &amp; Shipping Age'!P13</f>
        <v>8h 48m</v>
      </c>
    </row>
    <row r="78" ht="34" customHeight="1">
      <c r="A78" s="82" t="str">
        <f>"SURAJ FORWARDERS &amp; SHIPPING AGENCIES"</f>
        <v>SURAJ FORWARDERS &amp; SHIPPING AGENCIES</v>
      </c>
      <c r="B78" s="82" t="str">
        <f>'Suraj Forwarders &amp; Shipping Age'!A14</f>
        <v>GAURAV SINGH</v>
      </c>
      <c r="C78" s="85" t="n">
        <f>'Suraj Forwarders &amp; Shipping Age'!B14</f>
        <v>30</v>
      </c>
      <c r="D78" s="85" t="n">
        <f>'Suraj Forwarders &amp; Shipping Age'!C14</f>
        <v>24</v>
      </c>
      <c r="E78" s="85" t="n">
        <f>'Suraj Forwarders &amp; Shipping Age'!D14</f>
        <v>0</v>
      </c>
      <c r="F78" s="86" t="n">
        <f>'Suraj Forwarders &amp; Shipping Age'!E14</f>
        <v>0</v>
      </c>
      <c r="G78" s="86" t="n">
        <f>'Suraj Forwarders &amp; Shipping Age'!F14</f>
        <v>0</v>
      </c>
      <c r="H78" s="85" t="n">
        <f>'Suraj Forwarders &amp; Shipping Age'!G14</f>
        <v>0</v>
      </c>
      <c r="I78" s="85" t="n">
        <f>'Suraj Forwarders &amp; Shipping Age'!H14</f>
        <v>0</v>
      </c>
      <c r="J78" s="86" t="n">
        <f>'Suraj Forwarders &amp; Shipping Age'!I14</f>
        <v>5</v>
      </c>
      <c r="K78" s="86" t="n">
        <f>'Suraj Forwarders &amp; Shipping Age'!J14</f>
        <v>1</v>
      </c>
      <c r="L78" s="85" t="n">
        <f>'Suraj Forwarders &amp; Shipping Age'!M14</f>
        <v>30.5</v>
      </c>
      <c r="M78" s="85" t="n">
        <f>'Suraj Forwarders &amp; Shipping Age'!N14</f>
        <v>0</v>
      </c>
      <c r="N78" s="85" t="n">
        <f>'Suraj Forwarders &amp; Shipping Age'!O14</f>
        <v>30.5</v>
      </c>
      <c r="O78" s="87" t="str">
        <f>'Suraj Forwarders &amp; Shipping Age'!P14</f>
        <v>9h 12m</v>
      </c>
    </row>
    <row r="79" ht="34" customHeight="1">
      <c r="A79" s="82" t="str">
        <f>"SURAJ FORWARDERS &amp; SHIPPING AGENCIES"</f>
        <v>SURAJ FORWARDERS &amp; SHIPPING AGENCIES</v>
      </c>
      <c r="B79" s="82" t="str">
        <f>'Suraj Forwarders &amp; Shipping Age'!A15</f>
        <v>HIMMAT PANWAR</v>
      </c>
      <c r="C79" s="85" t="n">
        <f>'Suraj Forwarders &amp; Shipping Age'!B15</f>
        <v>30</v>
      </c>
      <c r="D79" s="85" t="n">
        <f>'Suraj Forwarders &amp; Shipping Age'!C15</f>
        <v>18</v>
      </c>
      <c r="E79" s="85" t="n">
        <f>'Suraj Forwarders &amp; Shipping Age'!D15</f>
        <v>0</v>
      </c>
      <c r="F79" s="86" t="n">
        <f>'Suraj Forwarders &amp; Shipping Age'!E15</f>
        <v>0</v>
      </c>
      <c r="G79" s="86" t="n">
        <f>'Suraj Forwarders &amp; Shipping Age'!F15</f>
        <v>7</v>
      </c>
      <c r="H79" s="85" t="n">
        <f>'Suraj Forwarders &amp; Shipping Age'!G15</f>
        <v>7</v>
      </c>
      <c r="I79" s="85" t="n">
        <f>'Suraj Forwarders &amp; Shipping Age'!H15</f>
        <v>0</v>
      </c>
      <c r="J79" s="86" t="n">
        <f>'Suraj Forwarders &amp; Shipping Age'!I15</f>
        <v>4</v>
      </c>
      <c r="K79" s="86" t="n">
        <f>'Suraj Forwarders &amp; Shipping Age'!J15</f>
        <v>1</v>
      </c>
      <c r="L79" s="85" t="n">
        <f>'Suraj Forwarders &amp; Shipping Age'!M15</f>
        <v>10</v>
      </c>
      <c r="M79" s="85" t="n">
        <f>'Suraj Forwarders &amp; Shipping Age'!N15</f>
        <v>7</v>
      </c>
      <c r="N79" s="85" t="n">
        <f>'Suraj Forwarders &amp; Shipping Age'!O15</f>
        <v>3</v>
      </c>
      <c r="O79" s="87" t="str">
        <f>'Suraj Forwarders &amp; Shipping Age'!P15</f>
        <v>9h 0m</v>
      </c>
    </row>
    <row r="80" ht="34" customHeight="1">
      <c r="A80" s="82" t="str">
        <f>"SURAJ FORWARDERS &amp; SHIPPING AGENCIES"</f>
        <v>SURAJ FORWARDERS &amp; SHIPPING AGENCIES</v>
      </c>
      <c r="B80" s="82" t="str">
        <f>'Suraj Forwarders &amp; Shipping Age'!A16</f>
        <v>JITENDRAKUMAR MAKWANA</v>
      </c>
      <c r="C80" s="85" t="n">
        <f>'Suraj Forwarders &amp; Shipping Age'!B16</f>
        <v>30</v>
      </c>
      <c r="D80" s="85" t="n">
        <f>'Suraj Forwarders &amp; Shipping Age'!C16</f>
        <v>24</v>
      </c>
      <c r="E80" s="85" t="n">
        <f>'Suraj Forwarders &amp; Shipping Age'!D16</f>
        <v>0</v>
      </c>
      <c r="F80" s="86" t="n">
        <f>'Suraj Forwarders &amp; Shipping Age'!E16</f>
        <v>0</v>
      </c>
      <c r="G80" s="86" t="n">
        <f>'Suraj Forwarders &amp; Shipping Age'!F16</f>
        <v>1</v>
      </c>
      <c r="H80" s="85" t="n">
        <f>'Suraj Forwarders &amp; Shipping Age'!G16</f>
        <v>1</v>
      </c>
      <c r="I80" s="85" t="n">
        <f>'Suraj Forwarders &amp; Shipping Age'!H16</f>
        <v>0</v>
      </c>
      <c r="J80" s="86" t="n">
        <f>'Suraj Forwarders &amp; Shipping Age'!I16</f>
        <v>4</v>
      </c>
      <c r="K80" s="86" t="n">
        <f>'Suraj Forwarders &amp; Shipping Age'!J16</f>
        <v>1</v>
      </c>
      <c r="L80" s="85" t="n">
        <f>'Suraj Forwarders &amp; Shipping Age'!M16</f>
        <v>48</v>
      </c>
      <c r="M80" s="85" t="n">
        <f>'Suraj Forwarders &amp; Shipping Age'!N16</f>
        <v>1</v>
      </c>
      <c r="N80" s="85" t="n">
        <f>'Suraj Forwarders &amp; Shipping Age'!O16</f>
        <v>47</v>
      </c>
      <c r="O80" s="87" t="str">
        <f>'Suraj Forwarders &amp; Shipping Age'!P16</f>
        <v>9h 18m</v>
      </c>
    </row>
    <row r="81" ht="34" customHeight="1">
      <c r="A81" s="82" t="str">
        <f>"SURAJ FORWARDERS &amp; SHIPPING AGENCIES"</f>
        <v>SURAJ FORWARDERS &amp; SHIPPING AGENCIES</v>
      </c>
      <c r="B81" s="82" t="str">
        <f>'Suraj Forwarders &amp; Shipping Age'!A17</f>
        <v>JITENDRASINH SHEKHAVAT</v>
      </c>
      <c r="C81" s="85" t="n">
        <f>'Suraj Forwarders &amp; Shipping Age'!B17</f>
        <v>30</v>
      </c>
      <c r="D81" s="85" t="n">
        <f>'Suraj Forwarders &amp; Shipping Age'!C17</f>
        <v>23</v>
      </c>
      <c r="E81" s="85" t="n">
        <f>'Suraj Forwarders &amp; Shipping Age'!D17</f>
        <v>0</v>
      </c>
      <c r="F81" s="86" t="n">
        <f>'Suraj Forwarders &amp; Shipping Age'!E17</f>
        <v>0</v>
      </c>
      <c r="G81" s="86" t="n">
        <f>'Suraj Forwarders &amp; Shipping Age'!F17</f>
        <v>1</v>
      </c>
      <c r="H81" s="85" t="n">
        <f>'Suraj Forwarders &amp; Shipping Age'!G17</f>
        <v>1</v>
      </c>
      <c r="I81" s="85" t="n">
        <f>'Suraj Forwarders &amp; Shipping Age'!H17</f>
        <v>0</v>
      </c>
      <c r="J81" s="86" t="n">
        <f>'Suraj Forwarders &amp; Shipping Age'!I17</f>
        <v>5</v>
      </c>
      <c r="K81" s="86" t="n">
        <f>'Suraj Forwarders &amp; Shipping Age'!J17</f>
        <v>1</v>
      </c>
      <c r="L81" s="85" t="n">
        <f>'Suraj Forwarders &amp; Shipping Age'!M17</f>
        <v>22</v>
      </c>
      <c r="M81" s="85" t="n">
        <f>'Suraj Forwarders &amp; Shipping Age'!N17</f>
        <v>1</v>
      </c>
      <c r="N81" s="85" t="n">
        <f>'Suraj Forwarders &amp; Shipping Age'!O17</f>
        <v>21</v>
      </c>
      <c r="O81" s="87" t="str">
        <f>'Suraj Forwarders &amp; Shipping Age'!P17</f>
        <v>9h 48m</v>
      </c>
    </row>
    <row r="82" ht="34" customHeight="1">
      <c r="A82" s="82" t="str">
        <f>"SURAJ FORWARDERS &amp; SHIPPING AGENCIES"</f>
        <v>SURAJ FORWARDERS &amp; SHIPPING AGENCIES</v>
      </c>
      <c r="B82" s="82" t="str">
        <f>'Suraj Forwarders &amp; Shipping Age'!A18</f>
        <v>KALPESH CHAUHAN</v>
      </c>
      <c r="C82" s="85" t="n">
        <f>'Suraj Forwarders &amp; Shipping Age'!B18</f>
        <v>30</v>
      </c>
      <c r="D82" s="85" t="n">
        <f>'Suraj Forwarders &amp; Shipping Age'!C18</f>
        <v>25</v>
      </c>
      <c r="E82" s="85" t="n">
        <f>'Suraj Forwarders &amp; Shipping Age'!D18</f>
        <v>0</v>
      </c>
      <c r="F82" s="86" t="n">
        <f>'Suraj Forwarders &amp; Shipping Age'!E18</f>
        <v>0</v>
      </c>
      <c r="G82" s="86" t="n">
        <f>'Suraj Forwarders &amp; Shipping Age'!F18</f>
        <v>0</v>
      </c>
      <c r="H82" s="85" t="n">
        <f>'Suraj Forwarders &amp; Shipping Age'!G18</f>
        <v>0</v>
      </c>
      <c r="I82" s="85" t="n">
        <f>'Suraj Forwarders &amp; Shipping Age'!H18</f>
        <v>0</v>
      </c>
      <c r="J82" s="86" t="n">
        <f>'Suraj Forwarders &amp; Shipping Age'!I18</f>
        <v>4</v>
      </c>
      <c r="K82" s="86" t="n">
        <f>'Suraj Forwarders &amp; Shipping Age'!J18</f>
        <v>1</v>
      </c>
      <c r="L82" s="85" t="n">
        <f>'Suraj Forwarders &amp; Shipping Age'!M18</f>
        <v>27.5</v>
      </c>
      <c r="M82" s="85" t="n">
        <f>'Suraj Forwarders &amp; Shipping Age'!N18</f>
        <v>0</v>
      </c>
      <c r="N82" s="85" t="n">
        <f>'Suraj Forwarders &amp; Shipping Age'!O18</f>
        <v>27.5</v>
      </c>
      <c r="O82" s="87" t="str">
        <f>'Suraj Forwarders &amp; Shipping Age'!P18</f>
        <v>9h 42m</v>
      </c>
    </row>
    <row r="83" ht="34" customHeight="1">
      <c r="A83" s="82" t="str">
        <f>"SURAJ FORWARDERS &amp; SHIPPING AGENCIES"</f>
        <v>SURAJ FORWARDERS &amp; SHIPPING AGENCIES</v>
      </c>
      <c r="B83" s="82" t="str">
        <f>'Suraj Forwarders &amp; Shipping Age'!A19</f>
        <v>KAPIL GOSWAMI</v>
      </c>
      <c r="C83" s="85" t="n">
        <f>'Suraj Forwarders &amp; Shipping Age'!B19</f>
        <v>30</v>
      </c>
      <c r="D83" s="85" t="n">
        <f>'Suraj Forwarders &amp; Shipping Age'!C19</f>
        <v>24</v>
      </c>
      <c r="E83" s="85" t="n">
        <f>'Suraj Forwarders &amp; Shipping Age'!D19</f>
        <v>0</v>
      </c>
      <c r="F83" s="86" t="n">
        <f>'Suraj Forwarders &amp; Shipping Age'!E19</f>
        <v>0</v>
      </c>
      <c r="G83" s="86" t="n">
        <f>'Suraj Forwarders &amp; Shipping Age'!F19</f>
        <v>1</v>
      </c>
      <c r="H83" s="85" t="n">
        <f>'Suraj Forwarders &amp; Shipping Age'!G19</f>
        <v>1</v>
      </c>
      <c r="I83" s="85" t="n">
        <f>'Suraj Forwarders &amp; Shipping Age'!H19</f>
        <v>0</v>
      </c>
      <c r="J83" s="86" t="n">
        <f>'Suraj Forwarders &amp; Shipping Age'!I19</f>
        <v>4</v>
      </c>
      <c r="K83" s="86" t="n">
        <f>'Suraj Forwarders &amp; Shipping Age'!J19</f>
        <v>1</v>
      </c>
      <c r="L83" s="85" t="n">
        <f>'Suraj Forwarders &amp; Shipping Age'!M19</f>
        <v>31</v>
      </c>
      <c r="M83" s="85" t="n">
        <f>'Suraj Forwarders &amp; Shipping Age'!N19</f>
        <v>1</v>
      </c>
      <c r="N83" s="85" t="n">
        <f>'Suraj Forwarders &amp; Shipping Age'!O19</f>
        <v>30</v>
      </c>
      <c r="O83" s="87" t="str">
        <f>'Suraj Forwarders &amp; Shipping Age'!P19</f>
        <v>9h 30m</v>
      </c>
    </row>
    <row r="84" ht="34" customHeight="1">
      <c r="A84" s="82" t="str">
        <f>"SURAJ FORWARDERS &amp; SHIPPING AGENCIES"</f>
        <v>SURAJ FORWARDERS &amp; SHIPPING AGENCIES</v>
      </c>
      <c r="B84" s="82" t="str">
        <f>'Suraj Forwarders &amp; Shipping Age'!A20</f>
        <v>KIRIT BHANUSHALI</v>
      </c>
      <c r="C84" s="85" t="n">
        <f>'Suraj Forwarders &amp; Shipping Age'!B20</f>
        <v>30</v>
      </c>
      <c r="D84" s="85" t="n">
        <f>'Suraj Forwarders &amp; Shipping Age'!C20</f>
        <v>25</v>
      </c>
      <c r="E84" s="85" t="n">
        <f>'Suraj Forwarders &amp; Shipping Age'!D20</f>
        <v>0</v>
      </c>
      <c r="F84" s="86" t="n">
        <f>'Suraj Forwarders &amp; Shipping Age'!E20</f>
        <v>0</v>
      </c>
      <c r="G84" s="86" t="n">
        <f>'Suraj Forwarders &amp; Shipping Age'!F20</f>
        <v>0</v>
      </c>
      <c r="H84" s="85" t="n">
        <f>'Suraj Forwarders &amp; Shipping Age'!G20</f>
        <v>0</v>
      </c>
      <c r="I84" s="85" t="n">
        <f>'Suraj Forwarders &amp; Shipping Age'!H20</f>
        <v>0</v>
      </c>
      <c r="J84" s="86" t="n">
        <f>'Suraj Forwarders &amp; Shipping Age'!I20</f>
        <v>4</v>
      </c>
      <c r="K84" s="86" t="n">
        <f>'Suraj Forwarders &amp; Shipping Age'!J20</f>
        <v>1</v>
      </c>
      <c r="L84" s="85" t="n">
        <f>'Suraj Forwarders &amp; Shipping Age'!M20</f>
        <v>36</v>
      </c>
      <c r="M84" s="85" t="n">
        <f>'Suraj Forwarders &amp; Shipping Age'!N20</f>
        <v>0</v>
      </c>
      <c r="N84" s="85" t="n">
        <f>'Suraj Forwarders &amp; Shipping Age'!O20</f>
        <v>36</v>
      </c>
      <c r="O84" s="87" t="str">
        <f>'Suraj Forwarders &amp; Shipping Age'!P20</f>
        <v>9h 0m</v>
      </c>
    </row>
    <row r="85" ht="34" customHeight="1">
      <c r="A85" s="82" t="str">
        <f>"SURAJ FORWARDERS &amp; SHIPPING AGENCIES"</f>
        <v>SURAJ FORWARDERS &amp; SHIPPING AGENCIES</v>
      </c>
      <c r="B85" s="82" t="str">
        <f>'Suraj Forwarders &amp; Shipping Age'!A21</f>
        <v>MAHESH PATIL</v>
      </c>
      <c r="C85" s="85" t="n">
        <f>'Suraj Forwarders &amp; Shipping Age'!B21</f>
        <v>30</v>
      </c>
      <c r="D85" s="85" t="n">
        <f>'Suraj Forwarders &amp; Shipping Age'!C21</f>
        <v>21.5</v>
      </c>
      <c r="E85" s="85" t="n">
        <f>'Suraj Forwarders &amp; Shipping Age'!D21</f>
        <v>0</v>
      </c>
      <c r="F85" s="86" t="n">
        <f>'Suraj Forwarders &amp; Shipping Age'!E21</f>
        <v>3</v>
      </c>
      <c r="G85" s="86" t="n">
        <f>'Suraj Forwarders &amp; Shipping Age'!F21</f>
        <v>1</v>
      </c>
      <c r="H85" s="85" t="n">
        <f>'Suraj Forwarders &amp; Shipping Age'!G21</f>
        <v>2.5</v>
      </c>
      <c r="I85" s="85" t="n">
        <f>'Suraj Forwarders &amp; Shipping Age'!H21</f>
        <v>0</v>
      </c>
      <c r="J85" s="86" t="n">
        <f>'Suraj Forwarders &amp; Shipping Age'!I21</f>
        <v>5</v>
      </c>
      <c r="K85" s="86" t="n">
        <f>'Suraj Forwarders &amp; Shipping Age'!J21</f>
        <v>1</v>
      </c>
      <c r="L85" s="85" t="n">
        <f>'Suraj Forwarders &amp; Shipping Age'!M21</f>
        <v>157.5</v>
      </c>
      <c r="M85" s="85" t="n">
        <f>'Suraj Forwarders &amp; Shipping Age'!N21</f>
        <v>2.5</v>
      </c>
      <c r="N85" s="85" t="n">
        <f>'Suraj Forwarders &amp; Shipping Age'!O21</f>
        <v>155</v>
      </c>
      <c r="O85" s="87" t="str">
        <f>'Suraj Forwarders &amp; Shipping Age'!P21</f>
        <v>9h 36m</v>
      </c>
    </row>
    <row r="86" ht="34" customHeight="1">
      <c r="A86" s="82" t="str">
        <f>"SURAJ FORWARDERS &amp; SHIPPING AGENCIES"</f>
        <v>SURAJ FORWARDERS &amp; SHIPPING AGENCIES</v>
      </c>
      <c r="B86" s="82" t="str">
        <f>'Suraj Forwarders &amp; Shipping Age'!A22</f>
        <v>MAJHAR KHAN</v>
      </c>
      <c r="C86" s="85" t="n">
        <f>'Suraj Forwarders &amp; Shipping Age'!B22</f>
        <v>30</v>
      </c>
      <c r="D86" s="85" t="n">
        <f>'Suraj Forwarders &amp; Shipping Age'!C22</f>
        <v>21</v>
      </c>
      <c r="E86" s="85" t="n">
        <f>'Suraj Forwarders &amp; Shipping Age'!D22</f>
        <v>0</v>
      </c>
      <c r="F86" s="86" t="n">
        <f>'Suraj Forwarders &amp; Shipping Age'!E22</f>
        <v>0</v>
      </c>
      <c r="G86" s="86" t="n">
        <f>'Suraj Forwarders &amp; Shipping Age'!F22</f>
        <v>3</v>
      </c>
      <c r="H86" s="85" t="n">
        <f>'Suraj Forwarders &amp; Shipping Age'!G22</f>
        <v>3</v>
      </c>
      <c r="I86" s="85" t="n">
        <f>'Suraj Forwarders &amp; Shipping Age'!H22</f>
        <v>0</v>
      </c>
      <c r="J86" s="86" t="n">
        <f>'Suraj Forwarders &amp; Shipping Age'!I22</f>
        <v>5</v>
      </c>
      <c r="K86" s="86" t="n">
        <f>'Suraj Forwarders &amp; Shipping Age'!J22</f>
        <v>1</v>
      </c>
      <c r="L86" s="85" t="n">
        <f>'Suraj Forwarders &amp; Shipping Age'!M22</f>
        <v>35</v>
      </c>
      <c r="M86" s="85" t="n">
        <f>'Suraj Forwarders &amp; Shipping Age'!N22</f>
        <v>3</v>
      </c>
      <c r="N86" s="85" t="n">
        <f>'Suraj Forwarders &amp; Shipping Age'!O22</f>
        <v>32</v>
      </c>
      <c r="O86" s="87" t="str">
        <f>'Suraj Forwarders &amp; Shipping Age'!P22</f>
        <v>8h 54m</v>
      </c>
    </row>
    <row r="87" ht="34" customHeight="1">
      <c r="A87" s="82" t="str">
        <f>"SURAJ FORWARDERS &amp; SHIPPING AGENCIES"</f>
        <v>SURAJ FORWARDERS &amp; SHIPPING AGENCIES</v>
      </c>
      <c r="B87" s="82" t="str">
        <f>'Suraj Forwarders &amp; Shipping Age'!A23</f>
        <v>MANUBHAI RAVAL</v>
      </c>
      <c r="C87" s="85" t="n">
        <f>'Suraj Forwarders &amp; Shipping Age'!B23</f>
        <v>30</v>
      </c>
      <c r="D87" s="85" t="n">
        <f>'Suraj Forwarders &amp; Shipping Age'!C23</f>
        <v>22</v>
      </c>
      <c r="E87" s="85" t="n">
        <f>'Suraj Forwarders &amp; Shipping Age'!D23</f>
        <v>0</v>
      </c>
      <c r="F87" s="86" t="n">
        <f>'Suraj Forwarders &amp; Shipping Age'!E23</f>
        <v>0</v>
      </c>
      <c r="G87" s="86" t="n">
        <f>'Suraj Forwarders &amp; Shipping Age'!F23</f>
        <v>2</v>
      </c>
      <c r="H87" s="85" t="n">
        <f>'Suraj Forwarders &amp; Shipping Age'!G23</f>
        <v>2</v>
      </c>
      <c r="I87" s="85" t="n">
        <f>'Suraj Forwarders &amp; Shipping Age'!H23</f>
        <v>0</v>
      </c>
      <c r="J87" s="86" t="n">
        <f>'Suraj Forwarders &amp; Shipping Age'!I23</f>
        <v>5</v>
      </c>
      <c r="K87" s="86" t="n">
        <f>'Suraj Forwarders &amp; Shipping Age'!J23</f>
        <v>1</v>
      </c>
      <c r="L87" s="85" t="n">
        <f>'Suraj Forwarders &amp; Shipping Age'!M23</f>
        <v>97</v>
      </c>
      <c r="M87" s="85" t="n">
        <f>'Suraj Forwarders &amp; Shipping Age'!N23</f>
        <v>2</v>
      </c>
      <c r="N87" s="85" t="n">
        <f>'Suraj Forwarders &amp; Shipping Age'!O23</f>
        <v>95</v>
      </c>
      <c r="O87" s="87" t="str">
        <f>'Suraj Forwarders &amp; Shipping Age'!P23</f>
        <v>9h 48m</v>
      </c>
    </row>
    <row r="88" ht="34" customHeight="1">
      <c r="A88" s="82" t="str">
        <f>"SURAJ FORWARDERS &amp; SHIPPING AGENCIES"</f>
        <v>SURAJ FORWARDERS &amp; SHIPPING AGENCIES</v>
      </c>
      <c r="B88" s="82" t="str">
        <f>'Suraj Forwarders &amp; Shipping Age'!A24</f>
        <v>PARASMAL MARVADI</v>
      </c>
      <c r="C88" s="85" t="n">
        <f>'Suraj Forwarders &amp; Shipping Age'!B24</f>
        <v>30</v>
      </c>
      <c r="D88" s="85" t="n">
        <f>'Suraj Forwarders &amp; Shipping Age'!C24</f>
        <v>20.5</v>
      </c>
      <c r="E88" s="85" t="n">
        <f>'Suraj Forwarders &amp; Shipping Age'!D24</f>
        <v>0</v>
      </c>
      <c r="F88" s="86" t="n">
        <f>'Suraj Forwarders &amp; Shipping Age'!E24</f>
        <v>1</v>
      </c>
      <c r="G88" s="86" t="n">
        <f>'Suraj Forwarders &amp; Shipping Age'!F24</f>
        <v>3</v>
      </c>
      <c r="H88" s="85" t="n">
        <f>'Suraj Forwarders &amp; Shipping Age'!G24</f>
        <v>3.5</v>
      </c>
      <c r="I88" s="85" t="n">
        <f>'Suraj Forwarders &amp; Shipping Age'!H24</f>
        <v>0</v>
      </c>
      <c r="J88" s="86" t="n">
        <f>'Suraj Forwarders &amp; Shipping Age'!I24</f>
        <v>5</v>
      </c>
      <c r="K88" s="86" t="n">
        <f>'Suraj Forwarders &amp; Shipping Age'!J24</f>
        <v>1</v>
      </c>
      <c r="L88" s="85" t="n">
        <f>'Suraj Forwarders &amp; Shipping Age'!M24</f>
        <v>60.5</v>
      </c>
      <c r="M88" s="85" t="n">
        <f>'Suraj Forwarders &amp; Shipping Age'!N24</f>
        <v>3.5</v>
      </c>
      <c r="N88" s="85" t="n">
        <f>'Suraj Forwarders &amp; Shipping Age'!O24</f>
        <v>57</v>
      </c>
      <c r="O88" s="87" t="str">
        <f>'Suraj Forwarders &amp; Shipping Age'!P24</f>
        <v>9h 42m</v>
      </c>
    </row>
    <row r="89" ht="34" customHeight="1">
      <c r="A89" s="82" t="str">
        <f>"SURAJ FORWARDERS &amp; SHIPPING AGENCIES"</f>
        <v>SURAJ FORWARDERS &amp; SHIPPING AGENCIES</v>
      </c>
      <c r="B89" s="82" t="str">
        <f>'Suraj Forwarders &amp; Shipping Age'!A25</f>
        <v>PRAKASH DARJI</v>
      </c>
      <c r="C89" s="85" t="n">
        <f>'Suraj Forwarders &amp; Shipping Age'!B25</f>
        <v>30</v>
      </c>
      <c r="D89" s="85" t="n">
        <f>'Suraj Forwarders &amp; Shipping Age'!C25</f>
        <v>21</v>
      </c>
      <c r="E89" s="85" t="n">
        <f>'Suraj Forwarders &amp; Shipping Age'!D25</f>
        <v>0</v>
      </c>
      <c r="F89" s="86" t="n">
        <f>'Suraj Forwarders &amp; Shipping Age'!E25</f>
        <v>0</v>
      </c>
      <c r="G89" s="86" t="n">
        <f>'Suraj Forwarders &amp; Shipping Age'!F25</f>
        <v>3</v>
      </c>
      <c r="H89" s="85" t="n">
        <f>'Suraj Forwarders &amp; Shipping Age'!G25</f>
        <v>3</v>
      </c>
      <c r="I89" s="85" t="n">
        <f>'Suraj Forwarders &amp; Shipping Age'!H25</f>
        <v>0</v>
      </c>
      <c r="J89" s="86" t="n">
        <f>'Suraj Forwarders &amp; Shipping Age'!I25</f>
        <v>5</v>
      </c>
      <c r="K89" s="86" t="n">
        <f>'Suraj Forwarders &amp; Shipping Age'!J25</f>
        <v>1</v>
      </c>
      <c r="L89" s="85" t="n">
        <f>'Suraj Forwarders &amp; Shipping Age'!M25</f>
        <v>126</v>
      </c>
      <c r="M89" s="85" t="n">
        <f>'Suraj Forwarders &amp; Shipping Age'!N25</f>
        <v>3</v>
      </c>
      <c r="N89" s="85" t="n">
        <f>'Suraj Forwarders &amp; Shipping Age'!O25</f>
        <v>123</v>
      </c>
      <c r="O89" s="87" t="str">
        <f>'Suraj Forwarders &amp; Shipping Age'!P25</f>
        <v>9h 18m</v>
      </c>
    </row>
    <row r="90" ht="34" customHeight="1">
      <c r="A90" s="82" t="str">
        <f>"SURAJ FORWARDERS &amp; SHIPPING AGENCIES"</f>
        <v>SURAJ FORWARDERS &amp; SHIPPING AGENCIES</v>
      </c>
      <c r="B90" s="82" t="str">
        <f>'Suraj Forwarders &amp; Shipping Age'!A26</f>
        <v>RAHUL VAGHELA</v>
      </c>
      <c r="C90" s="85" t="n">
        <f>'Suraj Forwarders &amp; Shipping Age'!B26</f>
        <v>30</v>
      </c>
      <c r="D90" s="85" t="n">
        <f>'Suraj Forwarders &amp; Shipping Age'!C26</f>
        <v>21</v>
      </c>
      <c r="E90" s="85" t="n">
        <f>'Suraj Forwarders &amp; Shipping Age'!D26</f>
        <v>0</v>
      </c>
      <c r="F90" s="86" t="n">
        <f>'Suraj Forwarders &amp; Shipping Age'!E26</f>
        <v>0</v>
      </c>
      <c r="G90" s="86" t="n">
        <f>'Suraj Forwarders &amp; Shipping Age'!F26</f>
        <v>3</v>
      </c>
      <c r="H90" s="85" t="n">
        <f>'Suraj Forwarders &amp; Shipping Age'!G26</f>
        <v>3</v>
      </c>
      <c r="I90" s="85" t="n">
        <f>'Suraj Forwarders &amp; Shipping Age'!H26</f>
        <v>0</v>
      </c>
      <c r="J90" s="86" t="n">
        <f>'Suraj Forwarders &amp; Shipping Age'!I26</f>
        <v>5</v>
      </c>
      <c r="K90" s="86" t="n">
        <f>'Suraj Forwarders &amp; Shipping Age'!J26</f>
        <v>1</v>
      </c>
      <c r="L90" s="85" t="n">
        <f>'Suraj Forwarders &amp; Shipping Age'!M26</f>
        <v>23</v>
      </c>
      <c r="M90" s="85" t="n">
        <f>'Suraj Forwarders &amp; Shipping Age'!N26</f>
        <v>3</v>
      </c>
      <c r="N90" s="85" t="n">
        <f>'Suraj Forwarders &amp; Shipping Age'!O26</f>
        <v>20</v>
      </c>
      <c r="O90" s="87" t="str">
        <f>'Suraj Forwarders &amp; Shipping Age'!P26</f>
        <v>8h 42m</v>
      </c>
    </row>
    <row r="91" ht="34" customHeight="1">
      <c r="A91" s="82" t="str">
        <f>"SURAJ FORWARDERS &amp; SHIPPING AGENCIES"</f>
        <v>SURAJ FORWARDERS &amp; SHIPPING AGENCIES</v>
      </c>
      <c r="B91" s="82" t="str">
        <f>'Suraj Forwarders &amp; Shipping Age'!A27</f>
        <v>SANAL KUMAR</v>
      </c>
      <c r="C91" s="85" t="n">
        <f>'Suraj Forwarders &amp; Shipping Age'!B27</f>
        <v>30</v>
      </c>
      <c r="D91" s="85" t="n">
        <f>'Suraj Forwarders &amp; Shipping Age'!C27</f>
        <v>24</v>
      </c>
      <c r="E91" s="85" t="n">
        <f>'Suraj Forwarders &amp; Shipping Age'!D27</f>
        <v>0</v>
      </c>
      <c r="F91" s="86" t="n">
        <f>'Suraj Forwarders &amp; Shipping Age'!E27</f>
        <v>0</v>
      </c>
      <c r="G91" s="86" t="n">
        <f>'Suraj Forwarders &amp; Shipping Age'!F27</f>
        <v>0</v>
      </c>
      <c r="H91" s="85" t="n">
        <f>'Suraj Forwarders &amp; Shipping Age'!G27</f>
        <v>0</v>
      </c>
      <c r="I91" s="85" t="n">
        <f>'Suraj Forwarders &amp; Shipping Age'!H27</f>
        <v>0</v>
      </c>
      <c r="J91" s="86" t="n">
        <f>'Suraj Forwarders &amp; Shipping Age'!I27</f>
        <v>5</v>
      </c>
      <c r="K91" s="86" t="n">
        <f>'Suraj Forwarders &amp; Shipping Age'!J27</f>
        <v>1</v>
      </c>
      <c r="L91" s="85" t="n">
        <f>'Suraj Forwarders &amp; Shipping Age'!M27</f>
        <v>40.5</v>
      </c>
      <c r="M91" s="85" t="n">
        <f>'Suraj Forwarders &amp; Shipping Age'!N27</f>
        <v>0</v>
      </c>
      <c r="N91" s="85" t="n">
        <f>'Suraj Forwarders &amp; Shipping Age'!O27</f>
        <v>40.5</v>
      </c>
      <c r="O91" s="87" t="str">
        <f>'Suraj Forwarders &amp; Shipping Age'!P27</f>
        <v>9h 0m</v>
      </c>
    </row>
    <row r="92" ht="34" customHeight="1">
      <c r="A92" s="82" t="str">
        <f>"SURAJ FORWARDERS &amp; SHIPPING AGENCIES"</f>
        <v>SURAJ FORWARDERS &amp; SHIPPING AGENCIES</v>
      </c>
      <c r="B92" s="82" t="str">
        <f>'Suraj Forwarders &amp; Shipping Age'!A28</f>
        <v>SUNIL HARINDRAN</v>
      </c>
      <c r="C92" s="85" t="n">
        <f>'Suraj Forwarders &amp; Shipping Age'!B28</f>
        <v>30</v>
      </c>
      <c r="D92" s="85" t="n">
        <f>'Suraj Forwarders &amp; Shipping Age'!C28</f>
        <v>24</v>
      </c>
      <c r="E92" s="85" t="n">
        <f>'Suraj Forwarders &amp; Shipping Age'!D28</f>
        <v>0</v>
      </c>
      <c r="F92" s="86" t="n">
        <f>'Suraj Forwarders &amp; Shipping Age'!E28</f>
        <v>0</v>
      </c>
      <c r="G92" s="86" t="n">
        <f>'Suraj Forwarders &amp; Shipping Age'!F28</f>
        <v>0</v>
      </c>
      <c r="H92" s="85" t="n">
        <f>'Suraj Forwarders &amp; Shipping Age'!G28</f>
        <v>0</v>
      </c>
      <c r="I92" s="85" t="n">
        <f>'Suraj Forwarders &amp; Shipping Age'!H28</f>
        <v>0</v>
      </c>
      <c r="J92" s="86" t="n">
        <f>'Suraj Forwarders &amp; Shipping Age'!I28</f>
        <v>5</v>
      </c>
      <c r="K92" s="86" t="n">
        <f>'Suraj Forwarders &amp; Shipping Age'!J28</f>
        <v>1</v>
      </c>
      <c r="L92" s="85" t="n">
        <f>'Suraj Forwarders &amp; Shipping Age'!M28</f>
        <v>0</v>
      </c>
      <c r="M92" s="85" t="n">
        <f>'Suraj Forwarders &amp; Shipping Age'!N28</f>
        <v>0</v>
      </c>
      <c r="N92" s="85" t="n">
        <f>'Suraj Forwarders &amp; Shipping Age'!O28</f>
        <v>0</v>
      </c>
      <c r="O92" s="87" t="str">
        <f>'Suraj Forwarders &amp; Shipping Age'!P28</f>
        <v>9h 0m</v>
      </c>
    </row>
    <row r="93" ht="34" customHeight="1">
      <c r="A93" s="82" t="str">
        <f>"SURAJ FORWARDERS &amp; SHIPPING AGENCIES"</f>
        <v>SURAJ FORWARDERS &amp; SHIPPING AGENCIES</v>
      </c>
      <c r="B93" s="82" t="str">
        <f>'Suraj Forwarders &amp; Shipping Age'!A29</f>
        <v>SURAJ SUDHAKARAN</v>
      </c>
      <c r="C93" s="85" t="n">
        <f>'Suraj Forwarders &amp; Shipping Age'!B29</f>
        <v>30</v>
      </c>
      <c r="D93" s="85" t="n">
        <f>'Suraj Forwarders &amp; Shipping Age'!C29</f>
        <v>23</v>
      </c>
      <c r="E93" s="85" t="n">
        <f>'Suraj Forwarders &amp; Shipping Age'!D29</f>
        <v>0</v>
      </c>
      <c r="F93" s="86" t="n">
        <f>'Suraj Forwarders &amp; Shipping Age'!E29</f>
        <v>0</v>
      </c>
      <c r="G93" s="86" t="n">
        <f>'Suraj Forwarders &amp; Shipping Age'!F29</f>
        <v>1</v>
      </c>
      <c r="H93" s="85" t="n">
        <f>'Suraj Forwarders &amp; Shipping Age'!G29</f>
        <v>1</v>
      </c>
      <c r="I93" s="85" t="n">
        <f>'Suraj Forwarders &amp; Shipping Age'!H29</f>
        <v>0</v>
      </c>
      <c r="J93" s="86" t="n">
        <f>'Suraj Forwarders &amp; Shipping Age'!I29</f>
        <v>5</v>
      </c>
      <c r="K93" s="86" t="n">
        <f>'Suraj Forwarders &amp; Shipping Age'!J29</f>
        <v>1</v>
      </c>
      <c r="L93" s="85" t="n">
        <f>'Suraj Forwarders &amp; Shipping Age'!M29</f>
        <v>72</v>
      </c>
      <c r="M93" s="85" t="n">
        <f>'Suraj Forwarders &amp; Shipping Age'!N29</f>
        <v>1</v>
      </c>
      <c r="N93" s="85" t="n">
        <f>'Suraj Forwarders &amp; Shipping Age'!O29</f>
        <v>71</v>
      </c>
      <c r="O93" s="87" t="str">
        <f>'Suraj Forwarders &amp; Shipping Age'!P29</f>
        <v>8h 54m</v>
      </c>
    </row>
    <row r="94" ht="34" customHeight="1">
      <c r="A94" s="82" t="str">
        <f>"SURAJ FORWARDERS &amp; SHIPPING AGENCIES"</f>
        <v>SURAJ FORWARDERS &amp; SHIPPING AGENCIES</v>
      </c>
      <c r="B94" s="82" t="str">
        <f>'Suraj Forwarders &amp; Shipping Age'!A30</f>
        <v>TEJAS PARIKH</v>
      </c>
      <c r="C94" s="85" t="n">
        <f>'Suraj Forwarders &amp; Shipping Age'!B30</f>
        <v>0</v>
      </c>
      <c r="D94" s="85" t="n">
        <f>'Suraj Forwarders &amp; Shipping Age'!C30</f>
        <v>0</v>
      </c>
      <c r="E94" s="85" t="n">
        <f>'Suraj Forwarders &amp; Shipping Age'!D30</f>
        <v>24</v>
      </c>
      <c r="F94" s="86" t="n">
        <f>'Suraj Forwarders &amp; Shipping Age'!E30</f>
        <v>0</v>
      </c>
      <c r="G94" s="86" t="n">
        <f>'Suraj Forwarders &amp; Shipping Age'!F30</f>
        <v>0</v>
      </c>
      <c r="H94" s="85" t="n">
        <f>'Suraj Forwarders &amp; Shipping Age'!G30</f>
        <v>0</v>
      </c>
      <c r="I94" s="85" t="n">
        <f>'Suraj Forwarders &amp; Shipping Age'!H30</f>
        <v>6</v>
      </c>
      <c r="J94" s="86" t="n">
        <f>'Suraj Forwarders &amp; Shipping Age'!I30</f>
        <v>0</v>
      </c>
      <c r="K94" s="86" t="n">
        <f>'Suraj Forwarders &amp; Shipping Age'!J30</f>
        <v>0</v>
      </c>
      <c r="L94" s="85" t="n">
        <f>'Suraj Forwarders &amp; Shipping Age'!M30</f>
        <v>0</v>
      </c>
      <c r="M94" s="85" t="n">
        <f>'Suraj Forwarders &amp; Shipping Age'!N30</f>
        <v>0</v>
      </c>
      <c r="N94" s="85" t="n">
        <f>'Suraj Forwarders &amp; Shipping Age'!O30</f>
        <v>0</v>
      </c>
      <c r="O94" s="87" t="str">
        <f>'Suraj Forwarders &amp; Shipping Age'!P30</f>
        <v>0h 0m</v>
      </c>
    </row>
    <row r="95" ht="34" customHeight="1">
      <c r="A95" s="82" t="str">
        <f>"SURAJ FORWARDERS &amp; SHIPPING AGENCIES"</f>
        <v>SURAJ FORWARDERS &amp; SHIPPING AGENCIES</v>
      </c>
      <c r="B95" s="82" t="str">
        <f>'Suraj Forwarders &amp; Shipping Age'!A31</f>
        <v>VIJAYKUMAR JADEJA</v>
      </c>
      <c r="C95" s="85" t="n">
        <f>'Suraj Forwarders &amp; Shipping Age'!B31</f>
        <v>30</v>
      </c>
      <c r="D95" s="85" t="n">
        <f>'Suraj Forwarders &amp; Shipping Age'!C31</f>
        <v>23</v>
      </c>
      <c r="E95" s="85" t="n">
        <f>'Suraj Forwarders &amp; Shipping Age'!D31</f>
        <v>0</v>
      </c>
      <c r="F95" s="86" t="n">
        <f>'Suraj Forwarders &amp; Shipping Age'!E31</f>
        <v>0</v>
      </c>
      <c r="G95" s="86" t="n">
        <f>'Suraj Forwarders &amp; Shipping Age'!F31</f>
        <v>1</v>
      </c>
      <c r="H95" s="85" t="n">
        <f>'Suraj Forwarders &amp; Shipping Age'!G31</f>
        <v>1</v>
      </c>
      <c r="I95" s="85" t="n">
        <f>'Suraj Forwarders &amp; Shipping Age'!H31</f>
        <v>0</v>
      </c>
      <c r="J95" s="86" t="n">
        <f>'Suraj Forwarders &amp; Shipping Age'!I31</f>
        <v>5</v>
      </c>
      <c r="K95" s="86" t="n">
        <f>'Suraj Forwarders &amp; Shipping Age'!J31</f>
        <v>1</v>
      </c>
      <c r="L95" s="85" t="n">
        <f>'Suraj Forwarders &amp; Shipping Age'!M31</f>
        <v>61</v>
      </c>
      <c r="M95" s="85" t="n">
        <f>'Suraj Forwarders &amp; Shipping Age'!N31</f>
        <v>1</v>
      </c>
      <c r="N95" s="85" t="n">
        <f>'Suraj Forwarders &amp; Shipping Age'!O31</f>
        <v>60</v>
      </c>
      <c r="O95" s="87" t="str">
        <f>'Suraj Forwarders &amp; Shipping Age'!P31</f>
        <v>8h 48m</v>
      </c>
    </row>
    <row r="96" ht="34" customHeight="1">
      <c r="A96" s="82" t="str">
        <f>"SURAJ FORWARDERS &amp; SHIPPING AGENCIES"</f>
        <v>SURAJ FORWARDERS &amp; SHIPPING AGENCIES</v>
      </c>
      <c r="B96" s="82" t="str">
        <f>'Suraj Forwarders &amp; Shipping Age'!A32</f>
        <v>VIKRAMBHAI VAGHELA</v>
      </c>
      <c r="C96" s="85" t="n">
        <f>'Suraj Forwarders &amp; Shipping Age'!B32</f>
        <v>30</v>
      </c>
      <c r="D96" s="85" t="n">
        <f>'Suraj Forwarders &amp; Shipping Age'!C32</f>
        <v>24</v>
      </c>
      <c r="E96" s="85" t="n">
        <f>'Suraj Forwarders &amp; Shipping Age'!D32</f>
        <v>0</v>
      </c>
      <c r="F96" s="86" t="n">
        <f>'Suraj Forwarders &amp; Shipping Age'!E32</f>
        <v>0</v>
      </c>
      <c r="G96" s="86" t="n">
        <f>'Suraj Forwarders &amp; Shipping Age'!F32</f>
        <v>1</v>
      </c>
      <c r="H96" s="85" t="n">
        <f>'Suraj Forwarders &amp; Shipping Age'!G32</f>
        <v>1</v>
      </c>
      <c r="I96" s="85" t="n">
        <f>'Suraj Forwarders &amp; Shipping Age'!H32</f>
        <v>0</v>
      </c>
      <c r="J96" s="86" t="n">
        <f>'Suraj Forwarders &amp; Shipping Age'!I32</f>
        <v>4</v>
      </c>
      <c r="K96" s="86" t="n">
        <f>'Suraj Forwarders &amp; Shipping Age'!J32</f>
        <v>1</v>
      </c>
      <c r="L96" s="85" t="n">
        <f>'Suraj Forwarders &amp; Shipping Age'!M32</f>
        <v>18</v>
      </c>
      <c r="M96" s="85" t="n">
        <f>'Suraj Forwarders &amp; Shipping Age'!N32</f>
        <v>1</v>
      </c>
      <c r="N96" s="85" t="n">
        <f>'Suraj Forwarders &amp; Shipping Age'!O32</f>
        <v>17</v>
      </c>
      <c r="O96" s="87" t="str">
        <f>'Suraj Forwarders &amp; Shipping Age'!P32</f>
        <v>8h 54m</v>
      </c>
    </row>
    <row r="97" ht="34" customHeight="1">
      <c r="A97" s="82" t="str">
        <f>"SURAJ FORWARDERS &amp; SHIPPING AGENCIES"</f>
        <v>SURAJ FORWARDERS &amp; SHIPPING AGENCIES</v>
      </c>
      <c r="B97" s="82" t="str">
        <f>'Suraj Forwarders &amp; Shipping Age'!A33</f>
        <v>VISHNU ADIDRAVID</v>
      </c>
      <c r="C97" s="85" t="n">
        <f>'Suraj Forwarders &amp; Shipping Age'!B33</f>
        <v>30</v>
      </c>
      <c r="D97" s="85" t="n">
        <f>'Suraj Forwarders &amp; Shipping Age'!C33</f>
        <v>24</v>
      </c>
      <c r="E97" s="85" t="n">
        <f>'Suraj Forwarders &amp; Shipping Age'!D33</f>
        <v>0</v>
      </c>
      <c r="F97" s="86" t="n">
        <f>'Suraj Forwarders &amp; Shipping Age'!E33</f>
        <v>0</v>
      </c>
      <c r="G97" s="86" t="n">
        <f>'Suraj Forwarders &amp; Shipping Age'!F33</f>
        <v>0</v>
      </c>
      <c r="H97" s="85" t="n">
        <f>'Suraj Forwarders &amp; Shipping Age'!G33</f>
        <v>0</v>
      </c>
      <c r="I97" s="85" t="n">
        <f>'Suraj Forwarders &amp; Shipping Age'!H33</f>
        <v>0</v>
      </c>
      <c r="J97" s="86" t="n">
        <f>'Suraj Forwarders &amp; Shipping Age'!I33</f>
        <v>5</v>
      </c>
      <c r="K97" s="86" t="n">
        <f>'Suraj Forwarders &amp; Shipping Age'!J33</f>
        <v>1</v>
      </c>
      <c r="L97" s="85" t="n">
        <f>'Suraj Forwarders &amp; Shipping Age'!M33</f>
        <v>0</v>
      </c>
      <c r="M97" s="85" t="n">
        <f>'Suraj Forwarders &amp; Shipping Age'!N33</f>
        <v>0</v>
      </c>
      <c r="N97" s="85" t="n">
        <f>'Suraj Forwarders &amp; Shipping Age'!O33</f>
        <v>0</v>
      </c>
      <c r="O97" s="87" t="str">
        <f>'Suraj Forwarders &amp; Shipping Age'!P33</f>
        <v>9h 6m</v>
      </c>
    </row>
    <row r="98" ht="34" customHeight="1">
      <c r="A98" s="82" t="str">
        <f>"SURAJ FORWARDERS PRIVATE LIMITED"</f>
        <v>SURAJ FORWARDERS PRIVATE LIMITED</v>
      </c>
      <c r="B98" s="82" t="str">
        <f>'Suraj Forwarders Private Limite'!A5</f>
        <v>AAMIR SAIYED</v>
      </c>
      <c r="C98" s="85" t="n">
        <f>'Suraj Forwarders Private Limite'!B5</f>
        <v>28</v>
      </c>
      <c r="D98" s="85" t="n">
        <f>'Suraj Forwarders Private Limite'!C5</f>
        <v>22</v>
      </c>
      <c r="E98" s="85" t="n">
        <f>'Suraj Forwarders Private Limite'!D5</f>
        <v>1</v>
      </c>
      <c r="F98" s="86" t="n">
        <f>'Suraj Forwarders Private Limite'!E5</f>
        <v>0</v>
      </c>
      <c r="G98" s="86" t="n">
        <f>'Suraj Forwarders Private Limite'!F5</f>
        <v>0</v>
      </c>
      <c r="H98" s="85" t="n">
        <f>'Suraj Forwarders Private Limite'!G5</f>
        <v>0</v>
      </c>
      <c r="I98" s="85" t="n">
        <f>'Suraj Forwarders Private Limite'!H5</f>
        <v>0</v>
      </c>
      <c r="J98" s="86" t="n">
        <f>'Suraj Forwarders Private Limite'!I5</f>
        <v>5</v>
      </c>
      <c r="K98" s="86" t="n">
        <f>'Suraj Forwarders Private Limite'!J5</f>
        <v>1</v>
      </c>
      <c r="L98" s="85" t="n">
        <f>'Suraj Forwarders Private Limite'!M5</f>
        <v>0</v>
      </c>
      <c r="M98" s="85" t="n">
        <f>'Suraj Forwarders Private Limite'!N5</f>
        <v>0</v>
      </c>
      <c r="N98" s="85" t="n">
        <f>'Suraj Forwarders Private Limite'!O5</f>
        <v>0</v>
      </c>
      <c r="O98" s="87" t="str">
        <f>'Suraj Forwarders Private Limite'!P5</f>
        <v>7h 30m</v>
      </c>
    </row>
    <row r="99" ht="34" customHeight="1">
      <c r="A99" s="82" t="str">
        <f>"SURAJ FORWARDERS PRIVATE LIMITED"</f>
        <v>SURAJ FORWARDERS PRIVATE LIMITED</v>
      </c>
      <c r="B99" s="82" t="str">
        <f>'Suraj Forwarders Private Limite'!A6</f>
        <v>AJAY KUMAWAT</v>
      </c>
      <c r="C99" s="85" t="n">
        <f>'Suraj Forwarders Private Limite'!B6</f>
        <v>30</v>
      </c>
      <c r="D99" s="85" t="n">
        <f>'Suraj Forwarders Private Limite'!C6</f>
        <v>24</v>
      </c>
      <c r="E99" s="85" t="n">
        <f>'Suraj Forwarders Private Limite'!D6</f>
        <v>0</v>
      </c>
      <c r="F99" s="86" t="n">
        <f>'Suraj Forwarders Private Limite'!E6</f>
        <v>0</v>
      </c>
      <c r="G99" s="86" t="n">
        <f>'Suraj Forwarders Private Limite'!F6</f>
        <v>0</v>
      </c>
      <c r="H99" s="85" t="n">
        <f>'Suraj Forwarders Private Limite'!G6</f>
        <v>0</v>
      </c>
      <c r="I99" s="85" t="n">
        <f>'Suraj Forwarders Private Limite'!H6</f>
        <v>0</v>
      </c>
      <c r="J99" s="86" t="n">
        <f>'Suraj Forwarders Private Limite'!I6</f>
        <v>5</v>
      </c>
      <c r="K99" s="86" t="n">
        <f>'Suraj Forwarders Private Limite'!J6</f>
        <v>1</v>
      </c>
      <c r="L99" s="85" t="n">
        <f>'Suraj Forwarders Private Limite'!M6</f>
        <v>12</v>
      </c>
      <c r="M99" s="85" t="n">
        <f>'Suraj Forwarders Private Limite'!N6</f>
        <v>0</v>
      </c>
      <c r="N99" s="85" t="n">
        <f>'Suraj Forwarders Private Limite'!O6</f>
        <v>12</v>
      </c>
      <c r="O99" s="87" t="str">
        <f>'Suraj Forwarders Private Limite'!P6</f>
        <v>9h 0m</v>
      </c>
    </row>
    <row r="100" ht="34" customHeight="1">
      <c r="A100" s="82" t="str">
        <f>"SURAJ FORWARDERS PRIVATE LIMITED"</f>
        <v>SURAJ FORWARDERS PRIVATE LIMITED</v>
      </c>
      <c r="B100" s="82" t="str">
        <f>'Suraj Forwarders Private Limite'!A7</f>
        <v>AKASH MODI</v>
      </c>
      <c r="C100" s="85" t="n">
        <f>'Suraj Forwarders Private Limite'!B7</f>
        <v>30</v>
      </c>
      <c r="D100" s="85" t="n">
        <f>'Suraj Forwarders Private Limite'!C7</f>
        <v>18</v>
      </c>
      <c r="E100" s="85" t="n">
        <f>'Suraj Forwarders Private Limite'!D7</f>
        <v>0</v>
      </c>
      <c r="F100" s="86" t="n">
        <f>'Suraj Forwarders Private Limite'!E7</f>
        <v>0</v>
      </c>
      <c r="G100" s="86" t="n">
        <f>'Suraj Forwarders Private Limite'!F7</f>
        <v>6</v>
      </c>
      <c r="H100" s="85" t="n">
        <f>'Suraj Forwarders Private Limite'!G7</f>
        <v>6</v>
      </c>
      <c r="I100" s="85" t="n">
        <f>'Suraj Forwarders Private Limite'!H7</f>
        <v>0</v>
      </c>
      <c r="J100" s="86" t="n">
        <f>'Suraj Forwarders Private Limite'!I7</f>
        <v>5</v>
      </c>
      <c r="K100" s="86" t="n">
        <f>'Suraj Forwarders Private Limite'!J7</f>
        <v>1</v>
      </c>
      <c r="L100" s="85" t="n">
        <f>'Suraj Forwarders Private Limite'!M7</f>
        <v>61</v>
      </c>
      <c r="M100" s="85" t="n">
        <f>'Suraj Forwarders Private Limite'!N7</f>
        <v>6</v>
      </c>
      <c r="N100" s="85" t="n">
        <f>'Suraj Forwarders Private Limite'!O7</f>
        <v>55</v>
      </c>
      <c r="O100" s="87" t="str">
        <f>'Suraj Forwarders Private Limite'!P7</f>
        <v>8h 48m</v>
      </c>
    </row>
    <row r="101" ht="34" customHeight="1">
      <c r="A101" s="82" t="str">
        <f>"SURAJ FORWARDERS PRIVATE LIMITED"</f>
        <v>SURAJ FORWARDERS PRIVATE LIMITED</v>
      </c>
      <c r="B101" s="82" t="str">
        <f>'Suraj Forwarders Private Limite'!A8</f>
        <v>ASHOKKUMAR CHAUHAN</v>
      </c>
      <c r="C101" s="85" t="n">
        <f>'Suraj Forwarders Private Limite'!B8</f>
        <v>30</v>
      </c>
      <c r="D101" s="85" t="n">
        <f>'Suraj Forwarders Private Limite'!C8</f>
        <v>22.5</v>
      </c>
      <c r="E101" s="85" t="n">
        <f>'Suraj Forwarders Private Limite'!D8</f>
        <v>0</v>
      </c>
      <c r="F101" s="86" t="n">
        <f>'Suraj Forwarders Private Limite'!E8</f>
        <v>1</v>
      </c>
      <c r="G101" s="86" t="n">
        <f>'Suraj Forwarders Private Limite'!F8</f>
        <v>1</v>
      </c>
      <c r="H101" s="85" t="n">
        <f>'Suraj Forwarders Private Limite'!G8</f>
        <v>1.5</v>
      </c>
      <c r="I101" s="85" t="n">
        <f>'Suraj Forwarders Private Limite'!H8</f>
        <v>0</v>
      </c>
      <c r="J101" s="86" t="n">
        <f>'Suraj Forwarders Private Limite'!I8</f>
        <v>5</v>
      </c>
      <c r="K101" s="86" t="n">
        <f>'Suraj Forwarders Private Limite'!J8</f>
        <v>1</v>
      </c>
      <c r="L101" s="85" t="n">
        <f>'Suraj Forwarders Private Limite'!M8</f>
        <v>14.5</v>
      </c>
      <c r="M101" s="85" t="n">
        <f>'Suraj Forwarders Private Limite'!N8</f>
        <v>1.5</v>
      </c>
      <c r="N101" s="85" t="n">
        <f>'Suraj Forwarders Private Limite'!O8</f>
        <v>13</v>
      </c>
      <c r="O101" s="87" t="str">
        <f>'Suraj Forwarders Private Limite'!P8</f>
        <v>10h 0m</v>
      </c>
    </row>
    <row r="102" ht="34" customHeight="1">
      <c r="A102" s="82" t="str">
        <f>"SURAJ FORWARDERS PRIVATE LIMITED"</f>
        <v>SURAJ FORWARDERS PRIVATE LIMITED</v>
      </c>
      <c r="B102" s="82" t="str">
        <f>'Suraj Forwarders Private Limite'!A9</f>
        <v>BALVIR NANDA</v>
      </c>
      <c r="C102" s="85" t="n">
        <f>'Suraj Forwarders Private Limite'!B9</f>
        <v>30</v>
      </c>
      <c r="D102" s="85" t="n">
        <f>'Suraj Forwarders Private Limite'!C9</f>
        <v>24</v>
      </c>
      <c r="E102" s="85" t="n">
        <f>'Suraj Forwarders Private Limite'!D9</f>
        <v>0</v>
      </c>
      <c r="F102" s="86" t="n">
        <f>'Suraj Forwarders Private Limite'!E9</f>
        <v>0</v>
      </c>
      <c r="G102" s="86" t="n">
        <f>'Suraj Forwarders Private Limite'!F9</f>
        <v>2</v>
      </c>
      <c r="H102" s="85" t="n">
        <f>'Suraj Forwarders Private Limite'!G9</f>
        <v>2</v>
      </c>
      <c r="I102" s="85" t="n">
        <f>'Suraj Forwarders Private Limite'!H9</f>
        <v>0</v>
      </c>
      <c r="J102" s="86" t="n">
        <f>'Suraj Forwarders Private Limite'!I9</f>
        <v>4</v>
      </c>
      <c r="K102" s="86" t="n">
        <f>'Suraj Forwarders Private Limite'!J9</f>
        <v>0</v>
      </c>
      <c r="L102" s="85" t="n">
        <f>'Suraj Forwarders Private Limite'!M9</f>
        <v>73.5</v>
      </c>
      <c r="M102" s="85" t="n">
        <f>'Suraj Forwarders Private Limite'!N9</f>
        <v>2</v>
      </c>
      <c r="N102" s="85" t="n">
        <f>'Suraj Forwarders Private Limite'!O9</f>
        <v>71.5</v>
      </c>
      <c r="O102" s="87" t="str">
        <f>'Suraj Forwarders Private Limite'!P9</f>
        <v>11h 0m</v>
      </c>
    </row>
    <row r="103" ht="34" customHeight="1">
      <c r="A103" s="82" t="str">
        <f>"SURAJ FORWARDERS PRIVATE LIMITED"</f>
        <v>SURAJ FORWARDERS PRIVATE LIMITED</v>
      </c>
      <c r="B103" s="82" t="str">
        <f>'Suraj Forwarders Private Limite'!A10</f>
        <v>CHIRAG SHAH</v>
      </c>
      <c r="C103" s="85" t="n">
        <f>'Suraj Forwarders Private Limite'!B10</f>
        <v>30</v>
      </c>
      <c r="D103" s="85" t="n">
        <f>'Suraj Forwarders Private Limite'!C10</f>
        <v>22.5</v>
      </c>
      <c r="E103" s="85" t="n">
        <f>'Suraj Forwarders Private Limite'!D10</f>
        <v>0</v>
      </c>
      <c r="F103" s="86" t="n">
        <f>'Suraj Forwarders Private Limite'!E10</f>
        <v>1</v>
      </c>
      <c r="G103" s="86" t="n">
        <f>'Suraj Forwarders Private Limite'!F10</f>
        <v>1</v>
      </c>
      <c r="H103" s="85" t="n">
        <f>'Suraj Forwarders Private Limite'!G10</f>
        <v>1.5</v>
      </c>
      <c r="I103" s="85" t="n">
        <f>'Suraj Forwarders Private Limite'!H10</f>
        <v>0</v>
      </c>
      <c r="J103" s="86" t="n">
        <f>'Suraj Forwarders Private Limite'!I10</f>
        <v>5</v>
      </c>
      <c r="K103" s="86" t="n">
        <f>'Suraj Forwarders Private Limite'!J10</f>
        <v>1</v>
      </c>
      <c r="L103" s="85" t="n">
        <f>'Suraj Forwarders Private Limite'!M10</f>
        <v>64</v>
      </c>
      <c r="M103" s="85" t="n">
        <f>'Suraj Forwarders Private Limite'!N10</f>
        <v>1.5</v>
      </c>
      <c r="N103" s="85" t="n">
        <f>'Suraj Forwarders Private Limite'!O10</f>
        <v>62.5</v>
      </c>
      <c r="O103" s="87" t="str">
        <f>'Suraj Forwarders Private Limite'!P10</f>
        <v>8h 54m</v>
      </c>
    </row>
    <row r="104" ht="34" customHeight="1">
      <c r="A104" s="82" t="str">
        <f>"SURAJ FORWARDERS PRIVATE LIMITED"</f>
        <v>SURAJ FORWARDERS PRIVATE LIMITED</v>
      </c>
      <c r="B104" s="82" t="str">
        <f>'Suraj Forwarders Private Limite'!A11</f>
        <v>GEETHANJALI B</v>
      </c>
      <c r="C104" s="85" t="n">
        <f>'Suraj Forwarders Private Limite'!B11</f>
        <v>30</v>
      </c>
      <c r="D104" s="85" t="n">
        <f>'Suraj Forwarders Private Limite'!C11</f>
        <v>16</v>
      </c>
      <c r="E104" s="85" t="n">
        <f>'Suraj Forwarders Private Limite'!D11</f>
        <v>0</v>
      </c>
      <c r="F104" s="86" t="n">
        <f>'Suraj Forwarders Private Limite'!E11</f>
        <v>0</v>
      </c>
      <c r="G104" s="86" t="n">
        <f>'Suraj Forwarders Private Limite'!F11</f>
        <v>8</v>
      </c>
      <c r="H104" s="85" t="n">
        <f>'Suraj Forwarders Private Limite'!G11</f>
        <v>8</v>
      </c>
      <c r="I104" s="85" t="n">
        <f>'Suraj Forwarders Private Limite'!H11</f>
        <v>0</v>
      </c>
      <c r="J104" s="86" t="n">
        <f>'Suraj Forwarders Private Limite'!I11</f>
        <v>5</v>
      </c>
      <c r="K104" s="86" t="n">
        <f>'Suraj Forwarders Private Limite'!J11</f>
        <v>1</v>
      </c>
      <c r="L104" s="85" t="n">
        <f>'Suraj Forwarders Private Limite'!M11</f>
        <v>18</v>
      </c>
      <c r="M104" s="85" t="n">
        <f>'Suraj Forwarders Private Limite'!N11</f>
        <v>8</v>
      </c>
      <c r="N104" s="85" t="n">
        <f>'Suraj Forwarders Private Limite'!O11</f>
        <v>10</v>
      </c>
      <c r="O104" s="87" t="str">
        <f>'Suraj Forwarders Private Limite'!P11</f>
        <v>8h 54m</v>
      </c>
    </row>
    <row r="105" ht="34" customHeight="1">
      <c r="A105" s="82" t="str">
        <f>"SURAJ FORWARDERS PRIVATE LIMITED"</f>
        <v>SURAJ FORWARDERS PRIVATE LIMITED</v>
      </c>
      <c r="B105" s="82" t="str">
        <f>'Suraj Forwarders Private Limite'!A12</f>
        <v>JIGNESH SORATHAIA</v>
      </c>
      <c r="C105" s="85" t="n">
        <f>'Suraj Forwarders Private Limite'!B12</f>
        <v>28</v>
      </c>
      <c r="D105" s="85" t="n">
        <f>'Suraj Forwarders Private Limite'!C12</f>
        <v>23</v>
      </c>
      <c r="E105" s="85" t="n">
        <f>'Suraj Forwarders Private Limite'!D12</f>
        <v>0</v>
      </c>
      <c r="F105" s="86" t="n">
        <f>'Suraj Forwarders Private Limite'!E12</f>
        <v>0</v>
      </c>
      <c r="G105" s="86" t="n">
        <f>'Suraj Forwarders Private Limite'!F12</f>
        <v>0</v>
      </c>
      <c r="H105" s="85" t="n">
        <f>'Suraj Forwarders Private Limite'!G12</f>
        <v>0</v>
      </c>
      <c r="I105" s="85" t="n">
        <f>'Suraj Forwarders Private Limite'!H12</f>
        <v>2</v>
      </c>
      <c r="J105" s="86" t="n">
        <f>'Suraj Forwarders Private Limite'!I12</f>
        <v>4</v>
      </c>
      <c r="K105" s="86" t="n">
        <f>'Suraj Forwarders Private Limite'!J12</f>
        <v>1</v>
      </c>
      <c r="L105" s="85" t="n">
        <f>'Suraj Forwarders Private Limite'!M12</f>
        <v>0</v>
      </c>
      <c r="M105" s="85" t="n">
        <f>'Suraj Forwarders Private Limite'!N12</f>
        <v>0</v>
      </c>
      <c r="N105" s="85" t="n">
        <f>'Suraj Forwarders Private Limite'!O12</f>
        <v>0</v>
      </c>
      <c r="O105" s="87" t="str">
        <f>'Suraj Forwarders Private Limite'!P12</f>
        <v>9h 18m</v>
      </c>
    </row>
    <row r="106" ht="34" customHeight="1">
      <c r="A106" s="82" t="str">
        <f>"SURAJ FORWARDERS PRIVATE LIMITED"</f>
        <v>SURAJ FORWARDERS PRIVATE LIMITED</v>
      </c>
      <c r="B106" s="82" t="str">
        <f>'Suraj Forwarders Private Limite'!A13</f>
        <v>JYOTHISH R</v>
      </c>
      <c r="C106" s="85" t="n">
        <f>'Suraj Forwarders Private Limite'!B13</f>
        <v>30</v>
      </c>
      <c r="D106" s="85" t="n">
        <f>'Suraj Forwarders Private Limite'!C13</f>
        <v>23</v>
      </c>
      <c r="E106" s="85" t="n">
        <f>'Suraj Forwarders Private Limite'!D13</f>
        <v>0</v>
      </c>
      <c r="F106" s="86" t="n">
        <f>'Suraj Forwarders Private Limite'!E13</f>
        <v>0</v>
      </c>
      <c r="G106" s="86" t="n">
        <f>'Suraj Forwarders Private Limite'!F13</f>
        <v>1</v>
      </c>
      <c r="H106" s="85" t="n">
        <f>'Suraj Forwarders Private Limite'!G13</f>
        <v>1</v>
      </c>
      <c r="I106" s="85" t="n">
        <f>'Suraj Forwarders Private Limite'!H13</f>
        <v>0</v>
      </c>
      <c r="J106" s="86" t="n">
        <f>'Suraj Forwarders Private Limite'!I13</f>
        <v>5</v>
      </c>
      <c r="K106" s="86" t="n">
        <f>'Suraj Forwarders Private Limite'!J13</f>
        <v>1</v>
      </c>
      <c r="L106" s="85" t="n">
        <f>'Suraj Forwarders Private Limite'!M13</f>
        <v>15.5</v>
      </c>
      <c r="M106" s="85" t="n">
        <f>'Suraj Forwarders Private Limite'!N13</f>
        <v>1</v>
      </c>
      <c r="N106" s="85" t="n">
        <f>'Suraj Forwarders Private Limite'!O13</f>
        <v>14.5</v>
      </c>
      <c r="O106" s="87" t="str">
        <f>'Suraj Forwarders Private Limite'!P13</f>
        <v>9h 0m</v>
      </c>
    </row>
    <row r="107" ht="34" customHeight="1">
      <c r="A107" s="82" t="str">
        <f>"SURAJ FORWARDERS PRIVATE LIMITED"</f>
        <v>SURAJ FORWARDERS PRIVATE LIMITED</v>
      </c>
      <c r="B107" s="82" t="str">
        <f>'Suraj Forwarders Private Limite'!A14</f>
        <v>KETANKUMAR PATEL</v>
      </c>
      <c r="C107" s="85" t="n">
        <f>'Suraj Forwarders Private Limite'!B14</f>
        <v>30</v>
      </c>
      <c r="D107" s="85" t="n">
        <f>'Suraj Forwarders Private Limite'!C14</f>
        <v>22</v>
      </c>
      <c r="E107" s="85" t="n">
        <f>'Suraj Forwarders Private Limite'!D14</f>
        <v>0</v>
      </c>
      <c r="F107" s="86" t="n">
        <f>'Suraj Forwarders Private Limite'!E14</f>
        <v>0</v>
      </c>
      <c r="G107" s="86" t="n">
        <f>'Suraj Forwarders Private Limite'!F14</f>
        <v>2</v>
      </c>
      <c r="H107" s="85" t="n">
        <f>'Suraj Forwarders Private Limite'!G14</f>
        <v>2</v>
      </c>
      <c r="I107" s="85" t="n">
        <f>'Suraj Forwarders Private Limite'!H14</f>
        <v>0</v>
      </c>
      <c r="J107" s="86" t="n">
        <f>'Suraj Forwarders Private Limite'!I14</f>
        <v>5</v>
      </c>
      <c r="K107" s="86" t="n">
        <f>'Suraj Forwarders Private Limite'!J14</f>
        <v>1</v>
      </c>
      <c r="L107" s="85" t="n">
        <f>'Suraj Forwarders Private Limite'!M14</f>
        <v>13</v>
      </c>
      <c r="M107" s="85" t="n">
        <f>'Suraj Forwarders Private Limite'!N14</f>
        <v>2</v>
      </c>
      <c r="N107" s="85" t="n">
        <f>'Suraj Forwarders Private Limite'!O14</f>
        <v>11</v>
      </c>
      <c r="O107" s="87" t="str">
        <f>'Suraj Forwarders Private Limite'!P14</f>
        <v>8h 36m</v>
      </c>
    </row>
    <row r="108" ht="34" customHeight="1">
      <c r="A108" s="82" t="str">
        <f>"SURAJ FORWARDERS PRIVATE LIMITED"</f>
        <v>SURAJ FORWARDERS PRIVATE LIMITED</v>
      </c>
      <c r="B108" s="82" t="str">
        <f>'Suraj Forwarders Private Limite'!A15</f>
        <v>LEENA VIJAYAN</v>
      </c>
      <c r="C108" s="85" t="n">
        <f>'Suraj Forwarders Private Limite'!B15</f>
        <v>30</v>
      </c>
      <c r="D108" s="85" t="n">
        <f>'Suraj Forwarders Private Limite'!C15</f>
        <v>24</v>
      </c>
      <c r="E108" s="85" t="n">
        <f>'Suraj Forwarders Private Limite'!D15</f>
        <v>0</v>
      </c>
      <c r="F108" s="86" t="n">
        <f>'Suraj Forwarders Private Limite'!E15</f>
        <v>0</v>
      </c>
      <c r="G108" s="86" t="n">
        <f>'Suraj Forwarders Private Limite'!F15</f>
        <v>0</v>
      </c>
      <c r="H108" s="85" t="n">
        <f>'Suraj Forwarders Private Limite'!G15</f>
        <v>0</v>
      </c>
      <c r="I108" s="85" t="n">
        <f>'Suraj Forwarders Private Limite'!H15</f>
        <v>0</v>
      </c>
      <c r="J108" s="86" t="n">
        <f>'Suraj Forwarders Private Limite'!I15</f>
        <v>5</v>
      </c>
      <c r="K108" s="86" t="n">
        <f>'Suraj Forwarders Private Limite'!J15</f>
        <v>1</v>
      </c>
      <c r="L108" s="85" t="n">
        <f>'Suraj Forwarders Private Limite'!M15</f>
        <v>0</v>
      </c>
      <c r="M108" s="85" t="n">
        <f>'Suraj Forwarders Private Limite'!N15</f>
        <v>0</v>
      </c>
      <c r="N108" s="85" t="n">
        <f>'Suraj Forwarders Private Limite'!O15</f>
        <v>0</v>
      </c>
      <c r="O108" s="87" t="str">
        <f>'Suraj Forwarders Private Limite'!P15</f>
        <v>8h 48m</v>
      </c>
    </row>
    <row r="109" ht="34" customHeight="1">
      <c r="A109" s="82" t="str">
        <f>"SURAJ FORWARDERS PRIVATE LIMITED"</f>
        <v>SURAJ FORWARDERS PRIVATE LIMITED</v>
      </c>
      <c r="B109" s="82" t="str">
        <f>'Suraj Forwarders Private Limite'!A16</f>
        <v>MANU PILLAI</v>
      </c>
      <c r="C109" s="85" t="n">
        <f>'Suraj Forwarders Private Limite'!B16</f>
        <v>30</v>
      </c>
      <c r="D109" s="85" t="n">
        <f>'Suraj Forwarders Private Limite'!C16</f>
        <v>23</v>
      </c>
      <c r="E109" s="85" t="n">
        <f>'Suraj Forwarders Private Limite'!D16</f>
        <v>0</v>
      </c>
      <c r="F109" s="86" t="n">
        <f>'Suraj Forwarders Private Limite'!E16</f>
        <v>0</v>
      </c>
      <c r="G109" s="86" t="n">
        <f>'Suraj Forwarders Private Limite'!F16</f>
        <v>1</v>
      </c>
      <c r="H109" s="85" t="n">
        <f>'Suraj Forwarders Private Limite'!G16</f>
        <v>1</v>
      </c>
      <c r="I109" s="85" t="n">
        <f>'Suraj Forwarders Private Limite'!H16</f>
        <v>0</v>
      </c>
      <c r="J109" s="86" t="n">
        <f>'Suraj Forwarders Private Limite'!I16</f>
        <v>5</v>
      </c>
      <c r="K109" s="86" t="n">
        <f>'Suraj Forwarders Private Limite'!J16</f>
        <v>1</v>
      </c>
      <c r="L109" s="85" t="n">
        <f>'Suraj Forwarders Private Limite'!M16</f>
        <v>21</v>
      </c>
      <c r="M109" s="85" t="n">
        <f>'Suraj Forwarders Private Limite'!N16</f>
        <v>1</v>
      </c>
      <c r="N109" s="85" t="n">
        <f>'Suraj Forwarders Private Limite'!O16</f>
        <v>20</v>
      </c>
      <c r="O109" s="87" t="str">
        <f>'Suraj Forwarders Private Limite'!P16</f>
        <v>8h 54m</v>
      </c>
    </row>
    <row r="110" ht="34" customHeight="1">
      <c r="A110" s="82" t="str">
        <f>"SURAJ FORWARDERS PRIVATE LIMITED"</f>
        <v>SURAJ FORWARDERS PRIVATE LIMITED</v>
      </c>
      <c r="B110" s="82" t="str">
        <f>'Suraj Forwarders Private Limite'!A17</f>
        <v>MAUSAM RAKSHIT</v>
      </c>
      <c r="C110" s="85" t="n">
        <f>'Suraj Forwarders Private Limite'!B17</f>
        <v>0</v>
      </c>
      <c r="D110" s="85" t="n">
        <f>'Suraj Forwarders Private Limite'!C17</f>
        <v>0</v>
      </c>
      <c r="E110" s="85" t="n">
        <f>'Suraj Forwarders Private Limite'!D17</f>
        <v>24</v>
      </c>
      <c r="F110" s="86" t="n">
        <f>'Suraj Forwarders Private Limite'!E17</f>
        <v>0</v>
      </c>
      <c r="G110" s="86" t="n">
        <f>'Suraj Forwarders Private Limite'!F17</f>
        <v>0</v>
      </c>
      <c r="H110" s="85" t="n">
        <f>'Suraj Forwarders Private Limite'!G17</f>
        <v>0</v>
      </c>
      <c r="I110" s="85" t="n">
        <f>'Suraj Forwarders Private Limite'!H17</f>
        <v>6</v>
      </c>
      <c r="J110" s="86" t="n">
        <f>'Suraj Forwarders Private Limite'!I17</f>
        <v>0</v>
      </c>
      <c r="K110" s="86" t="n">
        <f>'Suraj Forwarders Private Limite'!J17</f>
        <v>0</v>
      </c>
      <c r="L110" s="85" t="n">
        <f>'Suraj Forwarders Private Limite'!M17</f>
        <v>0</v>
      </c>
      <c r="M110" s="85" t="n">
        <f>'Suraj Forwarders Private Limite'!N17</f>
        <v>0</v>
      </c>
      <c r="N110" s="85" t="n">
        <f>'Suraj Forwarders Private Limite'!O17</f>
        <v>0</v>
      </c>
      <c r="O110" s="87" t="str">
        <f>'Suraj Forwarders Private Limite'!P17</f>
        <v>0h 0m</v>
      </c>
    </row>
    <row r="111" ht="34" customHeight="1">
      <c r="A111" s="82" t="str">
        <f>"SURAJ FORWARDERS PRIVATE LIMITED"</f>
        <v>SURAJ FORWARDERS PRIVATE LIMITED</v>
      </c>
      <c r="B111" s="82" t="str">
        <f>'Suraj Forwarders Private Limite'!A18</f>
        <v>PARTHIV JADAV</v>
      </c>
      <c r="C111" s="85" t="n">
        <f>'Suraj Forwarders Private Limite'!B18</f>
        <v>29.5</v>
      </c>
      <c r="D111" s="85" t="n">
        <f>'Suraj Forwarders Private Limite'!C18</f>
        <v>26.5</v>
      </c>
      <c r="E111" s="85" t="n">
        <f>'Suraj Forwarders Private Limite'!D18</f>
        <v>0.5</v>
      </c>
      <c r="F111" s="86" t="n">
        <f>'Suraj Forwarders Private Limite'!E18</f>
        <v>0</v>
      </c>
      <c r="G111" s="86" t="n">
        <f>'Suraj Forwarders Private Limite'!F18</f>
        <v>0</v>
      </c>
      <c r="H111" s="85" t="n">
        <f>'Suraj Forwarders Private Limite'!G18</f>
        <v>0</v>
      </c>
      <c r="I111" s="85" t="n">
        <f>'Suraj Forwarders Private Limite'!H18</f>
        <v>0</v>
      </c>
      <c r="J111" s="86" t="n">
        <f>'Suraj Forwarders Private Limite'!I18</f>
        <v>3</v>
      </c>
      <c r="K111" s="86" t="n">
        <f>'Suraj Forwarders Private Limite'!J18</f>
        <v>0</v>
      </c>
      <c r="L111" s="85" t="n">
        <f>'Suraj Forwarders Private Limite'!M18</f>
        <v>42.5</v>
      </c>
      <c r="M111" s="85" t="n">
        <f>'Suraj Forwarders Private Limite'!N18</f>
        <v>0</v>
      </c>
      <c r="N111" s="85" t="n">
        <f>'Suraj Forwarders Private Limite'!O18</f>
        <v>42.5</v>
      </c>
      <c r="O111" s="87" t="str">
        <f>'Suraj Forwarders Private Limite'!P18</f>
        <v>8h 42m</v>
      </c>
    </row>
    <row r="112" ht="34" customHeight="1">
      <c r="A112" s="82" t="str">
        <f>"SURAJ FORWARDERS PRIVATE LIMITED"</f>
        <v>SURAJ FORWARDERS PRIVATE LIMITED</v>
      </c>
      <c r="B112" s="82" t="str">
        <f>'Suraj Forwarders Private Limite'!A19</f>
        <v>PRAMOD THEKEPATTU</v>
      </c>
      <c r="C112" s="85" t="n">
        <f>'Suraj Forwarders Private Limite'!B19</f>
        <v>30</v>
      </c>
      <c r="D112" s="85" t="n">
        <f>'Suraj Forwarders Private Limite'!C19</f>
        <v>24</v>
      </c>
      <c r="E112" s="85" t="n">
        <f>'Suraj Forwarders Private Limite'!D19</f>
        <v>0</v>
      </c>
      <c r="F112" s="86" t="n">
        <f>'Suraj Forwarders Private Limite'!E19</f>
        <v>0</v>
      </c>
      <c r="G112" s="86" t="n">
        <f>'Suraj Forwarders Private Limite'!F19</f>
        <v>0</v>
      </c>
      <c r="H112" s="85" t="n">
        <f>'Suraj Forwarders Private Limite'!G19</f>
        <v>0</v>
      </c>
      <c r="I112" s="85" t="n">
        <f>'Suraj Forwarders Private Limite'!H19</f>
        <v>0</v>
      </c>
      <c r="J112" s="86" t="n">
        <f>'Suraj Forwarders Private Limite'!I19</f>
        <v>5</v>
      </c>
      <c r="K112" s="86" t="n">
        <f>'Suraj Forwarders Private Limite'!J19</f>
        <v>1</v>
      </c>
      <c r="L112" s="85" t="n">
        <f>'Suraj Forwarders Private Limite'!M19</f>
        <v>14</v>
      </c>
      <c r="M112" s="85" t="n">
        <f>'Suraj Forwarders Private Limite'!N19</f>
        <v>0</v>
      </c>
      <c r="N112" s="85" t="n">
        <f>'Suraj Forwarders Private Limite'!O19</f>
        <v>14</v>
      </c>
      <c r="O112" s="87" t="str">
        <f>'Suraj Forwarders Private Limite'!P19</f>
        <v>8h 48m</v>
      </c>
    </row>
    <row r="113" ht="34" customHeight="1">
      <c r="A113" s="82" t="str">
        <f>"SURAJ FORWARDERS PRIVATE LIMITED"</f>
        <v>SURAJ FORWARDERS PRIVATE LIMITED</v>
      </c>
      <c r="B113" s="82" t="str">
        <f>'Suraj Forwarders Private Limite'!A20</f>
        <v>PREM CHAUDHARY</v>
      </c>
      <c r="C113" s="85" t="n">
        <f>'Suraj Forwarders Private Limite'!B20</f>
        <v>30</v>
      </c>
      <c r="D113" s="85" t="n">
        <f>'Suraj Forwarders Private Limite'!C20</f>
        <v>15.5</v>
      </c>
      <c r="E113" s="85" t="n">
        <f>'Suraj Forwarders Private Limite'!D20</f>
        <v>0</v>
      </c>
      <c r="F113" s="86" t="n">
        <f>'Suraj Forwarders Private Limite'!E20</f>
        <v>1</v>
      </c>
      <c r="G113" s="86" t="n">
        <f>'Suraj Forwarders Private Limite'!F20</f>
        <v>9</v>
      </c>
      <c r="H113" s="85" t="n">
        <f>'Suraj Forwarders Private Limite'!G20</f>
        <v>9.5</v>
      </c>
      <c r="I113" s="85" t="n">
        <f>'Suraj Forwarders Private Limite'!H20</f>
        <v>0</v>
      </c>
      <c r="J113" s="86" t="n">
        <f>'Suraj Forwarders Private Limite'!I20</f>
        <v>4</v>
      </c>
      <c r="K113" s="86" t="n">
        <f>'Suraj Forwarders Private Limite'!J20</f>
        <v>1</v>
      </c>
      <c r="L113" s="85" t="n">
        <f>'Suraj Forwarders Private Limite'!M20</f>
        <v>20.5</v>
      </c>
      <c r="M113" s="85" t="n">
        <f>'Suraj Forwarders Private Limite'!N20</f>
        <v>9.5</v>
      </c>
      <c r="N113" s="85" t="n">
        <f>'Suraj Forwarders Private Limite'!O20</f>
        <v>11</v>
      </c>
      <c r="O113" s="87" t="str">
        <f>'Suraj Forwarders Private Limite'!P20</f>
        <v>9h 6m</v>
      </c>
    </row>
    <row r="114" ht="34" customHeight="1">
      <c r="A114" s="82" t="str">
        <f>"SURAJ FORWARDERS PRIVATE LIMITED"</f>
        <v>SURAJ FORWARDERS PRIVATE LIMITED</v>
      </c>
      <c r="B114" s="82" t="str">
        <f>'Suraj Forwarders Private Limite'!A21</f>
        <v>RAJAN ARANAMKATTE</v>
      </c>
      <c r="C114" s="85" t="n">
        <f>'Suraj Forwarders Private Limite'!B21</f>
        <v>30</v>
      </c>
      <c r="D114" s="85" t="n">
        <f>'Suraj Forwarders Private Limite'!C21</f>
        <v>24</v>
      </c>
      <c r="E114" s="85" t="n">
        <f>'Suraj Forwarders Private Limite'!D21</f>
        <v>0</v>
      </c>
      <c r="F114" s="86" t="n">
        <f>'Suraj Forwarders Private Limite'!E21</f>
        <v>0</v>
      </c>
      <c r="G114" s="86" t="n">
        <f>'Suraj Forwarders Private Limite'!F21</f>
        <v>0</v>
      </c>
      <c r="H114" s="85" t="n">
        <f>'Suraj Forwarders Private Limite'!G21</f>
        <v>0</v>
      </c>
      <c r="I114" s="85" t="n">
        <f>'Suraj Forwarders Private Limite'!H21</f>
        <v>0</v>
      </c>
      <c r="J114" s="86" t="n">
        <f>'Suraj Forwarders Private Limite'!I21</f>
        <v>5</v>
      </c>
      <c r="K114" s="86" t="n">
        <f>'Suraj Forwarders Private Limite'!J21</f>
        <v>1</v>
      </c>
      <c r="L114" s="85" t="n">
        <f>'Suraj Forwarders Private Limite'!M21</f>
        <v>0</v>
      </c>
      <c r="M114" s="85" t="n">
        <f>'Suraj Forwarders Private Limite'!N21</f>
        <v>0</v>
      </c>
      <c r="N114" s="85" t="n">
        <f>'Suraj Forwarders Private Limite'!O21</f>
        <v>0</v>
      </c>
      <c r="O114" s="87" t="str">
        <f>'Suraj Forwarders Private Limite'!P21</f>
        <v>9h 0m</v>
      </c>
    </row>
    <row r="115" ht="34" customHeight="1">
      <c r="A115" s="82" t="str">
        <f>"SURAJ FORWARDERS PRIVATE LIMITED"</f>
        <v>SURAJ FORWARDERS PRIVATE LIMITED</v>
      </c>
      <c r="B115" s="82" t="str">
        <f>'Suraj Forwarders Private Limite'!A22</f>
        <v>RAVI PATEL</v>
      </c>
      <c r="C115" s="85" t="n">
        <f>'Suraj Forwarders Private Limite'!B22</f>
        <v>30</v>
      </c>
      <c r="D115" s="85" t="n">
        <f>'Suraj Forwarders Private Limite'!C22</f>
        <v>22</v>
      </c>
      <c r="E115" s="85" t="n">
        <f>'Suraj Forwarders Private Limite'!D22</f>
        <v>0</v>
      </c>
      <c r="F115" s="86" t="n">
        <f>'Suraj Forwarders Private Limite'!E22</f>
        <v>0</v>
      </c>
      <c r="G115" s="86" t="n">
        <f>'Suraj Forwarders Private Limite'!F22</f>
        <v>2</v>
      </c>
      <c r="H115" s="85" t="n">
        <f>'Suraj Forwarders Private Limite'!G22</f>
        <v>2</v>
      </c>
      <c r="I115" s="85" t="n">
        <f>'Suraj Forwarders Private Limite'!H22</f>
        <v>0</v>
      </c>
      <c r="J115" s="86" t="n">
        <f>'Suraj Forwarders Private Limite'!I22</f>
        <v>5</v>
      </c>
      <c r="K115" s="86" t="n">
        <f>'Suraj Forwarders Private Limite'!J22</f>
        <v>1</v>
      </c>
      <c r="L115" s="85" t="n">
        <f>'Suraj Forwarders Private Limite'!M22</f>
        <v>161.5</v>
      </c>
      <c r="M115" s="85" t="n">
        <f>'Suraj Forwarders Private Limite'!N22</f>
        <v>2</v>
      </c>
      <c r="N115" s="85" t="n">
        <f>'Suraj Forwarders Private Limite'!O22</f>
        <v>159.5</v>
      </c>
      <c r="O115" s="87" t="str">
        <f>'Suraj Forwarders Private Limite'!P22</f>
        <v>9h 24m</v>
      </c>
    </row>
    <row r="116" ht="34" customHeight="1">
      <c r="A116" s="82" t="str">
        <f>"SURAJ FORWARDERS PRIVATE LIMITED"</f>
        <v>SURAJ FORWARDERS PRIVATE LIMITED</v>
      </c>
      <c r="B116" s="82" t="str">
        <f>'Suraj Forwarders Private Limite'!A23</f>
        <v>RENJITH R</v>
      </c>
      <c r="C116" s="85" t="n">
        <f>'Suraj Forwarders Private Limite'!B23</f>
        <v>30</v>
      </c>
      <c r="D116" s="85" t="n">
        <f>'Suraj Forwarders Private Limite'!C23</f>
        <v>23</v>
      </c>
      <c r="E116" s="85" t="n">
        <f>'Suraj Forwarders Private Limite'!D23</f>
        <v>0</v>
      </c>
      <c r="F116" s="86" t="n">
        <f>'Suraj Forwarders Private Limite'!E23</f>
        <v>0</v>
      </c>
      <c r="G116" s="86" t="n">
        <f>'Suraj Forwarders Private Limite'!F23</f>
        <v>1</v>
      </c>
      <c r="H116" s="85" t="n">
        <f>'Suraj Forwarders Private Limite'!G23</f>
        <v>1</v>
      </c>
      <c r="I116" s="85" t="n">
        <f>'Suraj Forwarders Private Limite'!H23</f>
        <v>0</v>
      </c>
      <c r="J116" s="86" t="n">
        <f>'Suraj Forwarders Private Limite'!I23</f>
        <v>5</v>
      </c>
      <c r="K116" s="86" t="n">
        <f>'Suraj Forwarders Private Limite'!J23</f>
        <v>1</v>
      </c>
      <c r="L116" s="85" t="n">
        <f>'Suraj Forwarders Private Limite'!M23</f>
        <v>9.5</v>
      </c>
      <c r="M116" s="85" t="n">
        <f>'Suraj Forwarders Private Limite'!N23</f>
        <v>1</v>
      </c>
      <c r="N116" s="85" t="n">
        <f>'Suraj Forwarders Private Limite'!O23</f>
        <v>8.5</v>
      </c>
      <c r="O116" s="87" t="str">
        <f>'Suraj Forwarders Private Limite'!P23</f>
        <v>8h 42m</v>
      </c>
    </row>
    <row r="117" ht="34" customHeight="1">
      <c r="A117" s="82" t="str">
        <f>"SURAJ FORWARDERS PRIVATE LIMITED"</f>
        <v>SURAJ FORWARDERS PRIVATE LIMITED</v>
      </c>
      <c r="B117" s="82" t="str">
        <f>'Suraj Forwarders Private Limite'!A24</f>
        <v>SANJIV SONI</v>
      </c>
      <c r="C117" s="85" t="n">
        <f>'Suraj Forwarders Private Limite'!B24</f>
        <v>30</v>
      </c>
      <c r="D117" s="85" t="n">
        <f>'Suraj Forwarders Private Limite'!C24</f>
        <v>20</v>
      </c>
      <c r="E117" s="85" t="n">
        <f>'Suraj Forwarders Private Limite'!D24</f>
        <v>0</v>
      </c>
      <c r="F117" s="86" t="n">
        <f>'Suraj Forwarders Private Limite'!E24</f>
        <v>0</v>
      </c>
      <c r="G117" s="86" t="n">
        <f>'Suraj Forwarders Private Limite'!F24</f>
        <v>5</v>
      </c>
      <c r="H117" s="85" t="n">
        <f>'Suraj Forwarders Private Limite'!G24</f>
        <v>5</v>
      </c>
      <c r="I117" s="85" t="n">
        <f>'Suraj Forwarders Private Limite'!H24</f>
        <v>0</v>
      </c>
      <c r="J117" s="86" t="n">
        <f>'Suraj Forwarders Private Limite'!I24</f>
        <v>4</v>
      </c>
      <c r="K117" s="86" t="n">
        <f>'Suraj Forwarders Private Limite'!J24</f>
        <v>1</v>
      </c>
      <c r="L117" s="85" t="n">
        <f>'Suraj Forwarders Private Limite'!M24</f>
        <v>48.5</v>
      </c>
      <c r="M117" s="85" t="n">
        <f>'Suraj Forwarders Private Limite'!N24</f>
        <v>5</v>
      </c>
      <c r="N117" s="85" t="n">
        <f>'Suraj Forwarders Private Limite'!O24</f>
        <v>43.5</v>
      </c>
      <c r="O117" s="87" t="str">
        <f>'Suraj Forwarders Private Limite'!P24</f>
        <v>8h 18m</v>
      </c>
    </row>
    <row r="118" ht="34" customHeight="1">
      <c r="A118" s="82" t="str">
        <f>"SURAJ FORWARDERS PRIVATE LIMITED"</f>
        <v>SURAJ FORWARDERS PRIVATE LIMITED</v>
      </c>
      <c r="B118" s="82" t="str">
        <f>'Suraj Forwarders Private Limite'!A25</f>
        <v>SHALINI ARUN</v>
      </c>
      <c r="C118" s="85" t="n">
        <f>'Suraj Forwarders Private Limite'!B25</f>
        <v>30</v>
      </c>
      <c r="D118" s="85" t="n">
        <f>'Suraj Forwarders Private Limite'!C25</f>
        <v>24</v>
      </c>
      <c r="E118" s="85" t="n">
        <f>'Suraj Forwarders Private Limite'!D25</f>
        <v>0</v>
      </c>
      <c r="F118" s="86" t="n">
        <f>'Suraj Forwarders Private Limite'!E25</f>
        <v>0</v>
      </c>
      <c r="G118" s="86" t="n">
        <f>'Suraj Forwarders Private Limite'!F25</f>
        <v>0</v>
      </c>
      <c r="H118" s="85" t="n">
        <f>'Suraj Forwarders Private Limite'!G25</f>
        <v>0</v>
      </c>
      <c r="I118" s="85" t="n">
        <f>'Suraj Forwarders Private Limite'!H25</f>
        <v>0</v>
      </c>
      <c r="J118" s="86" t="n">
        <f>'Suraj Forwarders Private Limite'!I25</f>
        <v>5</v>
      </c>
      <c r="K118" s="86" t="n">
        <f>'Suraj Forwarders Private Limite'!J25</f>
        <v>1</v>
      </c>
      <c r="L118" s="85" t="n">
        <f>'Suraj Forwarders Private Limite'!M25</f>
        <v>69</v>
      </c>
      <c r="M118" s="85" t="n">
        <f>'Suraj Forwarders Private Limite'!N25</f>
        <v>0</v>
      </c>
      <c r="N118" s="85" t="n">
        <f>'Suraj Forwarders Private Limite'!O25</f>
        <v>69</v>
      </c>
      <c r="O118" s="87" t="str">
        <f>'Suraj Forwarders Private Limite'!P25</f>
        <v>8h 48m</v>
      </c>
    </row>
    <row r="119" ht="34" customHeight="1">
      <c r="A119" s="82" t="str">
        <f>"SURAJ FORWARDERS PRIVATE LIMITED"</f>
        <v>SURAJ FORWARDERS PRIVATE LIMITED</v>
      </c>
      <c r="B119" s="82" t="str">
        <f>'Suraj Forwarders Private Limite'!A26</f>
        <v>SOJITH MAMMUTTIL</v>
      </c>
      <c r="C119" s="85" t="n">
        <f>'Suraj Forwarders Private Limite'!B26</f>
        <v>29.5</v>
      </c>
      <c r="D119" s="85" t="n">
        <f>'Suraj Forwarders Private Limite'!C26</f>
        <v>24.5</v>
      </c>
      <c r="E119" s="85" t="n">
        <f>'Suraj Forwarders Private Limite'!D26</f>
        <v>0</v>
      </c>
      <c r="F119" s="86" t="n">
        <f>'Suraj Forwarders Private Limite'!E26</f>
        <v>0</v>
      </c>
      <c r="G119" s="86" t="n">
        <f>'Suraj Forwarders Private Limite'!F26</f>
        <v>0</v>
      </c>
      <c r="H119" s="85" t="n">
        <f>'Suraj Forwarders Private Limite'!G26</f>
        <v>0</v>
      </c>
      <c r="I119" s="85" t="n">
        <f>'Suraj Forwarders Private Limite'!H26</f>
        <v>0.5</v>
      </c>
      <c r="J119" s="86" t="n">
        <f>'Suraj Forwarders Private Limite'!I26</f>
        <v>4</v>
      </c>
      <c r="K119" s="86" t="n">
        <f>'Suraj Forwarders Private Limite'!J26</f>
        <v>1</v>
      </c>
      <c r="L119" s="85" t="n">
        <f>'Suraj Forwarders Private Limite'!M26</f>
        <v>1.5</v>
      </c>
      <c r="M119" s="85" t="n">
        <f>'Suraj Forwarders Private Limite'!N26</f>
        <v>0</v>
      </c>
      <c r="N119" s="85" t="n">
        <f>'Suraj Forwarders Private Limite'!O26</f>
        <v>1.5</v>
      </c>
      <c r="O119" s="87" t="str">
        <f>'Suraj Forwarders Private Limite'!P26</f>
        <v>8h 42m</v>
      </c>
    </row>
    <row r="120" ht="34" customHeight="1">
      <c r="A120" s="82" t="str">
        <f>"SURAJ FORWARDERS PRIVATE LIMITED"</f>
        <v>SURAJ FORWARDERS PRIVATE LIMITED</v>
      </c>
      <c r="B120" s="82" t="str">
        <f>'Suraj Forwarders Private Limite'!A27</f>
        <v>SOURAV A</v>
      </c>
      <c r="C120" s="85" t="n">
        <f>'Suraj Forwarders Private Limite'!B27</f>
        <v>30</v>
      </c>
      <c r="D120" s="85" t="n">
        <f>'Suraj Forwarders Private Limite'!C27</f>
        <v>24</v>
      </c>
      <c r="E120" s="85" t="n">
        <f>'Suraj Forwarders Private Limite'!D27</f>
        <v>0</v>
      </c>
      <c r="F120" s="86" t="n">
        <f>'Suraj Forwarders Private Limite'!E27</f>
        <v>0</v>
      </c>
      <c r="G120" s="86" t="n">
        <f>'Suraj Forwarders Private Limite'!F27</f>
        <v>0</v>
      </c>
      <c r="H120" s="85" t="n">
        <f>'Suraj Forwarders Private Limite'!G27</f>
        <v>0</v>
      </c>
      <c r="I120" s="85" t="n">
        <f>'Suraj Forwarders Private Limite'!H27</f>
        <v>0</v>
      </c>
      <c r="J120" s="86" t="n">
        <f>'Suraj Forwarders Private Limite'!I27</f>
        <v>5</v>
      </c>
      <c r="K120" s="86" t="n">
        <f>'Suraj Forwarders Private Limite'!J27</f>
        <v>1</v>
      </c>
      <c r="L120" s="85" t="n">
        <f>'Suraj Forwarders Private Limite'!M27</f>
        <v>0</v>
      </c>
      <c r="M120" s="85" t="n">
        <f>'Suraj Forwarders Private Limite'!N27</f>
        <v>0</v>
      </c>
      <c r="N120" s="85" t="n">
        <f>'Suraj Forwarders Private Limite'!O27</f>
        <v>0</v>
      </c>
      <c r="O120" s="87" t="str">
        <f>'Suraj Forwarders Private Limite'!P27</f>
        <v>9h 42m</v>
      </c>
    </row>
    <row r="121" ht="34" customHeight="1">
      <c r="A121" s="82" t="str">
        <f>"SURAJ FORWARDERS PRIVATE LIMITED"</f>
        <v>SURAJ FORWARDERS PRIVATE LIMITED</v>
      </c>
      <c r="B121" s="82" t="str">
        <f>'Suraj Forwarders Private Limite'!A28</f>
        <v>SREEKUMAR PILLAI</v>
      </c>
      <c r="C121" s="85" t="n">
        <f>'Suraj Forwarders Private Limite'!B28</f>
        <v>30</v>
      </c>
      <c r="D121" s="85" t="n">
        <f>'Suraj Forwarders Private Limite'!C28</f>
        <v>22</v>
      </c>
      <c r="E121" s="85" t="n">
        <f>'Suraj Forwarders Private Limite'!D28</f>
        <v>0</v>
      </c>
      <c r="F121" s="86" t="n">
        <f>'Suraj Forwarders Private Limite'!E28</f>
        <v>0</v>
      </c>
      <c r="G121" s="86" t="n">
        <f>'Suraj Forwarders Private Limite'!F28</f>
        <v>2</v>
      </c>
      <c r="H121" s="85" t="n">
        <f>'Suraj Forwarders Private Limite'!G28</f>
        <v>2</v>
      </c>
      <c r="I121" s="85" t="n">
        <f>'Suraj Forwarders Private Limite'!H28</f>
        <v>0</v>
      </c>
      <c r="J121" s="86" t="n">
        <f>'Suraj Forwarders Private Limite'!I28</f>
        <v>5</v>
      </c>
      <c r="K121" s="86" t="n">
        <f>'Suraj Forwarders Private Limite'!J28</f>
        <v>1</v>
      </c>
      <c r="L121" s="85" t="n">
        <f>'Suraj Forwarders Private Limite'!M28</f>
        <v>6</v>
      </c>
      <c r="M121" s="85" t="n">
        <f>'Suraj Forwarders Private Limite'!N28</f>
        <v>2</v>
      </c>
      <c r="N121" s="85" t="n">
        <f>'Suraj Forwarders Private Limite'!O28</f>
        <v>4</v>
      </c>
      <c r="O121" s="87" t="str">
        <f>'Suraj Forwarders Private Limite'!P28</f>
        <v>9h 42m</v>
      </c>
    </row>
    <row r="122" ht="34" customHeight="1">
      <c r="A122" s="82" t="str">
        <f>"SURAJ FORWARDERS PRIVATE LIMITED"</f>
        <v>SURAJ FORWARDERS PRIVATE LIMITED</v>
      </c>
      <c r="B122" s="82" t="str">
        <f>'Suraj Forwarders Private Limite'!A29</f>
        <v>SURAJ RAJAN</v>
      </c>
      <c r="C122" s="85" t="n">
        <f>'Suraj Forwarders Private Limite'!B29</f>
        <v>30</v>
      </c>
      <c r="D122" s="85" t="n">
        <f>'Suraj Forwarders Private Limite'!C29</f>
        <v>24</v>
      </c>
      <c r="E122" s="85" t="n">
        <f>'Suraj Forwarders Private Limite'!D29</f>
        <v>0</v>
      </c>
      <c r="F122" s="86" t="n">
        <f>'Suraj Forwarders Private Limite'!E29</f>
        <v>0</v>
      </c>
      <c r="G122" s="86" t="n">
        <f>'Suraj Forwarders Private Limite'!F29</f>
        <v>0</v>
      </c>
      <c r="H122" s="85" t="n">
        <f>'Suraj Forwarders Private Limite'!G29</f>
        <v>0</v>
      </c>
      <c r="I122" s="85" t="n">
        <f>'Suraj Forwarders Private Limite'!H29</f>
        <v>0</v>
      </c>
      <c r="J122" s="86" t="n">
        <f>'Suraj Forwarders Private Limite'!I29</f>
        <v>5</v>
      </c>
      <c r="K122" s="86" t="n">
        <f>'Suraj Forwarders Private Limite'!J29</f>
        <v>1</v>
      </c>
      <c r="L122" s="85" t="n">
        <f>'Suraj Forwarders Private Limite'!M29</f>
        <v>0</v>
      </c>
      <c r="M122" s="85" t="n">
        <f>'Suraj Forwarders Private Limite'!N29</f>
        <v>0</v>
      </c>
      <c r="N122" s="85" t="n">
        <f>'Suraj Forwarders Private Limite'!O29</f>
        <v>0</v>
      </c>
      <c r="O122" s="87" t="str">
        <f>'Suraj Forwarders Private Limite'!P29</f>
        <v>9h 0m</v>
      </c>
    </row>
    <row r="123" ht="34" customHeight="1">
      <c r="A123" s="82" t="str">
        <f>"SURAJ FORWARDERS PRIVATE LIMITED"</f>
        <v>SURAJ FORWARDERS PRIVATE LIMITED</v>
      </c>
      <c r="B123" s="82" t="str">
        <f>'Suraj Forwarders Private Limite'!A30</f>
        <v>SUSEELA RAJAN</v>
      </c>
      <c r="C123" s="85" t="n">
        <f>'Suraj Forwarders Private Limite'!B30</f>
        <v>0</v>
      </c>
      <c r="D123" s="85" t="n">
        <f>'Suraj Forwarders Private Limite'!C30</f>
        <v>0</v>
      </c>
      <c r="E123" s="85" t="n">
        <f>'Suraj Forwarders Private Limite'!D30</f>
        <v>24</v>
      </c>
      <c r="F123" s="86" t="n">
        <f>'Suraj Forwarders Private Limite'!E30</f>
        <v>0</v>
      </c>
      <c r="G123" s="86" t="n">
        <f>'Suraj Forwarders Private Limite'!F30</f>
        <v>0</v>
      </c>
      <c r="H123" s="85" t="n">
        <f>'Suraj Forwarders Private Limite'!G30</f>
        <v>0</v>
      </c>
      <c r="I123" s="85" t="n">
        <f>'Suraj Forwarders Private Limite'!H30</f>
        <v>6</v>
      </c>
      <c r="J123" s="86" t="n">
        <f>'Suraj Forwarders Private Limite'!I30</f>
        <v>0</v>
      </c>
      <c r="K123" s="86" t="n">
        <f>'Suraj Forwarders Private Limite'!J30</f>
        <v>0</v>
      </c>
      <c r="L123" s="85" t="n">
        <f>'Suraj Forwarders Private Limite'!M30</f>
        <v>0</v>
      </c>
      <c r="M123" s="85" t="n">
        <f>'Suraj Forwarders Private Limite'!N30</f>
        <v>0</v>
      </c>
      <c r="N123" s="85" t="n">
        <f>'Suraj Forwarders Private Limite'!O30</f>
        <v>0</v>
      </c>
      <c r="O123" s="87" t="str">
        <f>'Suraj Forwarders Private Limite'!P30</f>
        <v>0h 0m</v>
      </c>
    </row>
    <row r="124" ht="34" customHeight="1">
      <c r="A124" s="82" t="str">
        <f>"SURAJ FORWARDERS PRIVATE LIMITED"</f>
        <v>SURAJ FORWARDERS PRIVATE LIMITED</v>
      </c>
      <c r="B124" s="82" t="str">
        <f>'Suraj Forwarders Private Limite'!A31</f>
        <v>VINODCHANDRA RANA</v>
      </c>
      <c r="C124" s="85" t="n">
        <f>'Suraj Forwarders Private Limite'!B31</f>
        <v>29.5</v>
      </c>
      <c r="D124" s="85" t="n">
        <f>'Suraj Forwarders Private Limite'!C31</f>
        <v>22.5</v>
      </c>
      <c r="E124" s="85" t="n">
        <f>'Suraj Forwarders Private Limite'!D31</f>
        <v>0.5</v>
      </c>
      <c r="F124" s="86" t="n">
        <f>'Suraj Forwarders Private Limite'!E31</f>
        <v>0</v>
      </c>
      <c r="G124" s="86" t="n">
        <f>'Suraj Forwarders Private Limite'!F31</f>
        <v>1</v>
      </c>
      <c r="H124" s="85" t="n">
        <f>'Suraj Forwarders Private Limite'!G31</f>
        <v>1</v>
      </c>
      <c r="I124" s="85" t="n">
        <f>'Suraj Forwarders Private Limite'!H31</f>
        <v>0</v>
      </c>
      <c r="J124" s="86" t="n">
        <f>'Suraj Forwarders Private Limite'!I31</f>
        <v>5</v>
      </c>
      <c r="K124" s="86" t="n">
        <f>'Suraj Forwarders Private Limite'!J31</f>
        <v>1</v>
      </c>
      <c r="L124" s="85" t="n">
        <f>'Suraj Forwarders Private Limite'!M31</f>
        <v>105.5</v>
      </c>
      <c r="M124" s="85" t="n">
        <f>'Suraj Forwarders Private Limite'!N31</f>
        <v>1</v>
      </c>
      <c r="N124" s="85" t="n">
        <f>'Suraj Forwarders Private Limite'!O31</f>
        <v>104.5</v>
      </c>
      <c r="O124" s="87" t="str">
        <f>'Suraj Forwarders Private Limite'!P31</f>
        <v>9h 30m</v>
      </c>
    </row>
    <row r="125" ht="34" customHeight="1">
      <c r="A125" s="82" t="str">
        <f>"SURAJ FORWARDERS PRIVATE LIMITED"</f>
        <v>SURAJ FORWARDERS PRIVATE LIMITED</v>
      </c>
      <c r="B125" s="82" t="str">
        <f>'Suraj Forwarders Private Limite'!A32</f>
        <v>YASH SHAH</v>
      </c>
      <c r="C125" s="85" t="n">
        <f>'Suraj Forwarders Private Limite'!B32</f>
        <v>30</v>
      </c>
      <c r="D125" s="85" t="n">
        <f>'Suraj Forwarders Private Limite'!C32</f>
        <v>23</v>
      </c>
      <c r="E125" s="85" t="n">
        <f>'Suraj Forwarders Private Limite'!D32</f>
        <v>0</v>
      </c>
      <c r="F125" s="86" t="n">
        <f>'Suraj Forwarders Private Limite'!E32</f>
        <v>0</v>
      </c>
      <c r="G125" s="86" t="n">
        <f>'Suraj Forwarders Private Limite'!F32</f>
        <v>1</v>
      </c>
      <c r="H125" s="85" t="n">
        <f>'Suraj Forwarders Private Limite'!G32</f>
        <v>1</v>
      </c>
      <c r="I125" s="85" t="n">
        <f>'Suraj Forwarders Private Limite'!H32</f>
        <v>0</v>
      </c>
      <c r="J125" s="86" t="n">
        <f>'Suraj Forwarders Private Limite'!I32</f>
        <v>5</v>
      </c>
      <c r="K125" s="86" t="n">
        <f>'Suraj Forwarders Private Limite'!J32</f>
        <v>1</v>
      </c>
      <c r="L125" s="85" t="n">
        <f>'Suraj Forwarders Private Limite'!M32</f>
        <v>54</v>
      </c>
      <c r="M125" s="85" t="n">
        <f>'Suraj Forwarders Private Limite'!N32</f>
        <v>1</v>
      </c>
      <c r="N125" s="85" t="n">
        <f>'Suraj Forwarders Private Limite'!O32</f>
        <v>53</v>
      </c>
      <c r="O125" s="87" t="str">
        <f>'Suraj Forwarders Private Limite'!P32</f>
        <v>8h 54m</v>
      </c>
    </row>
    <row r="126" ht="34" customHeight="1">
      <c r="A126" s="82" t="str">
        <f>"UNASSIGNED"</f>
        <v>UNASSIGNED</v>
      </c>
      <c r="B126" s="82" t="str">
        <f>'Unassigned'!A5</f>
        <v>DO Team Pulse</v>
      </c>
      <c r="C126" s="85" t="n">
        <f>'Unassigned'!B5</f>
        <v>0</v>
      </c>
      <c r="D126" s="85" t="n">
        <f>'Unassigned'!C5</f>
        <v>0</v>
      </c>
      <c r="E126" s="85" t="n">
        <f>'Unassigned'!D5</f>
        <v>25</v>
      </c>
      <c r="F126" s="86" t="n">
        <f>'Unassigned'!E5</f>
        <v>0</v>
      </c>
      <c r="G126" s="86" t="n">
        <f>'Unassigned'!F5</f>
        <v>0</v>
      </c>
      <c r="H126" s="85" t="n">
        <f>'Unassigned'!G5</f>
        <v>0</v>
      </c>
      <c r="I126" s="85" t="n">
        <f>'Unassigned'!H5</f>
        <v>5</v>
      </c>
      <c r="J126" s="86" t="n">
        <f>'Unassigned'!I5</f>
        <v>0</v>
      </c>
      <c r="K126" s="86" t="n">
        <f>'Unassigned'!J5</f>
        <v>0</v>
      </c>
      <c r="L126" s="85" t="n">
        <f>'Unassigned'!M5</f>
        <v>12</v>
      </c>
      <c r="M126" s="85" t="n">
        <f>'Unassigned'!N5</f>
        <v>0</v>
      </c>
      <c r="N126" s="85" t="n">
        <f>'Unassigned'!O5</f>
        <v>12</v>
      </c>
      <c r="O126" s="87" t="str">
        <f>'Unassigned'!P5</f>
        <v>0h 0m</v>
      </c>
    </row>
    <row r="127" ht="34" customHeight="1">
      <c r="A127" s="82" t="str">
        <f>"UNASSIGNED"</f>
        <v>UNASSIGNED</v>
      </c>
      <c r="B127" s="82" t="str">
        <f>'Unassigned'!A6</f>
        <v>RAMDEV SINGH</v>
      </c>
      <c r="C127" s="85" t="n">
        <f>'Unassigned'!B6</f>
        <v>0</v>
      </c>
      <c r="D127" s="85" t="n">
        <f>'Unassigned'!C6</f>
        <v>0</v>
      </c>
      <c r="E127" s="85" t="n">
        <f>'Unassigned'!D6</f>
        <v>25</v>
      </c>
      <c r="F127" s="86" t="n">
        <f>'Unassigned'!E6</f>
        <v>0</v>
      </c>
      <c r="G127" s="86" t="n">
        <f>'Unassigned'!F6</f>
        <v>0</v>
      </c>
      <c r="H127" s="85" t="n">
        <f>'Unassigned'!G6</f>
        <v>0</v>
      </c>
      <c r="I127" s="85" t="n">
        <f>'Unassigned'!H6</f>
        <v>5</v>
      </c>
      <c r="J127" s="86" t="n">
        <f>'Unassigned'!I6</f>
        <v>0</v>
      </c>
      <c r="K127" s="86" t="n">
        <f>'Unassigned'!J6</f>
        <v>0</v>
      </c>
      <c r="L127" s="85" t="n">
        <f>'Unassigned'!M6</f>
        <v>12</v>
      </c>
      <c r="M127" s="85" t="n">
        <f>'Unassigned'!N6</f>
        <v>0</v>
      </c>
      <c r="N127" s="85" t="n">
        <f>'Unassigned'!O6</f>
        <v>12</v>
      </c>
      <c r="O127" s="87" t="str">
        <f>'Unassigned'!P6</f>
        <v>0h 0m</v>
      </c>
    </row>
    <row r="128" ht="34" customHeight="1">
      <c r="A128" s="82" t="str">
        <f>"UNASSIGNED"</f>
        <v>UNASSIGNED</v>
      </c>
      <c r="B128" s="82" t="str">
        <f>'Unassigned'!A7</f>
        <v>RAMVEER SINGH</v>
      </c>
      <c r="C128" s="85" t="n">
        <f>'Unassigned'!B7</f>
        <v>0</v>
      </c>
      <c r="D128" s="85" t="n">
        <f>'Unassigned'!C7</f>
        <v>0</v>
      </c>
      <c r="E128" s="85" t="n">
        <f>'Unassigned'!D7</f>
        <v>25</v>
      </c>
      <c r="F128" s="86" t="n">
        <f>'Unassigned'!E7</f>
        <v>0</v>
      </c>
      <c r="G128" s="86" t="n">
        <f>'Unassigned'!F7</f>
        <v>0</v>
      </c>
      <c r="H128" s="85" t="n">
        <f>'Unassigned'!G7</f>
        <v>0</v>
      </c>
      <c r="I128" s="85" t="n">
        <f>'Unassigned'!H7</f>
        <v>5</v>
      </c>
      <c r="J128" s="86" t="n">
        <f>'Unassigned'!I7</f>
        <v>0</v>
      </c>
      <c r="K128" s="86" t="n">
        <f>'Unassigned'!J7</f>
        <v>0</v>
      </c>
      <c r="L128" s="85" t="n">
        <f>'Unassigned'!M7</f>
        <v>12</v>
      </c>
      <c r="M128" s="85" t="n">
        <f>'Unassigned'!N7</f>
        <v>0</v>
      </c>
      <c r="N128" s="85" t="n">
        <f>'Unassigned'!O7</f>
        <v>12</v>
      </c>
      <c r="O128" s="87" t="str">
        <f>'Unassigned'!P7</f>
        <v>0h 0m</v>
      </c>
    </row>
    <row r="129" ht="34" customHeight="1">
      <c r="A129" s="82" t="str">
        <f>"UNASSIGNED"</f>
        <v>UNASSIGNED</v>
      </c>
      <c r="B129" s="82" t="str">
        <f>'Unassigned'!A8</f>
        <v>test_admin</v>
      </c>
      <c r="C129" s="85" t="n">
        <f>'Unassigned'!B8</f>
        <v>0</v>
      </c>
      <c r="D129" s="85" t="n">
        <f>'Unassigned'!C8</f>
        <v>0</v>
      </c>
      <c r="E129" s="85" t="n">
        <f>'Unassigned'!D8</f>
        <v>25</v>
      </c>
      <c r="F129" s="86" t="n">
        <f>'Unassigned'!E8</f>
        <v>0</v>
      </c>
      <c r="G129" s="86" t="n">
        <f>'Unassigned'!F8</f>
        <v>0</v>
      </c>
      <c r="H129" s="85" t="n">
        <f>'Unassigned'!G8</f>
        <v>0</v>
      </c>
      <c r="I129" s="85" t="n">
        <f>'Unassigned'!H8</f>
        <v>5</v>
      </c>
      <c r="J129" s="86" t="n">
        <f>'Unassigned'!I8</f>
        <v>0</v>
      </c>
      <c r="K129" s="86" t="n">
        <f>'Unassigned'!J8</f>
        <v>0</v>
      </c>
      <c r="L129" s="85" t="n">
        <f>'Unassigned'!M8</f>
        <v>12</v>
      </c>
      <c r="M129" s="85" t="n">
        <f>'Unassigned'!N8</f>
        <v>0</v>
      </c>
      <c r="N129" s="85" t="n">
        <f>'Unassigned'!O8</f>
        <v>12</v>
      </c>
      <c r="O129" s="87" t="str">
        <f>'Unassigned'!P8</f>
        <v>0h 0m</v>
      </c>
    </row>
    <row r="130" ht="34" customHeight="1">
      <c r="A130" s="82" t="str">
        <f>"UNASSIGNED"</f>
        <v>UNASSIGNED</v>
      </c>
      <c r="B130" s="82" t="str">
        <f>'Unassigned'!A9</f>
        <v>THAKOR RAMESHBHAI</v>
      </c>
      <c r="C130" s="85" t="n">
        <f>'Unassigned'!B9</f>
        <v>0</v>
      </c>
      <c r="D130" s="85" t="n">
        <f>'Unassigned'!C9</f>
        <v>0</v>
      </c>
      <c r="E130" s="85" t="n">
        <f>'Unassigned'!D9</f>
        <v>25</v>
      </c>
      <c r="F130" s="86" t="n">
        <f>'Unassigned'!E9</f>
        <v>0</v>
      </c>
      <c r="G130" s="86" t="n">
        <f>'Unassigned'!F9</f>
        <v>0</v>
      </c>
      <c r="H130" s="85" t="n">
        <f>'Unassigned'!G9</f>
        <v>0</v>
      </c>
      <c r="I130" s="85" t="n">
        <f>'Unassigned'!H9</f>
        <v>5</v>
      </c>
      <c r="J130" s="86" t="n">
        <f>'Unassigned'!I9</f>
        <v>0</v>
      </c>
      <c r="K130" s="86" t="n">
        <f>'Unassigned'!J9</f>
        <v>0</v>
      </c>
      <c r="L130" s="85" t="n">
        <f>'Unassigned'!M9</f>
        <v>12</v>
      </c>
      <c r="M130" s="85" t="n">
        <f>'Unassigned'!N9</f>
        <v>0</v>
      </c>
      <c r="N130" s="85" t="n">
        <f>'Unassigned'!O9</f>
        <v>12</v>
      </c>
      <c r="O130" s="87" t="str">
        <f>'Unassigned'!P9</f>
        <v>0h 0m</v>
      </c>
    </row>
    <row r="131" ht="34" customHeight="1">
      <c r="A131" s="82" t="str">
        <f>"UNASSIGNED"</f>
        <v>UNASSIGNED</v>
      </c>
      <c r="B131" s="82" t="str">
        <f>'Unassigned'!A10</f>
        <v>VIPIN SINGH</v>
      </c>
      <c r="C131" s="85" t="n">
        <f>'Unassigned'!B10</f>
        <v>0</v>
      </c>
      <c r="D131" s="85" t="n">
        <f>'Unassigned'!C10</f>
        <v>0</v>
      </c>
      <c r="E131" s="85" t="n">
        <f>'Unassigned'!D10</f>
        <v>25</v>
      </c>
      <c r="F131" s="86" t="n">
        <f>'Unassigned'!E10</f>
        <v>0</v>
      </c>
      <c r="G131" s="86" t="n">
        <f>'Unassigned'!F10</f>
        <v>0</v>
      </c>
      <c r="H131" s="85" t="n">
        <f>'Unassigned'!G10</f>
        <v>0</v>
      </c>
      <c r="I131" s="85" t="n">
        <f>'Unassigned'!H10</f>
        <v>5</v>
      </c>
      <c r="J131" s="86" t="n">
        <f>'Unassigned'!I10</f>
        <v>0</v>
      </c>
      <c r="K131" s="86" t="n">
        <f>'Unassigned'!J10</f>
        <v>0</v>
      </c>
      <c r="L131" s="85" t="n">
        <f>'Unassigned'!M10</f>
        <v>12</v>
      </c>
      <c r="M131" s="85" t="n">
        <f>'Unassigned'!N10</f>
        <v>0</v>
      </c>
      <c r="N131" s="85" t="n">
        <f>'Unassigned'!O10</f>
        <v>12</v>
      </c>
      <c r="O131" s="87" t="str">
        <f>'Unassigned'!P10</f>
        <v>0h 0m</v>
      </c>
    </row>
    <row r="132" ht="23" customHeight="1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</row>
    <row r="133" ht="23" customHeight="1">
      <c r="A133" s="77" t="str">
        <v>Filter company or employee using the header arrows. All figures link to the original registers; source zeros and blank values are retained.</v>
      </c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</row>
    <row r="134" ht="23" customHeight="1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</row>
  </sheetData>
  <mergeCells>
    <mergeCell ref="A2:O2"/>
    <mergeCell ref="A3:O3"/>
    <mergeCell ref="A4:O4"/>
    <mergeCell ref="A133:O133"/>
  </mergeCells>
  <conditionalFormatting sqref="E7:E131">
    <cfRule type="cellIs" dxfId="0" priority="1" operator="greaterThan">
      <formula>0</formula>
    </cfRule>
  </conditionalFormatting>
  <pageMargins left="0.7" right="0.7" top="0.75" bottom="0.75" header="0.3" footer="0.3"/>
  <tableParts count="1">
    <tablePart r:id="Rc8a3427e27084878"/>
  </tableParts>
</worksheet>
</file>

<file path=docProps/app.xml><?xml version="1.0" encoding="utf-8"?>
<Properties xmlns="http://schemas.openxmlformats.org/officeDocument/2006/extended-properties" xmlns:ns1="http://schemas.openxmlformats.org/officeDocument/2006/docPropsVTypes">
  <Application>Microsoft Excel</Application>
  <DocSecurity>0</DocSecurity>
  <ScaleCrop>false</ScaleCrop>
  <HeadingPairs>
    <ns1:vector size="2" baseType="variant">
      <ns1:variant>
        <ns1:lpstr>Worksheets</ns1:lpstr>
      </ns1:variant>
      <ns1:variant>
        <ns1:i4>12</ns1:i4>
      </ns1:variant>
    </ns1:vector>
  </HeadingPairs>
  <TitlesOfParts>
    <ns1:vector size="12" baseType="lpstr">
      <ns1:lpstr>Overview</ns1:lpstr>
      <ns1:lpstr>Employee Summary</ns1:lpstr>
      <ns1:lpstr>Alluvium IoT Solutions Private </ns1:lpstr>
      <ns1:lpstr>Eximbiz Enterprise</ns1:lpstr>
      <ns1:lpstr>Novusha Consulting Services Ind</ns1:lpstr>
      <ns1:lpstr>Paramount Propack Private Limit</ns1:lpstr>
      <ns1:lpstr>Sansar Tradelink</ns1:lpstr>
      <ns1:lpstr>SR Container Carriers</ns1:lpstr>
      <ns1:lpstr>Suraj Forwarders</ns1:lpstr>
      <ns1:lpstr>Suraj Forwarders &amp; Shipping Age</ns1:lpstr>
      <ns1:lpstr>Suraj Forwarders Private Limite</ns1:lpstr>
      <ns1:lpstr>Unassigned</ns1:lpstr>
    </ns1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AlVision Exim</dc:creator>
  <dc:title/>
  <dc:subject/>
  <dc:description/>
  <cp:keywords/>
  <cp:category/>
  <cp:lastModifiedBy>Unknown</cp:lastModifiedBy>
  <dcterms:created xsi:type="dcterms:W3CDTF">2026-10-16T09:23:05Z</dcterms:created>
  <dcterms:modified xsi:type="dcterms:W3CDTF">2026-10-16T09:23:05Z</dcterms:modified>
</cp:coreProperties>
</file>